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tudy\浙软\used_data\"/>
    </mc:Choice>
  </mc:AlternateContent>
  <xr:revisionPtr revIDLastSave="0" documentId="13_ncr:1_{D5B5B685-1266-420B-B1EF-D1A533B88E8C}" xr6:coauthVersionLast="47" xr6:coauthVersionMax="47" xr10:uidLastSave="{00000000-0000-0000-0000-000000000000}"/>
  <bookViews>
    <workbookView xWindow="-110" yWindow="-110" windowWidth="25820" windowHeight="15500" xr2:uid="{AD38A824-F93A-40D3-90C3-AB9FCB2F7A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G2" i="1"/>
  <c r="E3" i="1"/>
  <c r="C27" i="1" s="1"/>
  <c r="E4" i="1"/>
  <c r="G4" i="1"/>
  <c r="E5" i="1"/>
  <c r="E6" i="1"/>
  <c r="G6" i="1"/>
  <c r="E7" i="1"/>
  <c r="E8" i="1"/>
  <c r="E9" i="1"/>
  <c r="E10" i="1"/>
  <c r="G10" i="1"/>
  <c r="E11" i="1"/>
  <c r="E12" i="1"/>
  <c r="E13" i="1"/>
  <c r="G13" i="1"/>
  <c r="E14" i="1"/>
  <c r="E15" i="1"/>
  <c r="E16" i="1"/>
  <c r="E17" i="1"/>
  <c r="G17" i="1"/>
  <c r="E18" i="1"/>
  <c r="E19" i="1"/>
  <c r="G19" i="1"/>
  <c r="E20" i="1"/>
  <c r="E21" i="1"/>
  <c r="E22" i="1"/>
  <c r="E23" i="1"/>
  <c r="E24" i="1"/>
  <c r="E25" i="1"/>
  <c r="C26" i="1"/>
  <c r="E29" i="1"/>
  <c r="G29" i="1"/>
  <c r="E30" i="1"/>
  <c r="E31" i="1"/>
  <c r="E32" i="1"/>
  <c r="E33" i="1"/>
  <c r="C51" i="1" s="1"/>
  <c r="G33" i="1"/>
  <c r="E34" i="1"/>
  <c r="E35" i="1"/>
  <c r="E36" i="1"/>
  <c r="G36" i="1"/>
  <c r="E37" i="1"/>
  <c r="E38" i="1"/>
  <c r="G38" i="1"/>
  <c r="E39" i="1"/>
  <c r="E40" i="1"/>
  <c r="E41" i="1"/>
  <c r="G41" i="1"/>
  <c r="E42" i="1"/>
  <c r="E43" i="1"/>
  <c r="G43" i="1"/>
  <c r="E44" i="1"/>
  <c r="E45" i="1"/>
  <c r="E46" i="1"/>
  <c r="E47" i="1"/>
  <c r="E48" i="1"/>
  <c r="G48" i="1"/>
  <c r="E49" i="1"/>
  <c r="C50" i="1"/>
  <c r="E53" i="1"/>
  <c r="E54" i="1"/>
  <c r="G54" i="1"/>
  <c r="E55" i="1"/>
  <c r="C85" i="1" s="1"/>
  <c r="E56" i="1"/>
  <c r="E57" i="1"/>
  <c r="E58" i="1"/>
  <c r="G58" i="1"/>
  <c r="E59" i="1"/>
  <c r="E60" i="1"/>
  <c r="E61" i="1"/>
  <c r="E62" i="1"/>
  <c r="G62" i="1"/>
  <c r="E63" i="1"/>
  <c r="E64" i="1"/>
  <c r="G64" i="1"/>
  <c r="E65" i="1"/>
  <c r="E66" i="1"/>
  <c r="E67" i="1"/>
  <c r="E68" i="1"/>
  <c r="G68" i="1"/>
  <c r="E69" i="1"/>
  <c r="E70" i="1"/>
  <c r="E71" i="1"/>
  <c r="G71" i="1"/>
  <c r="E72" i="1"/>
  <c r="E73" i="1"/>
  <c r="E74" i="1"/>
  <c r="G74" i="1"/>
  <c r="E75" i="1"/>
  <c r="E76" i="1"/>
  <c r="G76" i="1"/>
  <c r="E77" i="1"/>
  <c r="E78" i="1"/>
  <c r="E79" i="1"/>
  <c r="G79" i="1"/>
  <c r="E80" i="1"/>
  <c r="E81" i="1"/>
  <c r="E82" i="1"/>
  <c r="G82" i="1"/>
  <c r="E83" i="1"/>
  <c r="C84" i="1"/>
  <c r="E87" i="1"/>
  <c r="C108" i="1" s="1"/>
  <c r="G87" i="1"/>
  <c r="E88" i="1"/>
  <c r="E89" i="1"/>
  <c r="E90" i="1"/>
  <c r="G90" i="1"/>
  <c r="E91" i="1"/>
  <c r="E92" i="1"/>
  <c r="E93" i="1"/>
  <c r="E94" i="1"/>
  <c r="G94" i="1"/>
  <c r="E95" i="1"/>
  <c r="E96" i="1"/>
  <c r="G96" i="1"/>
  <c r="E97" i="1"/>
  <c r="E98" i="1"/>
  <c r="E99" i="1"/>
  <c r="G99" i="1"/>
  <c r="E100" i="1"/>
  <c r="E101" i="1"/>
  <c r="E102" i="1"/>
  <c r="E103" i="1"/>
  <c r="E104" i="1"/>
  <c r="G104" i="1"/>
  <c r="E105" i="1"/>
  <c r="E106" i="1"/>
  <c r="C107" i="1"/>
  <c r="E110" i="1"/>
  <c r="C129" i="1" s="1"/>
  <c r="E111" i="1"/>
  <c r="G111" i="1"/>
  <c r="E112" i="1"/>
  <c r="E113" i="1"/>
  <c r="E114" i="1"/>
  <c r="E115" i="1"/>
  <c r="G115" i="1"/>
  <c r="E116" i="1"/>
  <c r="E117" i="1"/>
  <c r="E118" i="1"/>
  <c r="E119" i="1"/>
  <c r="G119" i="1"/>
  <c r="E120" i="1"/>
  <c r="E121" i="1"/>
  <c r="E122" i="1"/>
  <c r="E123" i="1"/>
  <c r="E124" i="1"/>
  <c r="E125" i="1"/>
  <c r="G125" i="1"/>
  <c r="E126" i="1"/>
  <c r="E127" i="1"/>
  <c r="C128" i="1"/>
  <c r="E131" i="1"/>
  <c r="C143" i="1" s="1"/>
  <c r="E132" i="1"/>
  <c r="G132" i="1"/>
  <c r="E133" i="1"/>
  <c r="E134" i="1"/>
  <c r="E135" i="1"/>
  <c r="G135" i="1"/>
  <c r="E136" i="1"/>
  <c r="E137" i="1"/>
  <c r="E138" i="1"/>
  <c r="E139" i="1"/>
  <c r="E140" i="1"/>
  <c r="G140" i="1"/>
  <c r="E141" i="1"/>
  <c r="C142" i="1"/>
</calcChain>
</file>

<file path=xl/sharedStrings.xml><?xml version="1.0" encoding="utf-8"?>
<sst xmlns="http://schemas.openxmlformats.org/spreadsheetml/2006/main" count="144" uniqueCount="20">
  <si>
    <t>OT CODE</t>
  </si>
  <si>
    <t>OT CODE DESCRIPTION</t>
  </si>
  <si>
    <t>NUMBER OF HOURS</t>
  </si>
  <si>
    <t>HOURLY RATE</t>
  </si>
  <si>
    <t>TOTAL FOR PAY PERIOD</t>
  </si>
  <si>
    <t>CHECK POSTING DATE</t>
  </si>
  <si>
    <t>Month Total Hours</t>
  </si>
  <si>
    <t>FIREOVERTIME</t>
  </si>
  <si>
    <t>FEMAOTFIRE</t>
  </si>
  <si>
    <t>Year Total Hours:</t>
  </si>
  <si>
    <t>Year Total Pay Out:</t>
  </si>
  <si>
    <t>ADMINLEAVEOT</t>
  </si>
  <si>
    <t>VACATIONDAYOT</t>
  </si>
  <si>
    <t>VACANCYOT</t>
  </si>
  <si>
    <t>FAMILYSICKOT</t>
  </si>
  <si>
    <t>PAIDHOLIDAYOT</t>
  </si>
  <si>
    <t>STORMOT</t>
  </si>
  <si>
    <t>PERFECTATTDAYO</t>
  </si>
  <si>
    <t>CALLBACKOT</t>
  </si>
  <si>
    <t>SICKOT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</si>
</sst>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indexed="8"/>
      <name val="等线"/>
      <family val="3"/>
      <charset val="134"/>
    </font>
    <font>
      <b/>
      <sz val="11"/>
      <color indexed="8"/>
      <name val="等线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/>
    <xf numFmtId="14" fontId="1" fillId="0" borderId="1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60214-13A7-401B-BF29-27ABEBF55380}">
  <dimension ref="A1:G144"/>
  <sheetViews>
    <sheetView tabSelected="1" workbookViewId="0">
      <selection activeCell="H6" sqref="H6"/>
    </sheetView>
  </sheetViews>
  <sheetFormatPr defaultRowHeight="14" x14ac:dyDescent="0.3"/>
  <cols>
    <col min="1" max="1" width="8.6640625" style="1"/>
    <col min="2" max="2" width="21.1640625" style="1" customWidth="1"/>
    <col min="3" max="3" width="19.08203125" style="1" customWidth="1"/>
    <col min="4" max="4" width="17.25" style="1" customWidth="1"/>
    <col min="5" max="5" width="21.9140625" style="1" customWidth="1"/>
    <col min="6" max="6" width="20.08203125" style="1" customWidth="1"/>
    <col min="7" max="7" width="17.9140625" style="1" customWidth="1"/>
    <col min="8" max="16384" width="8.6640625" style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x14ac:dyDescent="0.3">
      <c r="A2" s="2">
        <v>3060</v>
      </c>
      <c r="B2" s="2" t="s">
        <v>7</v>
      </c>
      <c r="C2" s="2">
        <v>4</v>
      </c>
      <c r="D2" s="2">
        <v>38.368600000000001</v>
      </c>
      <c r="E2" s="2">
        <f>C2*D2</f>
        <v>153.4744</v>
      </c>
      <c r="F2" s="3">
        <v>40928</v>
      </c>
      <c r="G2" s="5">
        <f>SUM(C2:C3)</f>
        <v>28</v>
      </c>
    </row>
    <row r="3" spans="1:7" x14ac:dyDescent="0.3">
      <c r="A3" s="2">
        <v>3060</v>
      </c>
      <c r="B3" s="2" t="s">
        <v>7</v>
      </c>
      <c r="C3" s="2">
        <v>24</v>
      </c>
      <c r="D3" s="2">
        <v>38.368600000000001</v>
      </c>
      <c r="E3" s="2">
        <f>C3*D3</f>
        <v>920.84640000000002</v>
      </c>
      <c r="F3" s="3">
        <v>40935</v>
      </c>
      <c r="G3" s="6"/>
    </row>
    <row r="4" spans="1:7" x14ac:dyDescent="0.3">
      <c r="A4" s="2">
        <v>3060</v>
      </c>
      <c r="B4" s="2" t="s">
        <v>7</v>
      </c>
      <c r="C4" s="2">
        <v>24</v>
      </c>
      <c r="D4" s="2">
        <v>38.368600000000001</v>
      </c>
      <c r="E4" s="2">
        <f>C4*D4</f>
        <v>920.84640000000002</v>
      </c>
      <c r="F4" s="3">
        <v>40942</v>
      </c>
      <c r="G4" s="5">
        <f>SUM(C4:C5)</f>
        <v>48</v>
      </c>
    </row>
    <row r="5" spans="1:7" x14ac:dyDescent="0.3">
      <c r="A5" s="2">
        <v>3060</v>
      </c>
      <c r="B5" s="2" t="s">
        <v>7</v>
      </c>
      <c r="C5" s="2">
        <v>24</v>
      </c>
      <c r="D5" s="2">
        <v>38.368600000000001</v>
      </c>
      <c r="E5" s="2">
        <f>C5*D5</f>
        <v>920.84640000000002</v>
      </c>
      <c r="F5" s="3">
        <v>40949</v>
      </c>
      <c r="G5" s="6"/>
    </row>
    <row r="6" spans="1:7" x14ac:dyDescent="0.3">
      <c r="A6" s="2">
        <v>3060</v>
      </c>
      <c r="B6" s="2" t="s">
        <v>7</v>
      </c>
      <c r="C6" s="2">
        <v>2</v>
      </c>
      <c r="D6" s="2">
        <v>38.368600000000001</v>
      </c>
      <c r="E6" s="2">
        <f>C6*D6</f>
        <v>76.737200000000001</v>
      </c>
      <c r="F6" s="3">
        <v>40970</v>
      </c>
      <c r="G6" s="5">
        <f>SUM(C6:C9)</f>
        <v>52</v>
      </c>
    </row>
    <row r="7" spans="1:7" x14ac:dyDescent="0.3">
      <c r="A7" s="2">
        <v>3060</v>
      </c>
      <c r="B7" s="2" t="s">
        <v>7</v>
      </c>
      <c r="C7" s="2">
        <v>24</v>
      </c>
      <c r="D7" s="2">
        <v>38.368600000000001</v>
      </c>
      <c r="E7" s="2">
        <f>C7*D7</f>
        <v>920.84640000000002</v>
      </c>
      <c r="F7" s="3">
        <v>40977</v>
      </c>
      <c r="G7" s="7"/>
    </row>
    <row r="8" spans="1:7" x14ac:dyDescent="0.3">
      <c r="A8" s="2">
        <v>3060</v>
      </c>
      <c r="B8" s="2" t="s">
        <v>7</v>
      </c>
      <c r="C8" s="2">
        <v>24</v>
      </c>
      <c r="D8" s="2">
        <v>38.368600000000001</v>
      </c>
      <c r="E8" s="2">
        <f>C8*D8</f>
        <v>920.84640000000002</v>
      </c>
      <c r="F8" s="3">
        <v>40984</v>
      </c>
      <c r="G8" s="7"/>
    </row>
    <row r="9" spans="1:7" x14ac:dyDescent="0.3">
      <c r="A9" s="2">
        <v>3060</v>
      </c>
      <c r="B9" s="2" t="s">
        <v>7</v>
      </c>
      <c r="C9" s="2">
        <v>2</v>
      </c>
      <c r="D9" s="2">
        <v>38.368600000000001</v>
      </c>
      <c r="E9" s="2">
        <f>C9*D9</f>
        <v>76.737200000000001</v>
      </c>
      <c r="F9" s="3">
        <v>40998</v>
      </c>
      <c r="G9" s="6"/>
    </row>
    <row r="10" spans="1:7" x14ac:dyDescent="0.3">
      <c r="A10" s="2">
        <v>3060</v>
      </c>
      <c r="B10" s="2" t="s">
        <v>7</v>
      </c>
      <c r="C10" s="2">
        <v>24</v>
      </c>
      <c r="D10" s="2">
        <v>38.368600000000001</v>
      </c>
      <c r="E10" s="2">
        <f>C10*D10</f>
        <v>920.84640000000002</v>
      </c>
      <c r="F10" s="3">
        <v>41012</v>
      </c>
      <c r="G10" s="5">
        <f>SUM(C10:C11)</f>
        <v>48</v>
      </c>
    </row>
    <row r="11" spans="1:7" x14ac:dyDescent="0.3">
      <c r="A11" s="2">
        <v>3060</v>
      </c>
      <c r="B11" s="2" t="s">
        <v>7</v>
      </c>
      <c r="C11" s="2">
        <v>24</v>
      </c>
      <c r="D11" s="2">
        <v>38.368600000000001</v>
      </c>
      <c r="E11" s="2">
        <f>C11*D11</f>
        <v>920.84640000000002</v>
      </c>
      <c r="F11" s="3">
        <v>41026</v>
      </c>
      <c r="G11" s="6"/>
    </row>
    <row r="12" spans="1:7" x14ac:dyDescent="0.3">
      <c r="A12" s="2">
        <v>3060</v>
      </c>
      <c r="B12" s="2" t="s">
        <v>7</v>
      </c>
      <c r="C12" s="2">
        <v>18.5</v>
      </c>
      <c r="D12" s="2">
        <v>38.368600000000001</v>
      </c>
      <c r="E12" s="2">
        <f>C12*D12</f>
        <v>709.81910000000005</v>
      </c>
      <c r="F12" s="3">
        <v>41047</v>
      </c>
      <c r="G12" s="4">
        <v>18.5</v>
      </c>
    </row>
    <row r="13" spans="1:7" x14ac:dyDescent="0.3">
      <c r="A13" s="2">
        <v>3060</v>
      </c>
      <c r="B13" s="2" t="s">
        <v>7</v>
      </c>
      <c r="C13" s="2">
        <v>48</v>
      </c>
      <c r="D13" s="2">
        <v>38.368600000000001</v>
      </c>
      <c r="E13" s="2">
        <f>C13*D13</f>
        <v>1841.6928</v>
      </c>
      <c r="F13" s="3">
        <v>41061</v>
      </c>
      <c r="G13" s="5">
        <f>SUM(C13:C16)</f>
        <v>76</v>
      </c>
    </row>
    <row r="14" spans="1:7" x14ac:dyDescent="0.3">
      <c r="A14" s="2">
        <v>3060</v>
      </c>
      <c r="B14" s="2" t="s">
        <v>7</v>
      </c>
      <c r="C14" s="2">
        <v>2.5</v>
      </c>
      <c r="D14" s="2">
        <v>38.368600000000001</v>
      </c>
      <c r="E14" s="2">
        <f>C14*D14</f>
        <v>95.921500000000009</v>
      </c>
      <c r="F14" s="3">
        <v>41068</v>
      </c>
      <c r="G14" s="7"/>
    </row>
    <row r="15" spans="1:7" x14ac:dyDescent="0.3">
      <c r="A15" s="2">
        <v>3060</v>
      </c>
      <c r="B15" s="2" t="s">
        <v>7</v>
      </c>
      <c r="C15" s="2">
        <v>24</v>
      </c>
      <c r="D15" s="2">
        <v>38.368600000000001</v>
      </c>
      <c r="E15" s="2">
        <f>C15*D15</f>
        <v>920.84640000000002</v>
      </c>
      <c r="F15" s="3">
        <v>41075</v>
      </c>
      <c r="G15" s="7"/>
    </row>
    <row r="16" spans="1:7" x14ac:dyDescent="0.3">
      <c r="A16" s="2">
        <v>3060</v>
      </c>
      <c r="B16" s="2" t="s">
        <v>7</v>
      </c>
      <c r="C16" s="2">
        <v>1.5</v>
      </c>
      <c r="D16" s="2">
        <v>38.368600000000001</v>
      </c>
      <c r="E16" s="2">
        <f>C16*D16</f>
        <v>57.552900000000001</v>
      </c>
      <c r="F16" s="3">
        <v>41082</v>
      </c>
      <c r="G16" s="6"/>
    </row>
    <row r="17" spans="1:7" x14ac:dyDescent="0.3">
      <c r="A17" s="2">
        <v>3060</v>
      </c>
      <c r="B17" s="2" t="s">
        <v>7</v>
      </c>
      <c r="C17" s="2">
        <v>24</v>
      </c>
      <c r="D17" s="2">
        <v>38.368600000000001</v>
      </c>
      <c r="E17" s="2">
        <f>C17*D17</f>
        <v>920.84640000000002</v>
      </c>
      <c r="F17" s="3">
        <v>41096</v>
      </c>
      <c r="G17" s="5">
        <f>SUM(C17:C18)</f>
        <v>48</v>
      </c>
    </row>
    <row r="18" spans="1:7" x14ac:dyDescent="0.3">
      <c r="A18" s="2">
        <v>3060</v>
      </c>
      <c r="B18" s="2" t="s">
        <v>7</v>
      </c>
      <c r="C18" s="2">
        <v>24</v>
      </c>
      <c r="D18" s="2">
        <v>40.501130000000003</v>
      </c>
      <c r="E18" s="2">
        <f>C18*D18</f>
        <v>972.02712000000008</v>
      </c>
      <c r="F18" s="3">
        <v>41117</v>
      </c>
      <c r="G18" s="6"/>
    </row>
    <row r="19" spans="1:7" x14ac:dyDescent="0.3">
      <c r="A19" s="2">
        <v>3060</v>
      </c>
      <c r="B19" s="2" t="s">
        <v>7</v>
      </c>
      <c r="C19" s="2">
        <v>24</v>
      </c>
      <c r="D19" s="2">
        <v>40.501130000000003</v>
      </c>
      <c r="E19" s="2">
        <f>C19*D19</f>
        <v>972.02712000000008</v>
      </c>
      <c r="F19" s="3">
        <v>41145</v>
      </c>
      <c r="G19" s="5">
        <f>SUM(C19:C20)</f>
        <v>52</v>
      </c>
    </row>
    <row r="20" spans="1:7" x14ac:dyDescent="0.3">
      <c r="A20" s="2">
        <v>3060</v>
      </c>
      <c r="B20" s="2" t="s">
        <v>7</v>
      </c>
      <c r="C20" s="2">
        <v>28</v>
      </c>
      <c r="D20" s="2">
        <v>40.501130000000003</v>
      </c>
      <c r="E20" s="2">
        <f>C20*D20</f>
        <v>1134.0316400000002</v>
      </c>
      <c r="F20" s="3">
        <v>41152</v>
      </c>
      <c r="G20" s="6"/>
    </row>
    <row r="21" spans="1:7" x14ac:dyDescent="0.3">
      <c r="A21" s="2">
        <v>3060</v>
      </c>
      <c r="B21" s="2" t="s">
        <v>7</v>
      </c>
      <c r="C21" s="2">
        <v>6</v>
      </c>
      <c r="D21" s="2">
        <v>40.501130000000003</v>
      </c>
      <c r="E21" s="2">
        <f>C21*D21</f>
        <v>243.00678000000002</v>
      </c>
      <c r="F21" s="3">
        <v>41166</v>
      </c>
      <c r="G21" s="4">
        <v>6</v>
      </c>
    </row>
    <row r="22" spans="1:7" x14ac:dyDescent="0.3">
      <c r="A22" s="2">
        <v>3060</v>
      </c>
      <c r="B22" s="2" t="s">
        <v>7</v>
      </c>
      <c r="C22" s="2">
        <v>4</v>
      </c>
      <c r="D22" s="2">
        <v>40.501130000000003</v>
      </c>
      <c r="E22" s="2">
        <f>C22*D22</f>
        <v>162.00452000000001</v>
      </c>
      <c r="F22" s="3">
        <v>41187</v>
      </c>
      <c r="G22" s="4">
        <v>4</v>
      </c>
    </row>
    <row r="23" spans="1:7" x14ac:dyDescent="0.3">
      <c r="A23" s="2">
        <v>3063</v>
      </c>
      <c r="B23" s="2" t="s">
        <v>8</v>
      </c>
      <c r="C23" s="2">
        <v>24</v>
      </c>
      <c r="D23" s="2">
        <v>40.501130000000003</v>
      </c>
      <c r="E23" s="2">
        <f>C23*D23</f>
        <v>972.02712000000008</v>
      </c>
      <c r="F23" s="3">
        <v>41222</v>
      </c>
      <c r="G23" s="5">
        <v>48</v>
      </c>
    </row>
    <row r="24" spans="1:7" x14ac:dyDescent="0.3">
      <c r="A24" s="2">
        <v>3060</v>
      </c>
      <c r="B24" s="2" t="s">
        <v>7</v>
      </c>
      <c r="C24" s="2">
        <v>24</v>
      </c>
      <c r="D24" s="2">
        <v>40.501130000000003</v>
      </c>
      <c r="E24" s="2">
        <f>C24*D24</f>
        <v>972.02712000000008</v>
      </c>
      <c r="F24" s="3">
        <v>41229</v>
      </c>
      <c r="G24" s="6"/>
    </row>
    <row r="25" spans="1:7" x14ac:dyDescent="0.3">
      <c r="A25" s="2">
        <v>3060</v>
      </c>
      <c r="B25" s="2" t="s">
        <v>7</v>
      </c>
      <c r="C25" s="2">
        <v>4</v>
      </c>
      <c r="D25" s="2">
        <v>40.501130000000003</v>
      </c>
      <c r="E25" s="2">
        <f>C25*D25</f>
        <v>162.00452000000001</v>
      </c>
      <c r="F25" s="3">
        <v>41271</v>
      </c>
      <c r="G25" s="4">
        <v>4</v>
      </c>
    </row>
    <row r="26" spans="1:7" x14ac:dyDescent="0.3">
      <c r="A26" s="2"/>
      <c r="B26" s="8" t="s">
        <v>9</v>
      </c>
      <c r="C26" s="8">
        <f>SUM(C2:C25)</f>
        <v>432.5</v>
      </c>
      <c r="D26" s="2"/>
      <c r="E26" s="2"/>
      <c r="F26" s="3"/>
      <c r="G26" s="4"/>
    </row>
    <row r="27" spans="1:7" x14ac:dyDescent="0.3">
      <c r="A27" s="2"/>
      <c r="B27" s="8" t="s">
        <v>10</v>
      </c>
      <c r="C27" s="8">
        <f>SUM(E2:E25)</f>
        <v>16888.708640000001</v>
      </c>
      <c r="D27" s="2"/>
      <c r="E27" s="2"/>
      <c r="F27" s="3"/>
      <c r="G27" s="4"/>
    </row>
    <row r="28" spans="1:7" x14ac:dyDescent="0.3">
      <c r="A28" s="2"/>
      <c r="B28" s="8"/>
      <c r="C28" s="8"/>
      <c r="D28" s="2"/>
      <c r="E28" s="2"/>
      <c r="F28" s="3"/>
      <c r="G28" s="4"/>
    </row>
    <row r="29" spans="1:7" x14ac:dyDescent="0.3">
      <c r="A29" s="2">
        <v>3060</v>
      </c>
      <c r="B29" s="2" t="s">
        <v>7</v>
      </c>
      <c r="C29" s="2">
        <v>24</v>
      </c>
      <c r="D29" s="2">
        <v>41.645820000000001</v>
      </c>
      <c r="E29" s="2">
        <f>C29*D29</f>
        <v>999.49968000000001</v>
      </c>
      <c r="F29" s="3">
        <v>41334</v>
      </c>
      <c r="G29" s="5">
        <f>SUM(C29:C32)</f>
        <v>182</v>
      </c>
    </row>
    <row r="30" spans="1:7" x14ac:dyDescent="0.3">
      <c r="A30" s="2">
        <v>3060</v>
      </c>
      <c r="B30" s="2" t="s">
        <v>7</v>
      </c>
      <c r="C30" s="2">
        <v>72</v>
      </c>
      <c r="D30" s="2">
        <v>41.645820000000001</v>
      </c>
      <c r="E30" s="2">
        <f>C30*D30</f>
        <v>2998.4990400000002</v>
      </c>
      <c r="F30" s="3">
        <v>41341</v>
      </c>
      <c r="G30" s="7"/>
    </row>
    <row r="31" spans="1:7" x14ac:dyDescent="0.3">
      <c r="A31" s="2">
        <v>3060</v>
      </c>
      <c r="B31" s="2" t="s">
        <v>7</v>
      </c>
      <c r="C31" s="2">
        <v>24</v>
      </c>
      <c r="D31" s="2">
        <v>41.645820000000001</v>
      </c>
      <c r="E31" s="2">
        <f>C31*D31</f>
        <v>999.49968000000001</v>
      </c>
      <c r="F31" s="3">
        <v>41355</v>
      </c>
      <c r="G31" s="7"/>
    </row>
    <row r="32" spans="1:7" x14ac:dyDescent="0.3">
      <c r="A32" s="2">
        <v>3060</v>
      </c>
      <c r="B32" s="2" t="s">
        <v>7</v>
      </c>
      <c r="C32" s="2">
        <v>62</v>
      </c>
      <c r="D32" s="2">
        <v>41.645820000000001</v>
      </c>
      <c r="E32" s="2">
        <f>C32*D32</f>
        <v>2582.0408400000001</v>
      </c>
      <c r="F32" s="3">
        <v>41361</v>
      </c>
      <c r="G32" s="6"/>
    </row>
    <row r="33" spans="1:7" x14ac:dyDescent="0.3">
      <c r="A33" s="2">
        <v>3060</v>
      </c>
      <c r="B33" s="2" t="s">
        <v>7</v>
      </c>
      <c r="C33" s="2">
        <v>24</v>
      </c>
      <c r="D33" s="2">
        <v>41.645820000000001</v>
      </c>
      <c r="E33" s="2">
        <f>C33*D33</f>
        <v>999.49968000000001</v>
      </c>
      <c r="F33" s="3">
        <v>41369</v>
      </c>
      <c r="G33" s="5">
        <f>SUM(C33:C34)</f>
        <v>48</v>
      </c>
    </row>
    <row r="34" spans="1:7" x14ac:dyDescent="0.3">
      <c r="A34" s="2">
        <v>3060</v>
      </c>
      <c r="B34" s="2" t="s">
        <v>7</v>
      </c>
      <c r="C34" s="2">
        <v>24</v>
      </c>
      <c r="D34" s="2">
        <v>41.645820000000001</v>
      </c>
      <c r="E34" s="2">
        <f>C34*D34</f>
        <v>999.49968000000001</v>
      </c>
      <c r="F34" s="3">
        <v>41390</v>
      </c>
      <c r="G34" s="6"/>
    </row>
    <row r="35" spans="1:7" x14ac:dyDescent="0.3">
      <c r="A35" s="2">
        <v>3060</v>
      </c>
      <c r="B35" s="2" t="s">
        <v>7</v>
      </c>
      <c r="C35" s="2">
        <v>24</v>
      </c>
      <c r="D35" s="2">
        <v>41.645820000000001</v>
      </c>
      <c r="E35" s="2">
        <f>C35*D35</f>
        <v>999.49968000000001</v>
      </c>
      <c r="F35" s="3">
        <v>41425</v>
      </c>
      <c r="G35" s="4">
        <v>24</v>
      </c>
    </row>
    <row r="36" spans="1:7" x14ac:dyDescent="0.3">
      <c r="A36" s="2">
        <v>3060</v>
      </c>
      <c r="B36" s="2" t="s">
        <v>7</v>
      </c>
      <c r="C36" s="2">
        <v>24</v>
      </c>
      <c r="D36" s="2">
        <v>41.645820000000001</v>
      </c>
      <c r="E36" s="2">
        <f>C36*D36</f>
        <v>999.49968000000001</v>
      </c>
      <c r="F36" s="3">
        <v>41439</v>
      </c>
      <c r="G36" s="5">
        <f>SUM(C36:C37)</f>
        <v>48</v>
      </c>
    </row>
    <row r="37" spans="1:7" x14ac:dyDescent="0.3">
      <c r="A37" s="2">
        <v>3060</v>
      </c>
      <c r="B37" s="2" t="s">
        <v>7</v>
      </c>
      <c r="C37" s="2">
        <v>24</v>
      </c>
      <c r="D37" s="2">
        <v>41.645820000000001</v>
      </c>
      <c r="E37" s="2">
        <f>C37*D37</f>
        <v>999.49968000000001</v>
      </c>
      <c r="F37" s="3">
        <v>41446</v>
      </c>
      <c r="G37" s="6"/>
    </row>
    <row r="38" spans="1:7" x14ac:dyDescent="0.3">
      <c r="A38" s="2">
        <v>3060</v>
      </c>
      <c r="B38" s="2" t="s">
        <v>7</v>
      </c>
      <c r="C38" s="2">
        <v>4</v>
      </c>
      <c r="D38" s="2">
        <v>41.645820000000001</v>
      </c>
      <c r="E38" s="2">
        <f>C38*D38</f>
        <v>166.58328</v>
      </c>
      <c r="F38" s="3">
        <v>41460</v>
      </c>
      <c r="G38" s="5">
        <f>SUM(C38:C40)</f>
        <v>64</v>
      </c>
    </row>
    <row r="39" spans="1:7" x14ac:dyDescent="0.3">
      <c r="A39" s="2">
        <v>3060</v>
      </c>
      <c r="B39" s="2" t="s">
        <v>7</v>
      </c>
      <c r="C39" s="2">
        <v>48</v>
      </c>
      <c r="D39" s="2">
        <v>44.288170000000001</v>
      </c>
      <c r="E39" s="2">
        <f>C39*D39</f>
        <v>2125.8321599999999</v>
      </c>
      <c r="F39" s="3">
        <v>41467</v>
      </c>
      <c r="G39" s="7"/>
    </row>
    <row r="40" spans="1:7" x14ac:dyDescent="0.3">
      <c r="A40" s="2">
        <v>3060</v>
      </c>
      <c r="B40" s="2" t="s">
        <v>7</v>
      </c>
      <c r="C40" s="2">
        <v>12</v>
      </c>
      <c r="D40" s="2">
        <v>44.288170000000001</v>
      </c>
      <c r="E40" s="2">
        <f>C40*D40</f>
        <v>531.45803999999998</v>
      </c>
      <c r="F40" s="3">
        <v>41481</v>
      </c>
      <c r="G40" s="6"/>
    </row>
    <row r="41" spans="1:7" x14ac:dyDescent="0.3">
      <c r="A41" s="2">
        <v>3060</v>
      </c>
      <c r="B41" s="2" t="s">
        <v>7</v>
      </c>
      <c r="C41" s="2">
        <v>24</v>
      </c>
      <c r="D41" s="2">
        <v>44.288170000000001</v>
      </c>
      <c r="E41" s="2">
        <f>C41*D41</f>
        <v>1062.91608</v>
      </c>
      <c r="F41" s="3">
        <v>41502</v>
      </c>
      <c r="G41" s="5">
        <f>SUM(C41:C42)</f>
        <v>48</v>
      </c>
    </row>
    <row r="42" spans="1:7" x14ac:dyDescent="0.3">
      <c r="A42" s="2">
        <v>3060</v>
      </c>
      <c r="B42" s="2" t="s">
        <v>7</v>
      </c>
      <c r="C42" s="2">
        <v>24</v>
      </c>
      <c r="D42" s="2">
        <v>44.288170000000001</v>
      </c>
      <c r="E42" s="2">
        <f>C42*D42</f>
        <v>1062.91608</v>
      </c>
      <c r="F42" s="3">
        <v>41509</v>
      </c>
      <c r="G42" s="6"/>
    </row>
    <row r="43" spans="1:7" x14ac:dyDescent="0.3">
      <c r="A43" s="2">
        <v>3060</v>
      </c>
      <c r="B43" s="2" t="s">
        <v>7</v>
      </c>
      <c r="C43" s="2">
        <v>24</v>
      </c>
      <c r="D43" s="2">
        <v>44.288170000000001</v>
      </c>
      <c r="E43" s="2">
        <f>C43*D43</f>
        <v>1062.91608</v>
      </c>
      <c r="F43" s="3">
        <v>41530</v>
      </c>
      <c r="G43" s="5">
        <f>SUM(C43:C45)</f>
        <v>52</v>
      </c>
    </row>
    <row r="44" spans="1:7" x14ac:dyDescent="0.3">
      <c r="A44" s="2">
        <v>3060</v>
      </c>
      <c r="B44" s="2" t="s">
        <v>7</v>
      </c>
      <c r="C44" s="2">
        <v>4</v>
      </c>
      <c r="D44" s="2">
        <v>44.288170000000001</v>
      </c>
      <c r="E44" s="2">
        <f>C44*D44</f>
        <v>177.15268</v>
      </c>
      <c r="F44" s="3">
        <v>41537</v>
      </c>
      <c r="G44" s="7"/>
    </row>
    <row r="45" spans="1:7" x14ac:dyDescent="0.3">
      <c r="A45" s="2">
        <v>3060</v>
      </c>
      <c r="B45" s="2" t="s">
        <v>7</v>
      </c>
      <c r="C45" s="2">
        <v>24</v>
      </c>
      <c r="D45" s="2">
        <v>44.288170000000001</v>
      </c>
      <c r="E45" s="2">
        <f>C45*D45</f>
        <v>1062.91608</v>
      </c>
      <c r="F45" s="3">
        <v>41544</v>
      </c>
      <c r="G45" s="6"/>
    </row>
    <row r="46" spans="1:7" x14ac:dyDescent="0.3">
      <c r="A46" s="2">
        <v>3060</v>
      </c>
      <c r="B46" s="2" t="s">
        <v>7</v>
      </c>
      <c r="C46" s="2">
        <v>12</v>
      </c>
      <c r="D46" s="2">
        <v>44.288170000000001</v>
      </c>
      <c r="E46" s="2">
        <f>C46*D46</f>
        <v>531.45803999999998</v>
      </c>
      <c r="F46" s="3">
        <v>41572</v>
      </c>
      <c r="G46" s="4">
        <v>12</v>
      </c>
    </row>
    <row r="47" spans="1:7" x14ac:dyDescent="0.3">
      <c r="A47" s="2">
        <v>3060</v>
      </c>
      <c r="B47" s="2" t="s">
        <v>7</v>
      </c>
      <c r="C47" s="2">
        <v>24</v>
      </c>
      <c r="D47" s="2">
        <v>44.288170000000001</v>
      </c>
      <c r="E47" s="2">
        <f>C47*D47</f>
        <v>1062.91608</v>
      </c>
      <c r="F47" s="3">
        <v>41593</v>
      </c>
      <c r="G47" s="4">
        <v>24</v>
      </c>
    </row>
    <row r="48" spans="1:7" x14ac:dyDescent="0.3">
      <c r="A48" s="2">
        <v>3060</v>
      </c>
      <c r="B48" s="2" t="s">
        <v>7</v>
      </c>
      <c r="C48" s="2">
        <v>12</v>
      </c>
      <c r="D48" s="2">
        <v>44.288170000000001</v>
      </c>
      <c r="E48" s="2">
        <f>C48*D48</f>
        <v>531.45803999999998</v>
      </c>
      <c r="F48" s="3">
        <v>41621</v>
      </c>
      <c r="G48" s="5">
        <f>SUM(C48:C49)</f>
        <v>40</v>
      </c>
    </row>
    <row r="49" spans="1:7" x14ac:dyDescent="0.3">
      <c r="A49" s="2">
        <v>3060</v>
      </c>
      <c r="B49" s="2" t="s">
        <v>7</v>
      </c>
      <c r="C49" s="2">
        <v>28</v>
      </c>
      <c r="D49" s="2">
        <v>44.288170000000001</v>
      </c>
      <c r="E49" s="2">
        <f>C49*D49</f>
        <v>1240.0687600000001</v>
      </c>
      <c r="F49" s="3">
        <v>41628</v>
      </c>
      <c r="G49" s="6"/>
    </row>
    <row r="50" spans="1:7" x14ac:dyDescent="0.3">
      <c r="A50" s="2"/>
      <c r="B50" s="8" t="s">
        <v>9</v>
      </c>
      <c r="C50" s="2">
        <f>SUM(C29:C49)</f>
        <v>542</v>
      </c>
      <c r="D50" s="2"/>
      <c r="E50" s="2"/>
      <c r="F50" s="3"/>
      <c r="G50" s="4"/>
    </row>
    <row r="51" spans="1:7" x14ac:dyDescent="0.3">
      <c r="A51" s="2"/>
      <c r="B51" s="8" t="s">
        <v>10</v>
      </c>
      <c r="C51" s="2">
        <f>SUM(E29:E49)</f>
        <v>23195.62904</v>
      </c>
      <c r="D51" s="2"/>
      <c r="E51" s="2"/>
      <c r="F51" s="3"/>
      <c r="G51" s="4"/>
    </row>
    <row r="52" spans="1:7" x14ac:dyDescent="0.3">
      <c r="A52" s="2"/>
      <c r="B52" s="2"/>
      <c r="C52" s="2"/>
      <c r="D52" s="2"/>
      <c r="E52" s="2"/>
      <c r="F52" s="3"/>
      <c r="G52" s="4"/>
    </row>
    <row r="53" spans="1:7" x14ac:dyDescent="0.3">
      <c r="A53" s="2">
        <v>3060</v>
      </c>
      <c r="B53" s="2" t="s">
        <v>7</v>
      </c>
      <c r="C53" s="2">
        <v>24</v>
      </c>
      <c r="D53" s="2">
        <v>44.288170000000001</v>
      </c>
      <c r="E53" s="2">
        <f>C53*D53</f>
        <v>1062.91608</v>
      </c>
      <c r="F53" s="3">
        <v>41642</v>
      </c>
      <c r="G53" s="4">
        <v>24</v>
      </c>
    </row>
    <row r="54" spans="1:7" x14ac:dyDescent="0.3">
      <c r="A54" s="2">
        <v>3060</v>
      </c>
      <c r="B54" s="2" t="s">
        <v>7</v>
      </c>
      <c r="C54" s="2">
        <v>4</v>
      </c>
      <c r="D54" s="2">
        <v>44.288170000000001</v>
      </c>
      <c r="E54" s="2">
        <f>C54*D54</f>
        <v>177.15268</v>
      </c>
      <c r="F54" s="3">
        <v>41677</v>
      </c>
      <c r="G54" s="5">
        <f>SUM(C54:C57)</f>
        <v>84</v>
      </c>
    </row>
    <row r="55" spans="1:7" x14ac:dyDescent="0.3">
      <c r="A55" s="2">
        <v>3060</v>
      </c>
      <c r="B55" s="2" t="s">
        <v>7</v>
      </c>
      <c r="C55" s="2">
        <v>4</v>
      </c>
      <c r="D55" s="2">
        <v>44.288170000000001</v>
      </c>
      <c r="E55" s="2">
        <f>C55*D55</f>
        <v>177.15268</v>
      </c>
      <c r="F55" s="3">
        <v>41684</v>
      </c>
      <c r="G55" s="7"/>
    </row>
    <row r="56" spans="1:7" x14ac:dyDescent="0.3">
      <c r="A56" s="2">
        <v>3060</v>
      </c>
      <c r="B56" s="2" t="s">
        <v>7</v>
      </c>
      <c r="C56" s="2">
        <v>28</v>
      </c>
      <c r="D56" s="2">
        <v>44.288170000000001</v>
      </c>
      <c r="E56" s="2">
        <f>C56*D56</f>
        <v>1240.0687600000001</v>
      </c>
      <c r="F56" s="3">
        <v>41691</v>
      </c>
      <c r="G56" s="7"/>
    </row>
    <row r="57" spans="1:7" x14ac:dyDescent="0.3">
      <c r="A57" s="2">
        <v>3060</v>
      </c>
      <c r="B57" s="2" t="s">
        <v>7</v>
      </c>
      <c r="C57" s="2">
        <v>48</v>
      </c>
      <c r="D57" s="2">
        <v>44.288170000000001</v>
      </c>
      <c r="E57" s="2">
        <f>C57*D57</f>
        <v>2125.8321599999999</v>
      </c>
      <c r="F57" s="3">
        <v>41698</v>
      </c>
      <c r="G57" s="6"/>
    </row>
    <row r="58" spans="1:7" x14ac:dyDescent="0.3">
      <c r="A58" s="2">
        <v>3060</v>
      </c>
      <c r="B58" s="2" t="s">
        <v>7</v>
      </c>
      <c r="C58" s="2">
        <v>48</v>
      </c>
      <c r="D58" s="2">
        <v>44.288170000000001</v>
      </c>
      <c r="E58" s="2">
        <f>C58*D58</f>
        <v>2125.8321599999999</v>
      </c>
      <c r="F58" s="3">
        <v>41705</v>
      </c>
      <c r="G58" s="5">
        <f>SUM(C58:C61)</f>
        <v>134</v>
      </c>
    </row>
    <row r="59" spans="1:7" x14ac:dyDescent="0.3">
      <c r="A59" s="2">
        <v>3060</v>
      </c>
      <c r="B59" s="2" t="s">
        <v>7</v>
      </c>
      <c r="C59" s="2">
        <v>24</v>
      </c>
      <c r="D59" s="2">
        <v>44.288170000000001</v>
      </c>
      <c r="E59" s="2">
        <f>C59*D59</f>
        <v>1062.91608</v>
      </c>
      <c r="F59" s="3">
        <v>41712</v>
      </c>
      <c r="G59" s="7"/>
    </row>
    <row r="60" spans="1:7" x14ac:dyDescent="0.3">
      <c r="A60" s="2">
        <v>3060</v>
      </c>
      <c r="B60" s="2" t="s">
        <v>7</v>
      </c>
      <c r="C60" s="2">
        <v>24</v>
      </c>
      <c r="D60" s="2">
        <v>44.288170000000001</v>
      </c>
      <c r="E60" s="2">
        <f>C60*D60</f>
        <v>1062.91608</v>
      </c>
      <c r="F60" s="3">
        <v>41719</v>
      </c>
      <c r="G60" s="7"/>
    </row>
    <row r="61" spans="1:7" x14ac:dyDescent="0.3">
      <c r="A61" s="2">
        <v>3060</v>
      </c>
      <c r="B61" s="2" t="s">
        <v>7</v>
      </c>
      <c r="C61" s="2">
        <v>38</v>
      </c>
      <c r="D61" s="2">
        <v>44.288170000000001</v>
      </c>
      <c r="E61" s="2">
        <f>C61*D61</f>
        <v>1682.95046</v>
      </c>
      <c r="F61" s="3">
        <v>41726</v>
      </c>
      <c r="G61" s="6"/>
    </row>
    <row r="62" spans="1:7" x14ac:dyDescent="0.3">
      <c r="A62" s="2">
        <v>3060</v>
      </c>
      <c r="B62" s="2" t="s">
        <v>7</v>
      </c>
      <c r="C62" s="2">
        <v>48</v>
      </c>
      <c r="D62" s="2">
        <v>44.288170000000001</v>
      </c>
      <c r="E62" s="2">
        <f>C62*D62</f>
        <v>2125.8321599999999</v>
      </c>
      <c r="F62" s="3">
        <v>41746</v>
      </c>
      <c r="G62" s="5">
        <f>SUM(C62:C63)</f>
        <v>74</v>
      </c>
    </row>
    <row r="63" spans="1:7" x14ac:dyDescent="0.3">
      <c r="A63" s="2">
        <v>3060</v>
      </c>
      <c r="B63" s="2" t="s">
        <v>7</v>
      </c>
      <c r="C63" s="2">
        <v>26</v>
      </c>
      <c r="D63" s="2">
        <v>44.288170000000001</v>
      </c>
      <c r="E63" s="2">
        <f>C63*D63</f>
        <v>1151.49242</v>
      </c>
      <c r="F63" s="3">
        <v>41754</v>
      </c>
      <c r="G63" s="6"/>
    </row>
    <row r="64" spans="1:7" x14ac:dyDescent="0.3">
      <c r="A64" s="2">
        <v>3060</v>
      </c>
      <c r="B64" s="2" t="s">
        <v>7</v>
      </c>
      <c r="C64" s="2">
        <v>24</v>
      </c>
      <c r="D64" s="2">
        <v>44.288170000000001</v>
      </c>
      <c r="E64" s="2">
        <f>C64*D64</f>
        <v>1062.91608</v>
      </c>
      <c r="F64" s="3">
        <v>41761</v>
      </c>
      <c r="G64" s="5">
        <f>SUM(C64:C67)</f>
        <v>146</v>
      </c>
    </row>
    <row r="65" spans="1:7" x14ac:dyDescent="0.3">
      <c r="A65" s="2">
        <v>3060</v>
      </c>
      <c r="B65" s="2" t="s">
        <v>7</v>
      </c>
      <c r="C65" s="2">
        <v>24</v>
      </c>
      <c r="D65" s="2">
        <v>44.288170000000001</v>
      </c>
      <c r="E65" s="2">
        <f>C65*D65</f>
        <v>1062.91608</v>
      </c>
      <c r="F65" s="3">
        <v>41768</v>
      </c>
      <c r="G65" s="7"/>
    </row>
    <row r="66" spans="1:7" x14ac:dyDescent="0.3">
      <c r="A66" s="2">
        <v>3060</v>
      </c>
      <c r="B66" s="2" t="s">
        <v>7</v>
      </c>
      <c r="C66" s="2">
        <v>48</v>
      </c>
      <c r="D66" s="2">
        <v>44.288170000000001</v>
      </c>
      <c r="E66" s="2">
        <f>C66*D66</f>
        <v>2125.8321599999999</v>
      </c>
      <c r="F66" s="3">
        <v>41775</v>
      </c>
      <c r="G66" s="7"/>
    </row>
    <row r="67" spans="1:7" x14ac:dyDescent="0.3">
      <c r="A67" s="2">
        <v>3060</v>
      </c>
      <c r="B67" s="2" t="s">
        <v>7</v>
      </c>
      <c r="C67" s="2">
        <v>50</v>
      </c>
      <c r="D67" s="2">
        <v>44.288170000000001</v>
      </c>
      <c r="E67" s="2">
        <f>C67*D67</f>
        <v>2214.4085</v>
      </c>
      <c r="F67" s="3">
        <v>41782</v>
      </c>
      <c r="G67" s="6"/>
    </row>
    <row r="68" spans="1:7" x14ac:dyDescent="0.3">
      <c r="A68" s="2">
        <v>3060</v>
      </c>
      <c r="B68" s="2" t="s">
        <v>7</v>
      </c>
      <c r="C68" s="2">
        <v>24</v>
      </c>
      <c r="D68" s="2">
        <v>44.288170000000001</v>
      </c>
      <c r="E68" s="2">
        <f>C68*D68</f>
        <v>1062.91608</v>
      </c>
      <c r="F68" s="3">
        <v>41796</v>
      </c>
      <c r="G68" s="5">
        <f>SUM(C68:C70)</f>
        <v>96</v>
      </c>
    </row>
    <row r="69" spans="1:7" x14ac:dyDescent="0.3">
      <c r="A69" s="2">
        <v>3060</v>
      </c>
      <c r="B69" s="2" t="s">
        <v>7</v>
      </c>
      <c r="C69" s="2">
        <v>48</v>
      </c>
      <c r="D69" s="2">
        <v>44.288170000000001</v>
      </c>
      <c r="E69" s="2">
        <f>C69*D69</f>
        <v>2125.8321599999999</v>
      </c>
      <c r="F69" s="3">
        <v>41803</v>
      </c>
      <c r="G69" s="7"/>
    </row>
    <row r="70" spans="1:7" x14ac:dyDescent="0.3">
      <c r="A70" s="2">
        <v>3060</v>
      </c>
      <c r="B70" s="2" t="s">
        <v>7</v>
      </c>
      <c r="C70" s="2">
        <v>24</v>
      </c>
      <c r="D70" s="2">
        <v>44.288170000000001</v>
      </c>
      <c r="E70" s="2">
        <f>C70*D70</f>
        <v>1062.91608</v>
      </c>
      <c r="F70" s="3">
        <v>41817</v>
      </c>
      <c r="G70" s="6"/>
    </row>
    <row r="71" spans="1:7" x14ac:dyDescent="0.3">
      <c r="A71" s="2">
        <v>3065</v>
      </c>
      <c r="B71" s="2" t="s">
        <v>11</v>
      </c>
      <c r="C71" s="2">
        <v>4</v>
      </c>
      <c r="D71" s="2">
        <v>44.288170000000001</v>
      </c>
      <c r="E71" s="2">
        <f>C71*D71</f>
        <v>177.15268</v>
      </c>
      <c r="F71" s="3">
        <v>41823</v>
      </c>
      <c r="G71" s="5">
        <f>SUM(C71:C73)</f>
        <v>32</v>
      </c>
    </row>
    <row r="72" spans="1:7" x14ac:dyDescent="0.3">
      <c r="A72" s="2">
        <v>3060</v>
      </c>
      <c r="B72" s="2" t="s">
        <v>7</v>
      </c>
      <c r="C72" s="2">
        <v>4</v>
      </c>
      <c r="D72" s="2">
        <v>44.288170000000001</v>
      </c>
      <c r="E72" s="2">
        <f>C72*D72</f>
        <v>177.15268</v>
      </c>
      <c r="F72" s="3">
        <v>41831</v>
      </c>
      <c r="G72" s="7"/>
    </row>
    <row r="73" spans="1:7" x14ac:dyDescent="0.3">
      <c r="A73" s="2">
        <v>3112</v>
      </c>
      <c r="B73" s="2" t="s">
        <v>12</v>
      </c>
      <c r="C73" s="2">
        <v>24</v>
      </c>
      <c r="D73" s="2">
        <v>44.288170000000001</v>
      </c>
      <c r="E73" s="2">
        <f>C73*D73</f>
        <v>1062.91608</v>
      </c>
      <c r="F73" s="3">
        <v>41845</v>
      </c>
      <c r="G73" s="6"/>
    </row>
    <row r="74" spans="1:7" x14ac:dyDescent="0.3">
      <c r="A74" s="2">
        <v>3112</v>
      </c>
      <c r="B74" s="2" t="s">
        <v>12</v>
      </c>
      <c r="C74" s="2">
        <v>24</v>
      </c>
      <c r="D74" s="2">
        <v>44.288170000000001</v>
      </c>
      <c r="E74" s="2">
        <f>C74*D74</f>
        <v>1062.91608</v>
      </c>
      <c r="F74" s="3">
        <v>41852</v>
      </c>
      <c r="G74" s="5">
        <f>SUM(C74:C75)</f>
        <v>48</v>
      </c>
    </row>
    <row r="75" spans="1:7" x14ac:dyDescent="0.3">
      <c r="A75" s="2">
        <v>3112</v>
      </c>
      <c r="B75" s="2" t="s">
        <v>12</v>
      </c>
      <c r="C75" s="2">
        <v>24</v>
      </c>
      <c r="D75" s="2">
        <v>44.288170000000001</v>
      </c>
      <c r="E75" s="2">
        <f>C75*D75</f>
        <v>1062.91608</v>
      </c>
      <c r="F75" s="3">
        <v>41859</v>
      </c>
      <c r="G75" s="6"/>
    </row>
    <row r="76" spans="1:7" x14ac:dyDescent="0.3">
      <c r="A76" s="2">
        <v>3112</v>
      </c>
      <c r="B76" s="2" t="s">
        <v>12</v>
      </c>
      <c r="C76" s="2">
        <v>24</v>
      </c>
      <c r="D76" s="2">
        <v>44.288170000000001</v>
      </c>
      <c r="E76" s="2">
        <f>C76*D76</f>
        <v>1062.91608</v>
      </c>
      <c r="F76" s="3">
        <v>41887</v>
      </c>
      <c r="G76" s="5">
        <f>SUM(C76:C78)</f>
        <v>72</v>
      </c>
    </row>
    <row r="77" spans="1:7" x14ac:dyDescent="0.3">
      <c r="A77" s="2">
        <v>3109</v>
      </c>
      <c r="B77" s="2" t="s">
        <v>13</v>
      </c>
      <c r="C77" s="2">
        <v>24</v>
      </c>
      <c r="D77" s="2">
        <v>44.288170000000001</v>
      </c>
      <c r="E77" s="2">
        <f>C77*D77</f>
        <v>1062.91608</v>
      </c>
      <c r="F77" s="3">
        <v>41894</v>
      </c>
      <c r="G77" s="7"/>
    </row>
    <row r="78" spans="1:7" x14ac:dyDescent="0.3">
      <c r="A78" s="2">
        <v>3068</v>
      </c>
      <c r="B78" s="2" t="s">
        <v>14</v>
      </c>
      <c r="C78" s="2">
        <v>24</v>
      </c>
      <c r="D78" s="2">
        <v>44.288170000000001</v>
      </c>
      <c r="E78" s="2">
        <f>C78*D78</f>
        <v>1062.91608</v>
      </c>
      <c r="F78" s="3">
        <v>41901</v>
      </c>
      <c r="G78" s="6"/>
    </row>
    <row r="79" spans="1:7" x14ac:dyDescent="0.3">
      <c r="A79" s="2">
        <v>3077</v>
      </c>
      <c r="B79" s="2" t="s">
        <v>15</v>
      </c>
      <c r="C79" s="2">
        <v>12</v>
      </c>
      <c r="D79" s="2">
        <v>44.288170000000001</v>
      </c>
      <c r="E79" s="2">
        <f>C79*D79</f>
        <v>531.45803999999998</v>
      </c>
      <c r="F79" s="3">
        <v>41915</v>
      </c>
      <c r="G79" s="5">
        <f>SUM(C79:C80)</f>
        <v>16</v>
      </c>
    </row>
    <row r="80" spans="1:7" x14ac:dyDescent="0.3">
      <c r="A80" s="2">
        <v>3065</v>
      </c>
      <c r="B80" s="2" t="s">
        <v>11</v>
      </c>
      <c r="C80" s="2">
        <v>4</v>
      </c>
      <c r="D80" s="2">
        <v>44.288170000000001</v>
      </c>
      <c r="E80" s="2">
        <f>C80*D80</f>
        <v>177.15268</v>
      </c>
      <c r="F80" s="3">
        <v>41936</v>
      </c>
      <c r="G80" s="6"/>
    </row>
    <row r="81" spans="1:7" x14ac:dyDescent="0.3">
      <c r="A81" s="2">
        <v>3109</v>
      </c>
      <c r="B81" s="2" t="s">
        <v>13</v>
      </c>
      <c r="C81" s="2">
        <v>24</v>
      </c>
      <c r="D81" s="2">
        <v>44.288170000000001</v>
      </c>
      <c r="E81" s="2">
        <f>C81*D81</f>
        <v>1062.91608</v>
      </c>
      <c r="F81" s="3">
        <v>41969</v>
      </c>
      <c r="G81" s="4">
        <v>24</v>
      </c>
    </row>
    <row r="82" spans="1:7" x14ac:dyDescent="0.3">
      <c r="A82" s="2">
        <v>3077</v>
      </c>
      <c r="B82" s="2" t="s">
        <v>15</v>
      </c>
      <c r="C82" s="2">
        <v>24</v>
      </c>
      <c r="D82" s="2">
        <v>44.288170000000001</v>
      </c>
      <c r="E82" s="2">
        <f>C82*D82</f>
        <v>1062.91608</v>
      </c>
      <c r="F82" s="3">
        <v>41985</v>
      </c>
      <c r="G82" s="5">
        <f>SUM(C82:C83)</f>
        <v>28</v>
      </c>
    </row>
    <row r="83" spans="1:7" x14ac:dyDescent="0.3">
      <c r="A83" s="2">
        <v>3065</v>
      </c>
      <c r="B83" s="2" t="s">
        <v>11</v>
      </c>
      <c r="C83" s="2">
        <v>4</v>
      </c>
      <c r="D83" s="2">
        <v>44.288170000000001</v>
      </c>
      <c r="E83" s="2">
        <f>C83*D83</f>
        <v>177.15268</v>
      </c>
      <c r="F83" s="3">
        <v>41992</v>
      </c>
      <c r="G83" s="6"/>
    </row>
    <row r="84" spans="1:7" x14ac:dyDescent="0.3">
      <c r="A84" s="2"/>
      <c r="B84" s="8" t="s">
        <v>9</v>
      </c>
      <c r="C84" s="2">
        <f>SUM(C53:C83)</f>
        <v>778</v>
      </c>
      <c r="D84" s="2"/>
      <c r="E84" s="2"/>
      <c r="F84" s="3"/>
      <c r="G84" s="4"/>
    </row>
    <row r="85" spans="1:7" x14ac:dyDescent="0.3">
      <c r="A85" s="2"/>
      <c r="B85" s="8" t="s">
        <v>10</v>
      </c>
      <c r="C85" s="2">
        <f>SUM(E53:E83)</f>
        <v>34456.196259999997</v>
      </c>
      <c r="D85" s="2"/>
      <c r="E85" s="2"/>
      <c r="F85" s="3"/>
      <c r="G85" s="4"/>
    </row>
    <row r="86" spans="1:7" x14ac:dyDescent="0.3">
      <c r="A86" s="2"/>
      <c r="B86" s="2"/>
      <c r="C86" s="2"/>
      <c r="D86" s="2"/>
      <c r="E86" s="2"/>
      <c r="F86" s="3"/>
      <c r="G86" s="4"/>
    </row>
    <row r="87" spans="1:7" x14ac:dyDescent="0.3">
      <c r="A87" s="2">
        <v>3077</v>
      </c>
      <c r="B87" s="2" t="s">
        <v>15</v>
      </c>
      <c r="C87" s="2">
        <v>24</v>
      </c>
      <c r="D87" s="2">
        <v>44.288170000000001</v>
      </c>
      <c r="E87" s="2">
        <f>C87*D87</f>
        <v>1062.91608</v>
      </c>
      <c r="F87" s="3">
        <v>42006</v>
      </c>
      <c r="G87" s="5">
        <f>SUM(C87:C89)</f>
        <v>48</v>
      </c>
    </row>
    <row r="88" spans="1:7" x14ac:dyDescent="0.3">
      <c r="A88" s="2">
        <v>3077</v>
      </c>
      <c r="B88" s="2" t="s">
        <v>15</v>
      </c>
      <c r="C88" s="2">
        <v>12</v>
      </c>
      <c r="D88" s="2">
        <v>44.288170000000001</v>
      </c>
      <c r="E88" s="2">
        <f>C88*D88</f>
        <v>531.45803999999998</v>
      </c>
      <c r="F88" s="3">
        <v>42020</v>
      </c>
      <c r="G88" s="7"/>
    </row>
    <row r="89" spans="1:7" x14ac:dyDescent="0.3">
      <c r="A89" s="2">
        <v>3065</v>
      </c>
      <c r="B89" s="2" t="s">
        <v>11</v>
      </c>
      <c r="C89" s="2">
        <v>12</v>
      </c>
      <c r="D89" s="2">
        <v>44.288170000000001</v>
      </c>
      <c r="E89" s="2">
        <f>C89*D89</f>
        <v>531.45803999999998</v>
      </c>
      <c r="F89" s="3">
        <v>42027</v>
      </c>
      <c r="G89" s="6"/>
    </row>
    <row r="90" spans="1:7" x14ac:dyDescent="0.3">
      <c r="A90" s="2">
        <v>3114</v>
      </c>
      <c r="B90" s="2" t="s">
        <v>16</v>
      </c>
      <c r="C90" s="2">
        <v>12</v>
      </c>
      <c r="D90" s="2">
        <v>44.288170000000001</v>
      </c>
      <c r="E90" s="2">
        <f>C90*D90</f>
        <v>531.45803999999998</v>
      </c>
      <c r="F90" s="3">
        <v>42041</v>
      </c>
      <c r="G90" s="5">
        <f>SUM(C90:C91)</f>
        <v>36</v>
      </c>
    </row>
    <row r="91" spans="1:7" x14ac:dyDescent="0.3">
      <c r="A91" s="2">
        <v>3112</v>
      </c>
      <c r="B91" s="2" t="s">
        <v>12</v>
      </c>
      <c r="C91" s="2">
        <v>24</v>
      </c>
      <c r="D91" s="2">
        <v>44.288170000000001</v>
      </c>
      <c r="E91" s="2">
        <f>C91*D91</f>
        <v>1062.91608</v>
      </c>
      <c r="F91" s="3">
        <v>42055</v>
      </c>
      <c r="G91" s="6"/>
    </row>
    <row r="92" spans="1:7" x14ac:dyDescent="0.3">
      <c r="A92" s="2">
        <v>3112</v>
      </c>
      <c r="B92" s="2" t="s">
        <v>12</v>
      </c>
      <c r="C92" s="2">
        <v>24</v>
      </c>
      <c r="D92" s="2">
        <v>44.288170000000001</v>
      </c>
      <c r="E92" s="2">
        <f>C92*D92</f>
        <v>1062.91608</v>
      </c>
      <c r="F92" s="3">
        <v>42090</v>
      </c>
      <c r="G92" s="4">
        <v>24</v>
      </c>
    </row>
    <row r="93" spans="1:7" x14ac:dyDescent="0.3">
      <c r="A93" s="2">
        <v>3112</v>
      </c>
      <c r="B93" s="2" t="s">
        <v>12</v>
      </c>
      <c r="C93" s="2">
        <v>24</v>
      </c>
      <c r="D93" s="2">
        <v>44.288170000000001</v>
      </c>
      <c r="E93" s="2">
        <f>C93*D93</f>
        <v>1062.91608</v>
      </c>
      <c r="F93" s="3">
        <v>42096</v>
      </c>
      <c r="G93" s="4">
        <v>24</v>
      </c>
    </row>
    <row r="94" spans="1:7" x14ac:dyDescent="0.3">
      <c r="A94" s="2">
        <v>3077</v>
      </c>
      <c r="B94" s="2" t="s">
        <v>15</v>
      </c>
      <c r="C94" s="2">
        <v>24</v>
      </c>
      <c r="D94" s="2">
        <v>44.288170000000001</v>
      </c>
      <c r="E94" s="2">
        <f>C94*D94</f>
        <v>1062.91608</v>
      </c>
      <c r="F94" s="3">
        <v>42125</v>
      </c>
      <c r="G94" s="5">
        <f>SUM(C94:C95)</f>
        <v>48</v>
      </c>
    </row>
    <row r="95" spans="1:7" x14ac:dyDescent="0.3">
      <c r="A95" s="2">
        <v>3077</v>
      </c>
      <c r="B95" s="2" t="s">
        <v>15</v>
      </c>
      <c r="C95" s="2">
        <v>24</v>
      </c>
      <c r="D95" s="2">
        <v>44.288170000000001</v>
      </c>
      <c r="E95" s="2">
        <f>C95*D95</f>
        <v>1062.91608</v>
      </c>
      <c r="F95" s="3">
        <v>42153</v>
      </c>
      <c r="G95" s="6"/>
    </row>
    <row r="96" spans="1:7" x14ac:dyDescent="0.3">
      <c r="A96" s="2">
        <v>3077</v>
      </c>
      <c r="B96" s="2" t="s">
        <v>15</v>
      </c>
      <c r="C96" s="2">
        <v>24</v>
      </c>
      <c r="D96" s="2">
        <v>44.288170000000001</v>
      </c>
      <c r="E96" s="2">
        <f>C96*D96</f>
        <v>1062.91608</v>
      </c>
      <c r="F96" s="3">
        <v>42167</v>
      </c>
      <c r="G96" s="5">
        <f>SUM(C96:C98)</f>
        <v>84</v>
      </c>
    </row>
    <row r="97" spans="1:7" x14ac:dyDescent="0.3">
      <c r="A97" s="2">
        <v>3077</v>
      </c>
      <c r="B97" s="2" t="s">
        <v>15</v>
      </c>
      <c r="C97" s="2">
        <v>24</v>
      </c>
      <c r="D97" s="2">
        <v>44.288170000000001</v>
      </c>
      <c r="E97" s="2">
        <f>C97*D97</f>
        <v>1062.91608</v>
      </c>
      <c r="F97" s="3">
        <v>42174</v>
      </c>
      <c r="G97" s="7"/>
    </row>
    <row r="98" spans="1:7" x14ac:dyDescent="0.3">
      <c r="A98" s="2">
        <v>3077</v>
      </c>
      <c r="B98" s="2" t="s">
        <v>15</v>
      </c>
      <c r="C98" s="2">
        <v>36</v>
      </c>
      <c r="D98" s="2">
        <v>44.288170000000001</v>
      </c>
      <c r="E98" s="2">
        <f>C98*D98</f>
        <v>1594.3741199999999</v>
      </c>
      <c r="F98" s="3">
        <v>42181</v>
      </c>
      <c r="G98" s="6"/>
    </row>
    <row r="99" spans="1:7" x14ac:dyDescent="0.3">
      <c r="A99" s="2">
        <v>3077</v>
      </c>
      <c r="B99" s="2" t="s">
        <v>15</v>
      </c>
      <c r="C99" s="2">
        <v>12</v>
      </c>
      <c r="D99" s="2">
        <v>44.288170000000001</v>
      </c>
      <c r="E99" s="2">
        <f>C99*D99</f>
        <v>531.45803999999998</v>
      </c>
      <c r="F99" s="3">
        <v>42186</v>
      </c>
      <c r="G99" s="5">
        <f>SUM(C99:C101)</f>
        <v>60</v>
      </c>
    </row>
    <row r="100" spans="1:7" x14ac:dyDescent="0.3">
      <c r="A100" s="2">
        <v>3112</v>
      </c>
      <c r="B100" s="2" t="s">
        <v>12</v>
      </c>
      <c r="C100" s="2">
        <v>24</v>
      </c>
      <c r="D100" s="2">
        <v>44.288170000000001</v>
      </c>
      <c r="E100" s="2">
        <f>C100*D100</f>
        <v>1062.91608</v>
      </c>
      <c r="F100" s="3">
        <v>42195</v>
      </c>
      <c r="G100" s="7"/>
    </row>
    <row r="101" spans="1:7" x14ac:dyDescent="0.3">
      <c r="A101" s="2">
        <v>3112</v>
      </c>
      <c r="B101" s="2" t="s">
        <v>12</v>
      </c>
      <c r="C101" s="2">
        <v>24</v>
      </c>
      <c r="D101" s="2">
        <v>45.173940000000002</v>
      </c>
      <c r="E101" s="2">
        <f>C101*D101</f>
        <v>1084.1745599999999</v>
      </c>
      <c r="F101" s="3">
        <v>42209</v>
      </c>
      <c r="G101" s="6"/>
    </row>
    <row r="102" spans="1:7" x14ac:dyDescent="0.3">
      <c r="A102" s="2">
        <v>3078</v>
      </c>
      <c r="B102" s="2" t="s">
        <v>17</v>
      </c>
      <c r="C102" s="2">
        <v>12</v>
      </c>
      <c r="D102" s="2">
        <v>45.173940000000002</v>
      </c>
      <c r="E102" s="2">
        <f>C102*D102</f>
        <v>542.08727999999996</v>
      </c>
      <c r="F102" s="3">
        <v>42230</v>
      </c>
      <c r="G102" s="4">
        <v>12</v>
      </c>
    </row>
    <row r="103" spans="1:7" x14ac:dyDescent="0.3">
      <c r="A103" s="2">
        <v>3112</v>
      </c>
      <c r="B103" s="2" t="s">
        <v>12</v>
      </c>
      <c r="C103" s="2">
        <v>36</v>
      </c>
      <c r="D103" s="2">
        <v>45.173940000000002</v>
      </c>
      <c r="E103" s="2">
        <f>C103*D103</f>
        <v>1626.2618400000001</v>
      </c>
      <c r="F103" s="3">
        <v>42265</v>
      </c>
      <c r="G103" s="4">
        <v>36</v>
      </c>
    </row>
    <row r="104" spans="1:7" x14ac:dyDescent="0.3">
      <c r="A104" s="2">
        <v>3068</v>
      </c>
      <c r="B104" s="2" t="s">
        <v>14</v>
      </c>
      <c r="C104" s="2">
        <v>12</v>
      </c>
      <c r="D104" s="2">
        <v>45.173940000000002</v>
      </c>
      <c r="E104" s="2">
        <f>C104*D104</f>
        <v>542.08727999999996</v>
      </c>
      <c r="F104" s="3">
        <v>42300</v>
      </c>
      <c r="G104" s="5">
        <f>SUM(C104:C105)</f>
        <v>60</v>
      </c>
    </row>
    <row r="105" spans="1:7" x14ac:dyDescent="0.3">
      <c r="A105" s="2">
        <v>3065</v>
      </c>
      <c r="B105" s="2" t="s">
        <v>11</v>
      </c>
      <c r="C105" s="2">
        <v>48</v>
      </c>
      <c r="D105" s="2">
        <v>45.173940000000002</v>
      </c>
      <c r="E105" s="2">
        <f>C105*D105</f>
        <v>2168.3491199999999</v>
      </c>
      <c r="F105" s="3">
        <v>42307</v>
      </c>
      <c r="G105" s="6"/>
    </row>
    <row r="106" spans="1:7" x14ac:dyDescent="0.3">
      <c r="A106" s="2">
        <v>3113</v>
      </c>
      <c r="B106" s="2" t="s">
        <v>18</v>
      </c>
      <c r="C106" s="2">
        <v>4</v>
      </c>
      <c r="D106" s="2">
        <v>45.173940000000002</v>
      </c>
      <c r="E106" s="2">
        <f>C106*D106</f>
        <v>180.69576000000001</v>
      </c>
      <c r="F106" s="3">
        <v>42369</v>
      </c>
      <c r="G106" s="4">
        <v>4</v>
      </c>
    </row>
    <row r="107" spans="1:7" x14ac:dyDescent="0.3">
      <c r="A107" s="2"/>
      <c r="B107" s="8" t="s">
        <v>9</v>
      </c>
      <c r="C107" s="2">
        <f>SUM(C87:C106)</f>
        <v>436</v>
      </c>
      <c r="D107" s="2"/>
      <c r="E107" s="2"/>
      <c r="F107" s="3"/>
      <c r="G107" s="4"/>
    </row>
    <row r="108" spans="1:7" x14ac:dyDescent="0.3">
      <c r="A108" s="2"/>
      <c r="B108" s="8" t="s">
        <v>10</v>
      </c>
      <c r="C108" s="2">
        <f>SUM(E87:E106)</f>
        <v>19430.106839999997</v>
      </c>
      <c r="D108" s="2"/>
      <c r="E108" s="2"/>
      <c r="F108" s="3"/>
      <c r="G108" s="4"/>
    </row>
    <row r="109" spans="1:7" x14ac:dyDescent="0.3">
      <c r="A109" s="2"/>
      <c r="B109" s="2"/>
      <c r="C109" s="2"/>
      <c r="D109" s="2"/>
      <c r="E109" s="2"/>
      <c r="F109" s="3"/>
      <c r="G109" s="4"/>
    </row>
    <row r="110" spans="1:7" x14ac:dyDescent="0.3">
      <c r="A110" s="2">
        <v>3078</v>
      </c>
      <c r="B110" s="2" t="s">
        <v>17</v>
      </c>
      <c r="C110" s="2">
        <v>12</v>
      </c>
      <c r="D110" s="2">
        <v>45.851550000000003</v>
      </c>
      <c r="E110" s="2">
        <f>C110*D110</f>
        <v>550.21860000000004</v>
      </c>
      <c r="F110" s="3">
        <v>42419</v>
      </c>
      <c r="G110" s="4">
        <v>12</v>
      </c>
    </row>
    <row r="111" spans="1:7" x14ac:dyDescent="0.3">
      <c r="A111" s="2">
        <v>3112</v>
      </c>
      <c r="B111" s="2" t="s">
        <v>12</v>
      </c>
      <c r="C111" s="2">
        <v>48</v>
      </c>
      <c r="D111" s="2">
        <v>45.851550000000003</v>
      </c>
      <c r="E111" s="2">
        <f>C111*D111</f>
        <v>2200.8744000000002</v>
      </c>
      <c r="F111" s="3">
        <v>42433</v>
      </c>
      <c r="G111" s="5">
        <f>SUM(C111:C114)</f>
        <v>128</v>
      </c>
    </row>
    <row r="112" spans="1:7" x14ac:dyDescent="0.3">
      <c r="A112" s="2">
        <v>3113</v>
      </c>
      <c r="B112" s="2" t="s">
        <v>18</v>
      </c>
      <c r="C112" s="2">
        <v>8</v>
      </c>
      <c r="D112" s="2">
        <v>45.851550000000003</v>
      </c>
      <c r="E112" s="2">
        <f>C112*D112</f>
        <v>366.81240000000003</v>
      </c>
      <c r="F112" s="3">
        <v>42440</v>
      </c>
      <c r="G112" s="7"/>
    </row>
    <row r="113" spans="1:7" x14ac:dyDescent="0.3">
      <c r="A113" s="2">
        <v>3112</v>
      </c>
      <c r="B113" s="2" t="s">
        <v>12</v>
      </c>
      <c r="C113" s="2">
        <v>48</v>
      </c>
      <c r="D113" s="2">
        <v>45.851550000000003</v>
      </c>
      <c r="E113" s="2">
        <f>C113*D113</f>
        <v>2200.8744000000002</v>
      </c>
      <c r="F113" s="3">
        <v>42447</v>
      </c>
      <c r="G113" s="7"/>
    </row>
    <row r="114" spans="1:7" x14ac:dyDescent="0.3">
      <c r="A114" s="2">
        <v>3112</v>
      </c>
      <c r="B114" s="2" t="s">
        <v>12</v>
      </c>
      <c r="C114" s="2">
        <v>24</v>
      </c>
      <c r="D114" s="2">
        <v>45.851550000000003</v>
      </c>
      <c r="E114" s="2">
        <f>C114*D114</f>
        <v>1100.4372000000001</v>
      </c>
      <c r="F114" s="3">
        <v>42453</v>
      </c>
      <c r="G114" s="6"/>
    </row>
    <row r="115" spans="1:7" x14ac:dyDescent="0.3">
      <c r="A115" s="2">
        <v>3113</v>
      </c>
      <c r="B115" s="2" t="s">
        <v>18</v>
      </c>
      <c r="C115" s="2">
        <v>4</v>
      </c>
      <c r="D115" s="2">
        <v>45.851550000000003</v>
      </c>
      <c r="E115" s="2">
        <f>C115*D115</f>
        <v>183.40620000000001</v>
      </c>
      <c r="F115" s="3">
        <v>42461</v>
      </c>
      <c r="G115" s="5">
        <f>SUM(C115:C117)</f>
        <v>32</v>
      </c>
    </row>
    <row r="116" spans="1:7" x14ac:dyDescent="0.3">
      <c r="A116" s="2">
        <v>3106</v>
      </c>
      <c r="B116" s="2" t="s">
        <v>19</v>
      </c>
      <c r="C116" s="2">
        <v>24</v>
      </c>
      <c r="D116" s="2">
        <v>45.851550000000003</v>
      </c>
      <c r="E116" s="2">
        <f>C116*D116</f>
        <v>1100.4372000000001</v>
      </c>
      <c r="F116" s="3">
        <v>42468</v>
      </c>
      <c r="G116" s="7"/>
    </row>
    <row r="117" spans="1:7" x14ac:dyDescent="0.3">
      <c r="A117" s="2">
        <v>3113</v>
      </c>
      <c r="B117" s="2" t="s">
        <v>18</v>
      </c>
      <c r="C117" s="2">
        <v>4</v>
      </c>
      <c r="D117" s="2">
        <v>45.851550000000003</v>
      </c>
      <c r="E117" s="2">
        <f>C117*D117</f>
        <v>183.40620000000001</v>
      </c>
      <c r="F117" s="3">
        <v>42482</v>
      </c>
      <c r="G117" s="6"/>
    </row>
    <row r="118" spans="1:7" x14ac:dyDescent="0.3">
      <c r="A118" s="2">
        <v>3106</v>
      </c>
      <c r="B118" s="2" t="s">
        <v>19</v>
      </c>
      <c r="C118" s="2">
        <v>24</v>
      </c>
      <c r="D118" s="2">
        <v>45.851550000000003</v>
      </c>
      <c r="E118" s="2">
        <f>C118*D118</f>
        <v>1100.4372000000001</v>
      </c>
      <c r="F118" s="3">
        <v>42503</v>
      </c>
      <c r="G118" s="4">
        <v>24</v>
      </c>
    </row>
    <row r="119" spans="1:7" x14ac:dyDescent="0.3">
      <c r="A119" s="2">
        <v>3077</v>
      </c>
      <c r="B119" s="2" t="s">
        <v>15</v>
      </c>
      <c r="C119" s="2">
        <v>48</v>
      </c>
      <c r="D119" s="2">
        <v>45.851550000000003</v>
      </c>
      <c r="E119" s="2">
        <f>C119*D119</f>
        <v>2200.8744000000002</v>
      </c>
      <c r="F119" s="3">
        <v>42531</v>
      </c>
      <c r="G119" s="5">
        <f>SUM(C119:C120)</f>
        <v>72</v>
      </c>
    </row>
    <row r="120" spans="1:7" x14ac:dyDescent="0.3">
      <c r="A120" s="2">
        <v>3077</v>
      </c>
      <c r="B120" s="2" t="s">
        <v>15</v>
      </c>
      <c r="C120" s="2">
        <v>24</v>
      </c>
      <c r="D120" s="2">
        <v>45.851550000000003</v>
      </c>
      <c r="E120" s="2">
        <f>C120*D120</f>
        <v>1100.4372000000001</v>
      </c>
      <c r="F120" s="3">
        <v>42545</v>
      </c>
      <c r="G120" s="6"/>
    </row>
    <row r="121" spans="1:7" x14ac:dyDescent="0.3">
      <c r="A121" s="2">
        <v>3113</v>
      </c>
      <c r="B121" s="2" t="s">
        <v>18</v>
      </c>
      <c r="C121" s="2">
        <v>4</v>
      </c>
      <c r="D121" s="2">
        <v>46.539319999999996</v>
      </c>
      <c r="E121" s="2">
        <f>C121*D121</f>
        <v>186.15727999999999</v>
      </c>
      <c r="F121" s="3">
        <v>42573</v>
      </c>
      <c r="G121" s="4">
        <v>4</v>
      </c>
    </row>
    <row r="122" spans="1:7" x14ac:dyDescent="0.3">
      <c r="A122" s="2">
        <v>3078</v>
      </c>
      <c r="B122" s="2" t="s">
        <v>17</v>
      </c>
      <c r="C122" s="2">
        <v>12</v>
      </c>
      <c r="D122" s="2">
        <v>46.539319999999996</v>
      </c>
      <c r="E122" s="2">
        <f>C122*D122</f>
        <v>558.47183999999993</v>
      </c>
      <c r="F122" s="3">
        <v>42587</v>
      </c>
      <c r="G122" s="4">
        <v>12</v>
      </c>
    </row>
    <row r="123" spans="1:7" x14ac:dyDescent="0.3">
      <c r="A123" s="2">
        <v>3112</v>
      </c>
      <c r="B123" s="2" t="s">
        <v>12</v>
      </c>
      <c r="C123" s="2">
        <v>24</v>
      </c>
      <c r="D123" s="2">
        <v>46.539319999999996</v>
      </c>
      <c r="E123" s="2">
        <f>C123*D123</f>
        <v>1116.9436799999999</v>
      </c>
      <c r="F123" s="3">
        <v>42615</v>
      </c>
      <c r="G123" s="4">
        <v>24</v>
      </c>
    </row>
    <row r="124" spans="1:7" x14ac:dyDescent="0.3">
      <c r="A124" s="2">
        <v>3065</v>
      </c>
      <c r="B124" s="2" t="s">
        <v>11</v>
      </c>
      <c r="C124" s="2">
        <v>12</v>
      </c>
      <c r="D124" s="2">
        <v>46.539319999999996</v>
      </c>
      <c r="E124" s="2">
        <f>C124*D124</f>
        <v>558.47183999999993</v>
      </c>
      <c r="F124" s="3">
        <v>42692</v>
      </c>
      <c r="G124" s="4">
        <v>12</v>
      </c>
    </row>
    <row r="125" spans="1:7" x14ac:dyDescent="0.3">
      <c r="A125" s="2">
        <v>3106</v>
      </c>
      <c r="B125" s="2" t="s">
        <v>19</v>
      </c>
      <c r="C125" s="2">
        <v>24</v>
      </c>
      <c r="D125" s="2">
        <v>46.539319999999996</v>
      </c>
      <c r="E125" s="2">
        <f>C125*D125</f>
        <v>1116.9436799999999</v>
      </c>
      <c r="F125" s="3">
        <v>42706</v>
      </c>
      <c r="G125" s="5">
        <f>SUM(C125:C127)</f>
        <v>52</v>
      </c>
    </row>
    <row r="126" spans="1:7" x14ac:dyDescent="0.3">
      <c r="A126" s="2">
        <v>3065</v>
      </c>
      <c r="B126" s="2" t="s">
        <v>11</v>
      </c>
      <c r="C126" s="2">
        <v>4</v>
      </c>
      <c r="D126" s="2">
        <v>46.539319999999996</v>
      </c>
      <c r="E126" s="2">
        <f>C126*D126</f>
        <v>186.15727999999999</v>
      </c>
      <c r="F126" s="3">
        <v>42727</v>
      </c>
      <c r="G126" s="7"/>
    </row>
    <row r="127" spans="1:7" x14ac:dyDescent="0.3">
      <c r="A127" s="2">
        <v>3112</v>
      </c>
      <c r="B127" s="2" t="s">
        <v>12</v>
      </c>
      <c r="C127" s="2">
        <v>24</v>
      </c>
      <c r="D127" s="2">
        <v>46.539319999999996</v>
      </c>
      <c r="E127" s="2">
        <f>C127*D127</f>
        <v>1116.9436799999999</v>
      </c>
      <c r="F127" s="3">
        <v>42734</v>
      </c>
      <c r="G127" s="6"/>
    </row>
    <row r="128" spans="1:7" x14ac:dyDescent="0.3">
      <c r="A128" s="2"/>
      <c r="B128" s="8" t="s">
        <v>9</v>
      </c>
      <c r="C128" s="2">
        <f>SUM(C110:C127)</f>
        <v>372</v>
      </c>
      <c r="D128" s="2"/>
      <c r="E128" s="2"/>
      <c r="F128" s="3"/>
      <c r="G128" s="4"/>
    </row>
    <row r="129" spans="1:7" x14ac:dyDescent="0.3">
      <c r="A129" s="2"/>
      <c r="B129" s="8" t="s">
        <v>10</v>
      </c>
      <c r="C129" s="2">
        <f>SUM(E110:E127)</f>
        <v>17128.304680000001</v>
      </c>
      <c r="D129" s="2"/>
      <c r="E129" s="2"/>
      <c r="F129" s="3"/>
      <c r="G129" s="4"/>
    </row>
    <row r="130" spans="1:7" x14ac:dyDescent="0.3">
      <c r="A130" s="2"/>
      <c r="B130" s="2"/>
      <c r="C130" s="2"/>
      <c r="D130" s="2"/>
      <c r="E130" s="2"/>
      <c r="F130" s="3"/>
      <c r="G130" s="4"/>
    </row>
    <row r="131" spans="1:7" x14ac:dyDescent="0.3">
      <c r="A131" s="2">
        <v>3065</v>
      </c>
      <c r="B131" s="2" t="s">
        <v>11</v>
      </c>
      <c r="C131" s="2">
        <v>4</v>
      </c>
      <c r="D131" s="2">
        <v>47.237409999999997</v>
      </c>
      <c r="E131" s="2">
        <f>C131*D131</f>
        <v>188.94963999999999</v>
      </c>
      <c r="F131" s="3">
        <v>42762</v>
      </c>
      <c r="G131" s="4">
        <v>4</v>
      </c>
    </row>
    <row r="132" spans="1:7" x14ac:dyDescent="0.3">
      <c r="A132" s="2">
        <v>3112</v>
      </c>
      <c r="B132" s="2" t="s">
        <v>12</v>
      </c>
      <c r="C132" s="2">
        <v>24</v>
      </c>
      <c r="D132" s="2">
        <v>47.237409999999997</v>
      </c>
      <c r="E132" s="2">
        <f>C132*D132</f>
        <v>1133.6978399999998</v>
      </c>
      <c r="F132" s="3">
        <v>42769</v>
      </c>
      <c r="G132" s="5">
        <f>SUM(C132:C134)</f>
        <v>72</v>
      </c>
    </row>
    <row r="133" spans="1:7" x14ac:dyDescent="0.3">
      <c r="A133" s="2">
        <v>3106</v>
      </c>
      <c r="B133" s="2" t="s">
        <v>19</v>
      </c>
      <c r="C133" s="2">
        <v>24</v>
      </c>
      <c r="D133" s="2">
        <v>47.237409999999997</v>
      </c>
      <c r="E133" s="2">
        <f>C133*D133</f>
        <v>1133.6978399999998</v>
      </c>
      <c r="F133" s="3">
        <v>42776</v>
      </c>
      <c r="G133" s="7"/>
    </row>
    <row r="134" spans="1:7" x14ac:dyDescent="0.3">
      <c r="A134" s="2">
        <v>3112</v>
      </c>
      <c r="B134" s="2" t="s">
        <v>12</v>
      </c>
      <c r="C134" s="2">
        <v>24</v>
      </c>
      <c r="D134" s="2">
        <v>47.237409999999997</v>
      </c>
      <c r="E134" s="2">
        <f>C134*D134</f>
        <v>1133.6978399999998</v>
      </c>
      <c r="F134" s="3">
        <v>42790</v>
      </c>
      <c r="G134" s="6"/>
    </row>
    <row r="135" spans="1:7" x14ac:dyDescent="0.3">
      <c r="A135" s="2">
        <v>3113</v>
      </c>
      <c r="B135" s="2" t="s">
        <v>18</v>
      </c>
      <c r="C135" s="2">
        <v>4</v>
      </c>
      <c r="D135" s="2">
        <v>47.237409999999997</v>
      </c>
      <c r="E135" s="2">
        <f>C135*D135</f>
        <v>188.94963999999999</v>
      </c>
      <c r="F135" s="3">
        <v>42804</v>
      </c>
      <c r="G135" s="5">
        <f>SUM(C135:C137)</f>
        <v>40</v>
      </c>
    </row>
    <row r="136" spans="1:7" x14ac:dyDescent="0.3">
      <c r="A136" s="2">
        <v>3112</v>
      </c>
      <c r="B136" s="2" t="s">
        <v>12</v>
      </c>
      <c r="C136" s="2">
        <v>24</v>
      </c>
      <c r="D136" s="2">
        <v>47.237409999999997</v>
      </c>
      <c r="E136" s="2">
        <f>C136*D136</f>
        <v>1133.6978399999998</v>
      </c>
      <c r="F136" s="3">
        <v>42811</v>
      </c>
      <c r="G136" s="7"/>
    </row>
    <row r="137" spans="1:7" x14ac:dyDescent="0.3">
      <c r="A137" s="2">
        <v>3112</v>
      </c>
      <c r="B137" s="2" t="s">
        <v>12</v>
      </c>
      <c r="C137" s="2">
        <v>12</v>
      </c>
      <c r="D137" s="2">
        <v>47.237409999999997</v>
      </c>
      <c r="E137" s="2">
        <f>C137*D137</f>
        <v>566.84891999999991</v>
      </c>
      <c r="F137" s="3">
        <v>42825</v>
      </c>
      <c r="G137" s="6"/>
    </row>
    <row r="138" spans="1:7" x14ac:dyDescent="0.3">
      <c r="A138" s="2">
        <v>3077</v>
      </c>
      <c r="B138" s="2" t="s">
        <v>15</v>
      </c>
      <c r="C138" s="2">
        <v>24</v>
      </c>
      <c r="D138" s="2">
        <v>47.237409999999997</v>
      </c>
      <c r="E138" s="2">
        <f>C138*D138</f>
        <v>1133.6978399999998</v>
      </c>
      <c r="F138" s="3">
        <v>42853</v>
      </c>
      <c r="G138" s="4">
        <v>24</v>
      </c>
    </row>
    <row r="139" spans="1:7" x14ac:dyDescent="0.3">
      <c r="A139" s="2">
        <v>3113</v>
      </c>
      <c r="B139" s="2" t="s">
        <v>18</v>
      </c>
      <c r="C139" s="2">
        <v>4</v>
      </c>
      <c r="D139" s="2">
        <v>47.237409999999997</v>
      </c>
      <c r="E139" s="2">
        <f>C139*D139</f>
        <v>188.94963999999999</v>
      </c>
      <c r="F139" s="3">
        <v>42874</v>
      </c>
      <c r="G139" s="4">
        <v>4</v>
      </c>
    </row>
    <row r="140" spans="1:7" x14ac:dyDescent="0.3">
      <c r="A140" s="2">
        <v>3077</v>
      </c>
      <c r="B140" s="2" t="s">
        <v>15</v>
      </c>
      <c r="C140" s="2">
        <v>60</v>
      </c>
      <c r="D140" s="2">
        <v>47.237409999999997</v>
      </c>
      <c r="E140" s="2">
        <f>C140*D140</f>
        <v>2834.2446</v>
      </c>
      <c r="F140" s="3">
        <v>42895</v>
      </c>
      <c r="G140" s="5">
        <f>SUM(C140:C141)</f>
        <v>84</v>
      </c>
    </row>
    <row r="141" spans="1:7" x14ac:dyDescent="0.3">
      <c r="A141" s="2">
        <v>3077</v>
      </c>
      <c r="B141" s="2" t="s">
        <v>15</v>
      </c>
      <c r="C141" s="2">
        <v>24</v>
      </c>
      <c r="D141" s="2">
        <v>47.237409999999997</v>
      </c>
      <c r="E141" s="2">
        <f>C141*D141</f>
        <v>1133.6978399999998</v>
      </c>
      <c r="F141" s="3">
        <v>42902</v>
      </c>
      <c r="G141" s="6"/>
    </row>
    <row r="142" spans="1:7" x14ac:dyDescent="0.3">
      <c r="A142" s="2"/>
      <c r="B142" s="8" t="s">
        <v>9</v>
      </c>
      <c r="C142" s="2">
        <f>SUM(C131:C141)</f>
        <v>228</v>
      </c>
      <c r="D142" s="2"/>
      <c r="E142" s="2"/>
      <c r="F142" s="2"/>
      <c r="G142" s="4"/>
    </row>
    <row r="143" spans="1:7" x14ac:dyDescent="0.3">
      <c r="A143" s="2"/>
      <c r="B143" s="8" t="s">
        <v>10</v>
      </c>
      <c r="C143" s="2">
        <f>SUM(E131:E141)</f>
        <v>10770.12948</v>
      </c>
      <c r="D143" s="2"/>
      <c r="E143" s="2"/>
      <c r="F143" s="2"/>
      <c r="G143" s="4"/>
    </row>
    <row r="144" spans="1:7" x14ac:dyDescent="0.3">
      <c r="A144" s="2"/>
      <c r="B144" s="2"/>
      <c r="C144" s="2"/>
      <c r="D144" s="2"/>
      <c r="E144" s="2"/>
      <c r="F144" s="2"/>
      <c r="G144" s="9"/>
    </row>
  </sheetData>
  <mergeCells count="38">
    <mergeCell ref="G135:G137"/>
    <mergeCell ref="G140:G141"/>
    <mergeCell ref="G104:G105"/>
    <mergeCell ref="G111:G114"/>
    <mergeCell ref="G115:G117"/>
    <mergeCell ref="G119:G120"/>
    <mergeCell ref="G125:G127"/>
    <mergeCell ref="G132:G134"/>
    <mergeCell ref="G82:G83"/>
    <mergeCell ref="G87:G89"/>
    <mergeCell ref="G90:G91"/>
    <mergeCell ref="G94:G95"/>
    <mergeCell ref="G96:G98"/>
    <mergeCell ref="G99:G101"/>
    <mergeCell ref="G64:G67"/>
    <mergeCell ref="G68:G70"/>
    <mergeCell ref="G71:G73"/>
    <mergeCell ref="G74:G75"/>
    <mergeCell ref="G76:G78"/>
    <mergeCell ref="G79:G80"/>
    <mergeCell ref="G41:G42"/>
    <mergeCell ref="G43:G45"/>
    <mergeCell ref="G48:G49"/>
    <mergeCell ref="G54:G57"/>
    <mergeCell ref="G58:G61"/>
    <mergeCell ref="G62:G63"/>
    <mergeCell ref="G19:G20"/>
    <mergeCell ref="G23:G24"/>
    <mergeCell ref="G29:G32"/>
    <mergeCell ref="G33:G34"/>
    <mergeCell ref="G36:G37"/>
    <mergeCell ref="G38:G40"/>
    <mergeCell ref="G2:G3"/>
    <mergeCell ref="G4:G5"/>
    <mergeCell ref="G6:G9"/>
    <mergeCell ref="G10:G11"/>
    <mergeCell ref="G13:G16"/>
    <mergeCell ref="G17:G1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旭 鲁</cp:lastModifiedBy>
  <dcterms:created xsi:type="dcterms:W3CDTF">2024-11-26T08:01:09Z</dcterms:created>
  <dcterms:modified xsi:type="dcterms:W3CDTF">2024-11-26T08:11:03Z</dcterms:modified>
</cp:coreProperties>
</file>