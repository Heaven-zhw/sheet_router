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<sst xmlns="http://schemas.openxmlformats.org/spreadsheetml/2006/main" count="8" uniqueCount="5">
  <si>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green</t>
  </si>
  <si>
    <t>red</t>
  </si>
  <si>
    <t>clone size</t>
  </si>
  <si>
    <t>cumulative probability</t>
  </si>
  <si>
    <t>dashed 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</si>
</sst>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49"/>
    <xf numFmtId="0" fontId="1" fillId="0" borderId="0" xfId="49" applyAlignment="1">
      <alignment horizontal="center"/>
    </xf>
    <xf numFmtId="0" fontId="1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workbookViewId="0">
      <selection activeCell="F4" sqref="F4"/>
    </sheetView>
  </sheetViews>
  <sheetFormatPr defaultColWidth="12.5925925925926" defaultRowHeight="15.6" outlineLevelCol="5"/>
  <cols>
    <col min="1" max="6" width="15.1851851851852" style="1"/>
    <col min="7" max="7" width="12.5925925925926" style="1"/>
    <col min="8" max="8" width="14" style="1"/>
    <col min="9" max="16384" width="12.5925925925926" style="1"/>
  </cols>
  <sheetData>
    <row r="1" s="1" customFormat="1" spans="1:6">
      <c r="A1" s="2" t="s">
        <v>0</v>
      </c>
      <c r="B1" s="2"/>
      <c r="C1" s="2"/>
      <c r="D1" s="2" t="s">
        <v>1</v>
      </c>
      <c r="E1" s="2"/>
      <c r="F1" s="2"/>
    </row>
    <row r="2" s="1" customFormat="1" ht="31.2" spans="1:6">
      <c r="A2" s="1" t="s">
        <v>2</v>
      </c>
      <c r="B2" s="3" t="s">
        <v>3</v>
      </c>
      <c r="C2" s="3" t="s">
        <v>4</v>
      </c>
      <c r="D2" s="1" t="s">
        <v>2</v>
      </c>
      <c r="E2" s="3" t="s">
        <v>3</v>
      </c>
      <c r="F2" s="3" t="s">
        <v>4</v>
      </c>
    </row>
    <row r="3" s="1" customFormat="1" spans="1:6">
      <c r="A3" s="1">
        <v>1</v>
      </c>
      <c r="B3" s="1">
        <v>0.923076923076923</v>
      </c>
      <c r="C3" s="1">
        <f t="shared" ref="C3:C54" si="0">ERFC((LN(A3)-2.7)/SQRT(2*3.5))/2</f>
        <v>0.925519437763058</v>
      </c>
      <c r="D3" s="1">
        <v>1</v>
      </c>
      <c r="E3" s="1">
        <v>0.886363636363636</v>
      </c>
      <c r="F3" s="1">
        <f t="shared" ref="F3:F54" si="1">ERFC(0.22*(LN(D3)-5)/SQRT(2))/2</f>
        <v>0.864333939053617</v>
      </c>
    </row>
    <row r="4" s="1" customFormat="1" spans="1:6">
      <c r="A4" s="1">
        <v>1.11929138382999</v>
      </c>
      <c r="B4" s="1">
        <v>0.923076923076923</v>
      </c>
      <c r="C4" s="1">
        <f t="shared" si="0"/>
        <v>0.916663315893366</v>
      </c>
      <c r="D4" s="1">
        <v>1.14591431759663</v>
      </c>
      <c r="E4" s="1">
        <v>0.886363636363636</v>
      </c>
      <c r="F4" s="1">
        <f t="shared" si="1"/>
        <v>0.85769830658789</v>
      </c>
    </row>
    <row r="5" s="1" customFormat="1" spans="1:6">
      <c r="A5" s="1">
        <v>1.25281320191606</v>
      </c>
      <c r="B5" s="1">
        <v>0.923076923076923</v>
      </c>
      <c r="C5" s="1">
        <f t="shared" si="0"/>
        <v>0.907038046622875</v>
      </c>
      <c r="D5" s="1">
        <v>1.31311962327294</v>
      </c>
      <c r="E5" s="1">
        <v>0.886363636363636</v>
      </c>
      <c r="F5" s="1">
        <f t="shared" si="1"/>
        <v>0.850846483250309</v>
      </c>
    </row>
    <row r="6" s="1" customFormat="1" spans="1:6">
      <c r="A6" s="1">
        <v>1.40226302245312</v>
      </c>
      <c r="B6" s="1">
        <v>0.923076923076923</v>
      </c>
      <c r="C6" s="1">
        <f t="shared" si="0"/>
        <v>0.896614710159795</v>
      </c>
      <c r="D6" s="1">
        <v>1.50472257702555</v>
      </c>
      <c r="E6" s="1">
        <v>0.886363636363636</v>
      </c>
      <c r="F6" s="1">
        <f t="shared" si="1"/>
        <v>0.843777774697099</v>
      </c>
    </row>
    <row r="7" s="1" customFormat="1" spans="1:6">
      <c r="A7" s="1">
        <v>1.56954091889518</v>
      </c>
      <c r="B7" s="1">
        <v>0.923076923076923</v>
      </c>
      <c r="C7" s="1">
        <f t="shared" si="0"/>
        <v>0.885368008071316</v>
      </c>
      <c r="D7" s="1">
        <v>1.72428314502447</v>
      </c>
      <c r="E7" s="1">
        <v>0.886363636363636</v>
      </c>
      <c r="F7" s="1">
        <f t="shared" si="1"/>
        <v>0.836491860036255</v>
      </c>
    </row>
    <row r="8" s="1" customFormat="1" spans="1:6">
      <c r="A8" s="1">
        <v>1.75677362708798</v>
      </c>
      <c r="B8" s="1">
        <v>0.923076923076923</v>
      </c>
      <c r="C8" s="1">
        <f t="shared" si="0"/>
        <v>0.87327684186087</v>
      </c>
      <c r="D8" s="1">
        <v>1.97588074347407</v>
      </c>
      <c r="E8" s="1">
        <v>0.886363636363636</v>
      </c>
      <c r="F8" s="1">
        <f t="shared" si="1"/>
        <v>0.828988804350335</v>
      </c>
    </row>
    <row r="9" s="1" customFormat="1" spans="1:6">
      <c r="A9" s="1">
        <v>1.96634158413935</v>
      </c>
      <c r="B9" s="1">
        <v>0.923076923076923</v>
      </c>
      <c r="C9" s="1">
        <f t="shared" si="0"/>
        <v>0.86032487404737</v>
      </c>
      <c r="D9" s="1">
        <v>2.26419003381041</v>
      </c>
      <c r="E9" s="1">
        <v>0.818181818181818</v>
      </c>
      <c r="F9" s="1">
        <f t="shared" si="1"/>
        <v>0.821269070197574</v>
      </c>
    </row>
    <row r="10" s="1" customFormat="1" spans="1:6">
      <c r="A10" s="1">
        <v>2.20090919279379</v>
      </c>
      <c r="B10" s="1">
        <v>0.846153846153846</v>
      </c>
      <c r="C10" s="1">
        <f t="shared" si="0"/>
        <v>0.846501059872248</v>
      </c>
      <c r="D10" s="1">
        <v>2.59456777750293</v>
      </c>
      <c r="E10" s="1">
        <v>0.818181818181818</v>
      </c>
      <c r="F10" s="1">
        <f t="shared" si="1"/>
        <v>0.813333528008035</v>
      </c>
    </row>
    <row r="11" s="1" customFormat="1" spans="1:6">
      <c r="A11" s="1">
        <v>2.46345869608632</v>
      </c>
      <c r="B11" s="1">
        <v>0.846153846153846</v>
      </c>
      <c r="C11" s="1">
        <f t="shared" si="0"/>
        <v>0.831800137530581</v>
      </c>
      <c r="D11" s="1">
        <v>2.97315236421546</v>
      </c>
      <c r="E11" s="1">
        <v>0.818181818181818</v>
      </c>
      <c r="F11" s="1">
        <f t="shared" si="1"/>
        <v>0.805183465295084</v>
      </c>
    </row>
    <row r="12" s="1" customFormat="1" spans="1:6">
      <c r="A12" s="1">
        <v>2.75732809295049</v>
      </c>
      <c r="B12" s="1">
        <v>0.846153846153846</v>
      </c>
      <c r="C12" s="1">
        <f t="shared" si="0"/>
        <v>0.816223064893305</v>
      </c>
      <c r="D12" s="1">
        <v>3.40697786255076</v>
      </c>
      <c r="E12" s="1">
        <v>0.784090909090909</v>
      </c>
      <c r="F12" s="1">
        <f t="shared" si="1"/>
        <v>0.796820594606642</v>
      </c>
    </row>
    <row r="13" s="1" customFormat="1" spans="1:6">
      <c r="A13" s="1">
        <v>3.08625357683187</v>
      </c>
      <c r="B13" s="1">
        <v>0.758241758241758</v>
      </c>
      <c r="C13" s="1">
        <f t="shared" si="0"/>
        <v>0.799777391077683</v>
      </c>
      <c r="D13" s="1">
        <v>3.90410471243166</v>
      </c>
      <c r="E13" s="1">
        <v>0.784090909090909</v>
      </c>
      <c r="F13" s="1">
        <f t="shared" si="1"/>
        <v>0.788247060145414</v>
      </c>
    </row>
    <row r="14" s="1" customFormat="1" spans="1:6">
      <c r="A14" s="1">
        <v>3.45441703686241</v>
      </c>
      <c r="B14" s="1">
        <v>0.758241758241758</v>
      </c>
      <c r="C14" s="1">
        <f t="shared" si="0"/>
        <v>0.782477551942585</v>
      </c>
      <c r="D14" s="1">
        <v>4.47376948737189</v>
      </c>
      <c r="E14" s="1">
        <v>0.772727272727273</v>
      </c>
      <c r="F14" s="1">
        <f t="shared" si="1"/>
        <v>0.779465442992667</v>
      </c>
    </row>
    <row r="15" s="1" customFormat="1" spans="1:6">
      <c r="A15" s="1">
        <v>3.86649922551564</v>
      </c>
      <c r="B15" s="1">
        <v>0.758241758241758</v>
      </c>
      <c r="C15" s="1">
        <f t="shared" si="0"/>
        <v>0.764345079633289</v>
      </c>
      <c r="D15" s="1">
        <v>5.12655650920637</v>
      </c>
      <c r="E15" s="1">
        <v>0.761363636363636</v>
      </c>
      <c r="F15" s="1">
        <f t="shared" si="1"/>
        <v>0.770478764876007</v>
      </c>
    </row>
    <row r="16" s="1" customFormat="1" spans="1:6">
      <c r="A16" s="1">
        <v>4.327739268705</v>
      </c>
      <c r="B16" s="1">
        <v>0.736263736263736</v>
      </c>
      <c r="C16" s="1">
        <f t="shared" si="0"/>
        <v>0.745408717665644</v>
      </c>
      <c r="D16" s="1">
        <v>5.87459450386775</v>
      </c>
      <c r="E16" s="1">
        <v>0.761363636363636</v>
      </c>
      <c r="F16" s="1">
        <f t="shared" si="1"/>
        <v>0.761290490428064</v>
      </c>
    </row>
    <row r="17" s="1" customFormat="1" spans="1:6">
      <c r="A17" s="1">
        <v>4.84400127492423</v>
      </c>
      <c r="B17" s="1">
        <v>0.736263736263736</v>
      </c>
      <c r="C17" s="1">
        <f t="shared" si="0"/>
        <v>0.725704434698819</v>
      </c>
      <c r="D17" s="1">
        <v>6.7317819520565</v>
      </c>
      <c r="E17" s="1">
        <v>0.761363636363636</v>
      </c>
      <c r="F17" s="1">
        <f t="shared" si="1"/>
        <v>0.751904527889918</v>
      </c>
    </row>
    <row r="18" s="1" customFormat="1" spans="1:6">
      <c r="A18" s="1">
        <v>5.42184889028419</v>
      </c>
      <c r="B18" s="1">
        <v>0.67032967032967</v>
      </c>
      <c r="C18" s="1">
        <f t="shared" si="0"/>
        <v>0.705275332065567</v>
      </c>
      <c r="D18" s="1">
        <v>7.71404532180011</v>
      </c>
      <c r="E18" s="1">
        <v>0.75</v>
      </c>
      <c r="F18" s="1">
        <f t="shared" si="1"/>
        <v>0.742325228220466</v>
      </c>
    </row>
    <row r="19" s="1" customFormat="1" spans="1:6">
      <c r="A19" s="1">
        <v>6.06862874732331</v>
      </c>
      <c r="B19" s="1">
        <v>0.67032967032967</v>
      </c>
      <c r="C19" s="1">
        <f t="shared" si="0"/>
        <v>0.68417144226463</v>
      </c>
      <c r="D19" s="1">
        <v>8.83963498084001</v>
      </c>
      <c r="E19" s="1">
        <v>0.738636363636364</v>
      </c>
      <c r="F19" s="1">
        <f t="shared" si="1"/>
        <v>0.732557382580778</v>
      </c>
    </row>
    <row r="20" s="1" customFormat="1" spans="1:6">
      <c r="A20" s="1">
        <v>6.79256386854199</v>
      </c>
      <c r="B20" s="1">
        <v>0.67032967032967</v>
      </c>
      <c r="C20" s="1">
        <f t="shared" si="0"/>
        <v>0.662449417918287</v>
      </c>
      <c r="D20" s="1">
        <v>10.1294642868725</v>
      </c>
      <c r="E20" s="1">
        <v>0.715909090909091</v>
      </c>
      <c r="F20" s="1">
        <f t="shared" si="1"/>
        <v>0.722606218170627</v>
      </c>
    </row>
    <row r="21" s="1" customFormat="1" spans="1:6">
      <c r="A21" s="1">
        <v>7.60285821217399</v>
      </c>
      <c r="B21" s="1">
        <v>0.637362637362637</v>
      </c>
      <c r="C21" s="1">
        <f t="shared" si="0"/>
        <v>0.640172113097831</v>
      </c>
      <c r="D21" s="1">
        <v>11.6074981559109</v>
      </c>
      <c r="E21" s="1">
        <v>0.715909090909091</v>
      </c>
      <c r="F21" s="1">
        <f t="shared" si="1"/>
        <v>0.712477392402878</v>
      </c>
    </row>
    <row r="22" s="1" customFormat="1" spans="1:6">
      <c r="A22" s="1">
        <v>8.50981368936745</v>
      </c>
      <c r="B22" s="1">
        <v>0.604395604395604</v>
      </c>
      <c r="C22" s="1">
        <f t="shared" si="0"/>
        <v>0.617408061354266</v>
      </c>
      <c r="D22" s="1">
        <v>13.3011983283348</v>
      </c>
      <c r="E22" s="1">
        <v>0.693181818181818</v>
      </c>
      <c r="F22" s="1">
        <f t="shared" si="1"/>
        <v>0.702176985410177</v>
      </c>
    </row>
    <row r="23" s="1" customFormat="1" spans="1:6">
      <c r="A23" s="1">
        <v>9.52496114050752</v>
      </c>
      <c r="B23" s="1">
        <v>0.560439560439561</v>
      </c>
      <c r="C23" s="1">
        <f t="shared" si="0"/>
        <v>0.594230857190314</v>
      </c>
      <c r="D23" s="1">
        <v>15.2420336056311</v>
      </c>
      <c r="E23" s="1">
        <v>0.693181818181818</v>
      </c>
      <c r="F23" s="1">
        <f t="shared" si="1"/>
        <v>0.691711490887338</v>
      </c>
    </row>
    <row r="24" s="1" customFormat="1" spans="1:6">
      <c r="A24" s="1">
        <v>10.6612069358856</v>
      </c>
      <c r="B24" s="1">
        <v>0.560439560439561</v>
      </c>
      <c r="C24" s="1">
        <f t="shared" si="0"/>
        <v>0.570718450001739</v>
      </c>
      <c r="D24" s="1">
        <v>17.4660645379816</v>
      </c>
      <c r="E24" s="1">
        <v>0.681818181818182</v>
      </c>
      <c r="F24" s="1">
        <f t="shared" si="1"/>
        <v>0.681087805281903</v>
      </c>
    </row>
    <row r="25" s="1" customFormat="1" spans="1:6">
      <c r="A25" s="1">
        <v>11.9329970645653</v>
      </c>
      <c r="B25" s="1">
        <v>0.527472527472528</v>
      </c>
      <c r="C25" s="1">
        <f t="shared" si="0"/>
        <v>0.546952361631148</v>
      </c>
      <c r="D25" s="1">
        <v>20.0146134261398</v>
      </c>
      <c r="E25" s="1">
        <v>0.670454545454546</v>
      </c>
      <c r="F25" s="1">
        <f t="shared" si="1"/>
        <v>0.670313215354557</v>
      </c>
    </row>
    <row r="26" s="1" customFormat="1" spans="1:6">
      <c r="A26" s="1">
        <v>13.3565007976366</v>
      </c>
      <c r="B26" s="1">
        <v>0.505494505494506</v>
      </c>
      <c r="C26" s="1">
        <f t="shared" si="0"/>
        <v>0.523016840550392</v>
      </c>
      <c r="D26" s="1">
        <v>22.9350320861752</v>
      </c>
      <c r="E26" s="1">
        <v>0.647727272727273</v>
      </c>
      <c r="F26" s="1">
        <f t="shared" si="1"/>
        <v>0.659395384140235</v>
      </c>
    </row>
    <row r="27" s="1" customFormat="1" spans="1:6">
      <c r="A27" s="1">
        <v>14.949816260913</v>
      </c>
      <c r="B27" s="1">
        <v>0.505494505494506</v>
      </c>
      <c r="C27" s="1">
        <f t="shared" si="0"/>
        <v>0.498997967259346</v>
      </c>
      <c r="D27" s="1">
        <v>26.2815816420862</v>
      </c>
      <c r="E27" s="1">
        <v>0.636363636363636</v>
      </c>
      <c r="F27" s="1">
        <f t="shared" si="1"/>
        <v>0.648342335349937</v>
      </c>
    </row>
    <row r="28" s="1" customFormat="1" spans="1:6">
      <c r="A28" s="1">
        <v>16.7332005306815</v>
      </c>
      <c r="B28" s="1">
        <v>0.494505494505495</v>
      </c>
      <c r="C28" s="1">
        <f t="shared" si="0"/>
        <v>0.474982726709318</v>
      </c>
      <c r="D28" s="1">
        <v>30.1164406927512</v>
      </c>
      <c r="E28" s="1">
        <v>0.613636363636364</v>
      </c>
      <c r="F28" s="1">
        <f t="shared" si="1"/>
        <v>0.637162436262237</v>
      </c>
    </row>
    <row r="29" s="1" customFormat="1" spans="1:6">
      <c r="A29" s="1">
        <v>18.7293271778913</v>
      </c>
      <c r="B29" s="1">
        <v>0.461538461538462</v>
      </c>
      <c r="C29" s="1">
        <f t="shared" si="0"/>
        <v>0.45105806438923</v>
      </c>
      <c r="D29" s="1">
        <v>34.5108605848732</v>
      </c>
      <c r="E29" s="1">
        <v>0.613636363636364</v>
      </c>
      <c r="F29" s="1">
        <f t="shared" si="1"/>
        <v>0.62586437916235</v>
      </c>
    </row>
    <row r="30" s="1" customFormat="1" spans="1:6">
      <c r="A30" s="1">
        <v>20.9635745351467</v>
      </c>
      <c r="B30" s="1">
        <v>0.417582417582418</v>
      </c>
      <c r="C30" s="1">
        <f t="shared" si="0"/>
        <v>0.427309943125412</v>
      </c>
      <c r="D30" s="1">
        <v>39.5464892567873</v>
      </c>
      <c r="E30" s="1">
        <v>0.568181818181818</v>
      </c>
      <c r="F30" s="1">
        <f t="shared" si="1"/>
        <v>0.614457161395178</v>
      </c>
    </row>
    <row r="31" s="1" customFormat="1" spans="1:6">
      <c r="A31" s="1">
        <v>23.4643483514675</v>
      </c>
      <c r="B31" s="1">
        <v>0.406593406593407</v>
      </c>
      <c r="C31" s="1">
        <f t="shared" si="0"/>
        <v>0.403822417627764</v>
      </c>
      <c r="D31" s="1">
        <v>45.3168882500336</v>
      </c>
      <c r="E31" s="1">
        <v>0.522727272727273</v>
      </c>
      <c r="F31" s="1">
        <f t="shared" si="1"/>
        <v>0.602950064107019</v>
      </c>
    </row>
    <row r="32" s="1" customFormat="1" spans="1:6">
      <c r="A32" s="1">
        <v>26.2634429369831</v>
      </c>
      <c r="B32" s="1">
        <v>0.395604395604396</v>
      </c>
      <c r="C32" s="1">
        <f t="shared" si="0"/>
        <v>0.380676743366924</v>
      </c>
      <c r="D32" s="1">
        <v>51.9292710746398</v>
      </c>
      <c r="E32" s="1">
        <v>0.488636363636364</v>
      </c>
      <c r="F32" s="1">
        <f t="shared" si="1"/>
        <v>0.591352629758522</v>
      </c>
    </row>
    <row r="33" s="1" customFormat="1" spans="1:6">
      <c r="A33" s="1">
        <v>29.3964453890759</v>
      </c>
      <c r="B33" s="1">
        <v>0.373626373626374</v>
      </c>
      <c r="C33" s="1">
        <f t="shared" si="0"/>
        <v>0.357950535503343</v>
      </c>
      <c r="D33" s="1">
        <v>59.5064952267861</v>
      </c>
      <c r="E33" s="1">
        <v>0.454545454545455</v>
      </c>
      <c r="F33" s="1">
        <f t="shared" si="1"/>
        <v>0.579674638498892</v>
      </c>
    </row>
    <row r="34" s="1" customFormat="1" spans="1:6">
      <c r="A34" s="1">
        <v>32.9031880392216</v>
      </c>
      <c r="B34" s="1">
        <v>0.318681318681319</v>
      </c>
      <c r="C34" s="1">
        <f t="shared" si="0"/>
        <v>0.335716992337803</v>
      </c>
      <c r="D34" s="1">
        <v>68.1893448703694</v>
      </c>
      <c r="E34" s="1">
        <v>0.386363636363637</v>
      </c>
      <c r="F34" s="1">
        <f t="shared" si="1"/>
        <v>0.567926083498311</v>
      </c>
    </row>
    <row r="35" s="1" customFormat="1" spans="1:6">
      <c r="A35" s="1">
        <v>36.8282548728389</v>
      </c>
      <c r="B35" s="1">
        <v>0.263736263736264</v>
      </c>
      <c r="C35" s="1">
        <f t="shared" si="0"/>
        <v>0.314044196154052</v>
      </c>
      <c r="D35" s="1">
        <v>78.1391465944903</v>
      </c>
      <c r="E35" s="1">
        <v>0.363636363636364</v>
      </c>
      <c r="F35" s="1">
        <f t="shared" si="1"/>
        <v>0.556117145341921</v>
      </c>
    </row>
    <row r="36" s="1" customFormat="1" spans="1:6">
      <c r="A36" s="1">
        <v>41.2215483606636</v>
      </c>
      <c r="B36" s="1">
        <v>0.252747252747253</v>
      </c>
      <c r="C36" s="1">
        <f t="shared" si="0"/>
        <v>0.292994502428722</v>
      </c>
      <c r="D36" s="1">
        <v>89.540766847408</v>
      </c>
      <c r="E36" s="1">
        <v>0.340909090909091</v>
      </c>
      <c r="F36" s="1">
        <f t="shared" si="1"/>
        <v>0.544258165594498</v>
      </c>
    </row>
    <row r="37" s="1" customFormat="1" spans="1:6">
      <c r="A37" s="1">
        <v>46.1389239082222</v>
      </c>
      <c r="B37" s="1">
        <v>0.208791208791209</v>
      </c>
      <c r="C37" s="1">
        <f t="shared" si="0"/>
        <v>0.272624026251214</v>
      </c>
      <c r="D37" s="1">
        <v>102.606046739026</v>
      </c>
      <c r="E37" s="1">
        <v>0.318181818181819</v>
      </c>
      <c r="F37" s="1">
        <f t="shared" si="1"/>
        <v>0.53235961965009</v>
      </c>
    </row>
    <row r="38" s="1" customFormat="1" spans="1:6">
      <c r="A38" s="1">
        <v>51.6428999896608</v>
      </c>
      <c r="B38" s="1">
        <v>0.186813186813187</v>
      </c>
      <c r="C38" s="1">
        <f t="shared" si="0"/>
        <v>0.252982232492715</v>
      </c>
      <c r="D38" s="1">
        <v>117.577738030239</v>
      </c>
      <c r="E38" s="1">
        <v>0.272727272727273</v>
      </c>
      <c r="F38" s="1">
        <f t="shared" si="1"/>
        <v>0.520432088985327</v>
      </c>
    </row>
    <row r="39" s="1" customFormat="1" spans="1:6">
      <c r="A39" s="1">
        <v>57.8034529944214</v>
      </c>
      <c r="B39" s="1">
        <v>0.175824175824176</v>
      </c>
      <c r="C39" s="1">
        <f t="shared" si="0"/>
        <v>0.234111633858981</v>
      </c>
      <c r="D39" s="1">
        <v>134.734013439476</v>
      </c>
      <c r="E39" s="1">
        <v>0.25</v>
      </c>
      <c r="F39" s="1">
        <f t="shared" si="1"/>
        <v>0.50848623293884</v>
      </c>
    </row>
    <row r="40" s="1" customFormat="1" spans="1:6">
      <c r="A40" s="1">
        <v>64.6989068922779</v>
      </c>
      <c r="B40" s="1">
        <v>0.10989010989011</v>
      </c>
      <c r="C40" s="1">
        <f t="shared" si="0"/>
        <v>0.216047598527285</v>
      </c>
      <c r="D40" s="1">
        <v>154.393635067551</v>
      </c>
      <c r="E40" s="1">
        <v>0.204545454545455</v>
      </c>
      <c r="F40" s="1">
        <f t="shared" si="1"/>
        <v>0.496532760142185</v>
      </c>
    </row>
    <row r="41" s="1" customFormat="1" spans="1:6">
      <c r="A41" s="1">
        <v>72.4169290277457</v>
      </c>
      <c r="B41" s="1">
        <v>0.065934065934066</v>
      </c>
      <c r="C41" s="1">
        <f t="shared" si="0"/>
        <v>0.198818266674085</v>
      </c>
      <c r="D41" s="1">
        <v>176.921876969695</v>
      </c>
      <c r="E41" s="1">
        <v>0.181818181818182</v>
      </c>
      <c r="F41" s="1">
        <f t="shared" si="1"/>
        <v>0.484582399729837</v>
      </c>
    </row>
    <row r="42" s="1" customFormat="1" spans="1:6">
      <c r="A42" s="1">
        <v>81.0556447041839</v>
      </c>
      <c r="B42" s="1">
        <v>0.032967032967033</v>
      </c>
      <c r="C42" s="1">
        <f t="shared" si="0"/>
        <v>0.18244457291294</v>
      </c>
      <c r="D42" s="1">
        <v>202.737311915642</v>
      </c>
      <c r="E42" s="1">
        <v>0.159090909090909</v>
      </c>
      <c r="F42" s="1">
        <f t="shared" si="1"/>
        <v>0.472645872457243</v>
      </c>
    </row>
    <row r="43" s="1" customFormat="1" spans="1:6">
      <c r="A43" s="1">
        <v>90.7248847281784</v>
      </c>
      <c r="B43" s="1">
        <v>0.021978021978022</v>
      </c>
      <c r="C43" s="1">
        <f t="shared" si="0"/>
        <v>0.166940369542575</v>
      </c>
      <c r="D43" s="1">
        <v>232.319588435187</v>
      </c>
      <c r="E43" s="1">
        <v>0.136363636363637</v>
      </c>
      <c r="F43" s="1">
        <f t="shared" si="1"/>
        <v>0.460733861856446</v>
      </c>
    </row>
    <row r="44" s="1" customFormat="1" spans="1:6">
      <c r="A44" s="1">
        <v>101.547581775219</v>
      </c>
      <c r="B44" s="1">
        <v>0.010989010989011</v>
      </c>
      <c r="C44" s="1">
        <f t="shared" si="0"/>
        <v>0.152312643605452</v>
      </c>
      <c r="D44" s="1">
        <v>266.218342646037</v>
      </c>
      <c r="E44" s="1">
        <v>0.125</v>
      </c>
      <c r="F44" s="1">
        <f t="shared" si="1"/>
        <v>0.448856985558607</v>
      </c>
    </row>
    <row r="45" s="1" customFormat="1" spans="1:6">
      <c r="A45" s="1">
        <v>113.661333329775</v>
      </c>
      <c r="B45" s="1">
        <v>0.010989010989011</v>
      </c>
      <c r="C45" s="1">
        <f t="shared" si="0"/>
        <v>0.13856181912121</v>
      </c>
      <c r="D45" s="1">
        <v>305.063410444938</v>
      </c>
      <c r="E45" s="1">
        <v>0.113636363636364</v>
      </c>
      <c r="F45" s="1">
        <f t="shared" si="1"/>
        <v>0.437025766911669</v>
      </c>
    </row>
    <row r="46" s="1" customFormat="1" spans="1:6">
      <c r="A46" s="1">
        <v>127.220151070646</v>
      </c>
      <c r="B46" s="1">
        <v>0.010989010989011</v>
      </c>
      <c r="C46" s="1">
        <f t="shared" si="0"/>
        <v>0.125682134519923</v>
      </c>
      <c r="D46" s="1">
        <v>349.57652980371</v>
      </c>
      <c r="E46" s="1">
        <v>0.113636363636364</v>
      </c>
      <c r="F46" s="1">
        <f t="shared" si="1"/>
        <v>0.425250607019586</v>
      </c>
    </row>
    <row r="47" s="1" customFormat="1" spans="1:6">
      <c r="A47" s="1">
        <v>142.396418942924</v>
      </c>
      <c r="B47" s="1">
        <v>0.010989010989011</v>
      </c>
      <c r="C47" s="1">
        <f t="shared" si="0"/>
        <v>0.113662084279105</v>
      </c>
      <c r="D47" s="1">
        <v>400.584750597815</v>
      </c>
      <c r="E47" s="1">
        <v>0.113636363636364</v>
      </c>
      <c r="F47" s="1">
        <f t="shared" si="1"/>
        <v>0.413541757326867</v>
      </c>
    </row>
    <row r="48" s="1" customFormat="1" spans="1:6">
      <c r="A48" s="1">
        <v>159.383084811061</v>
      </c>
      <c r="B48" s="1">
        <v>0.010989010989011</v>
      </c>
      <c r="C48" s="1">
        <f t="shared" si="0"/>
        <v>0.102484913076565</v>
      </c>
      <c r="D48" s="1">
        <v>459.035801120909</v>
      </c>
      <c r="E48" s="1">
        <v>0.0909090909090912</v>
      </c>
      <c r="F48" s="1">
        <f t="shared" si="1"/>
        <v>0.401909292868813</v>
      </c>
    </row>
    <row r="49" s="1" customFormat="1" spans="1:6">
      <c r="A49" s="1">
        <v>178.396113557266</v>
      </c>
      <c r="B49" s="1">
        <v>0.010989010989011</v>
      </c>
      <c r="C49" s="1">
        <f t="shared" si="0"/>
        <v>0.092129150408226</v>
      </c>
      <c r="D49" s="1">
        <v>526.015696793887</v>
      </c>
      <c r="E49" s="1">
        <v>0.0909090909090912</v>
      </c>
      <c r="F49" s="1">
        <f t="shared" si="1"/>
        <v>0.390363086303672</v>
      </c>
    </row>
    <row r="50" s="1" customFormat="1" spans="1:6">
      <c r="A50" s="1">
        <v>199.677232813405</v>
      </c>
      <c r="B50" s="1">
        <v>0.010989010989011</v>
      </c>
      <c r="C50" s="1">
        <f t="shared" si="0"/>
        <v>0.0825691735751781</v>
      </c>
      <c r="D50" s="1">
        <v>602.76891823668</v>
      </c>
      <c r="E50" s="1">
        <v>0.0681818181818185</v>
      </c>
      <c r="F50" s="1">
        <f t="shared" si="1"/>
        <v>0.37891278283807</v>
      </c>
    </row>
    <row r="51" s="1" customFormat="1" spans="1:6">
      <c r="A51" s="1">
        <v>223.49700623506</v>
      </c>
      <c r="B51" s="1">
        <v>0.010989010989011</v>
      </c>
      <c r="C51" s="1">
        <f t="shared" si="0"/>
        <v>0.0737757871976909</v>
      </c>
      <c r="D51" s="1">
        <v>690.721533609641</v>
      </c>
      <c r="E51" s="1">
        <v>0.0454545454545458</v>
      </c>
      <c r="F51" s="1">
        <f t="shared" si="1"/>
        <v>0.367567776151578</v>
      </c>
    </row>
    <row r="52" s="1" customFormat="1" spans="1:6">
      <c r="A52" s="1">
        <v>250.158273390701</v>
      </c>
      <c r="B52" s="1">
        <v>0.010989010989011</v>
      </c>
      <c r="C52" s="1">
        <f t="shared" si="0"/>
        <v>0.0657168079376883</v>
      </c>
      <c r="D52" s="1">
        <v>791.507694835587</v>
      </c>
      <c r="E52" s="1">
        <v>0.022727272727273</v>
      </c>
      <c r="F52" s="1">
        <f t="shared" si="1"/>
        <v>0.356337185420123</v>
      </c>
    </row>
    <row r="53" s="1" customFormat="1" spans="1:6">
      <c r="A53" s="1">
        <v>280</v>
      </c>
      <c r="B53" s="1">
        <v>0.010989010989011</v>
      </c>
      <c r="C53" s="1">
        <f t="shared" si="0"/>
        <v>0.0583576438708951</v>
      </c>
      <c r="D53" s="1">
        <v>907</v>
      </c>
      <c r="E53" s="1">
        <v>0.0113636363636367</v>
      </c>
      <c r="F53" s="1">
        <f t="shared" si="1"/>
        <v>0.34522983353125</v>
      </c>
    </row>
    <row r="54" s="1" customFormat="1" spans="1:6">
      <c r="A54" s="1">
        <v>313.401587472398</v>
      </c>
      <c r="B54" s="1">
        <v>3.81639164714898e-17</v>
      </c>
      <c r="C54" s="1">
        <f t="shared" si="0"/>
        <v>0.0516618589063765</v>
      </c>
      <c r="D54" s="1">
        <v>1039.34428606014</v>
      </c>
      <c r="E54" s="1">
        <v>2.98372437868011e-16</v>
      </c>
      <c r="F54" s="1">
        <f t="shared" si="1"/>
        <v>0.334254226576966</v>
      </c>
    </row>
  </sheetData>
  <mergeCells count="2">
    <mergeCell ref="A1:C1"/>
    <mergeCell ref="D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吴鹏佐</cp:lastModifiedBy>
  <dcterms:created xsi:type="dcterms:W3CDTF">2024-11-30T09:00:00Z</dcterms:created>
  <dcterms:modified xsi:type="dcterms:W3CDTF">2025-01-17T09:23:16Z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33BE417E403041CCA551B9F39FE1F40A_11</vt:lpwstr>
  </property>
  <property fmtid="{D5CDD505-2E9C-101B-9397-08002B2CF9AE}" pid="3" name="KSOProductBuildVer">
    <vt:lpwstr>2052-12.1.0.19302</vt:lpwstr>
  </property>
</Properties>
</file>