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38"/>
  <workbookPr defaultThemeVersion="124226"/>
  <mc:AlternateContent xmlns:mc="http://schemas.openxmlformats.org/markup-compatibility/2006">
    <mc:Choice Requires="x15">
      <x15ac:absPath xmlns:x15ac="http://schemas.microsoft.com/office/spreadsheetml/2010/11/ac" url="D:\ZJU研\异形表benchmark\paper\tables\"/>
    </mc:Choice>
  </mc:AlternateContent>
  <xr:revisionPtr revIDLastSave="0" documentId="8_{A27478E2-0EF6-48F4-A0A7-EF7A46D321ED}" xr6:coauthVersionLast="36" xr6:coauthVersionMax="36" xr10:uidLastSave="{00000000-0000-0000-0000-000000000000}"/>
  <bookViews>
    <workbookView xWindow="0" yWindow="0" windowWidth="23040" windowHeight="9012"/>
  </bookViews>
  <sheets>
    <sheet name="ECF Report" sheetId="4" r:id="rId1"/>
  </sheets>
  <calcPr calcId="179021"/>
</workbook>
</file>

<file path=xl/calcChain.xml><?xml version="1.0" encoding="utf-8"?>
<calcChain xmlns="http://schemas.openxmlformats.org/spreadsheetml/2006/main">
  <c r="E22" i="4" l="1"/>
  <c r="D22" i="4"/>
  <c r="C22" i="4"/>
</calcChain>
</file>

<file path=xl/sharedStrings.xml><?xml version="1.0" encoding="utf-8"?>
<sst xmlns="http://schemas.openxmlformats.org/spreadsheetml/2006/main" count="26" uniqueCount="17">
  <si>
    <t>Calendar Year</t>
  </si>
  <si>
    <t>Public Service Loan Forgiveness Employment Certification Forms (ECFs)</t>
  </si>
  <si>
    <t>Total Approved ECFs</t>
  </si>
  <si>
    <t xml:space="preserve">Cumulative PSLF Borrowers </t>
  </si>
  <si>
    <t>TOTAL</t>
  </si>
  <si>
    <t>Notes:</t>
  </si>
  <si>
    <t>Q1</t>
  </si>
  <si>
    <t>Q2</t>
  </si>
  <si>
    <t>Q3</t>
  </si>
  <si>
    <t>Q4</t>
  </si>
  <si>
    <t>Total Denied ECFs</t>
  </si>
  <si>
    <t xml:space="preserve">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t>
  </si>
  <si>
    <t>This report includes information only about those borrowers who have self-identified themselves as interested in PSLF based on their submission of an ECF.</t>
  </si>
  <si>
    <t>Cumulative PSLF borrowers are borrowers who have one or more approved ECFs.</t>
  </si>
  <si>
    <t>Source: FedLoan Servicing</t>
  </si>
  <si>
    <r>
      <t>Although no borrower will be eligible for forgiveness under this program until October 2017, the Department introduced a</t>
    </r>
    <r>
      <rPr>
        <b/>
        <sz val="11"/>
        <color indexed="8"/>
        <rFont val="Calibri"/>
        <family val="2"/>
      </rPr>
      <t xml:space="preserve"> voluntary</t>
    </r>
    <r>
      <rPr>
        <sz val="11"/>
        <color theme="1"/>
        <rFont val="宋体"/>
        <family val="2"/>
        <scheme val="minor"/>
      </rPr>
      <t xml:space="preserve"> Employment Certification Form in January 2012 to help borrowers track their progress toward meeting PSLF requirements.</t>
    </r>
  </si>
  <si>
    <t>Through March 31,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</si>
</sst>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83" formatCode="_(* #,##0.00_);_(* \(#,##0.00\);_(* &quot;-&quot;??_);_(@_)"/>
    <numFmt numFmtId="184" formatCode="_(* #,##0_);_(* \(#,##0\);_(* &quot;-&quot;??_);_(@_)"/>
    <numFmt numFmtId="191" formatCode="_(* #,##0.00000_);_(* \(#,##0.00000\);_(* &quot;-&quot;??_);_(@_)"/>
  </numFmts>
  <fonts count="9" x14ac:knownFonts="1">
    <font>
      <sz val="11"/>
      <color theme="1"/>
      <name val="宋体"/>
      <family val="2"/>
      <scheme val="minor"/>
    </font>
    <font>
      <b/>
      <sz val="11"/>
      <color indexed="8"/>
      <name val="Calibri"/>
      <family val="2"/>
    </font>
    <font>
      <sz val="11"/>
      <color theme="1"/>
      <name val="宋体"/>
      <family val="2"/>
      <scheme val="minor"/>
    </font>
    <font>
      <b/>
      <sz val="11"/>
      <color theme="0"/>
      <name val="宋体"/>
      <family val="2"/>
      <scheme val="minor"/>
    </font>
    <font>
      <b/>
      <sz val="11"/>
      <color theme="1"/>
      <name val="宋体"/>
      <family val="2"/>
      <scheme val="minor"/>
    </font>
    <font>
      <sz val="11"/>
      <name val="宋体"/>
      <family val="2"/>
      <scheme val="minor"/>
    </font>
    <font>
      <sz val="11"/>
      <color rgb="FF000000"/>
      <name val="宋体"/>
      <family val="2"/>
      <scheme val="minor"/>
    </font>
    <font>
      <i/>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183" fontId="2" fillId="0" borderId="0" applyFont="0" applyFill="0" applyBorder="0" applyAlignment="0" applyProtection="0"/>
  </cellStyleXfs>
  <cellXfs count="33">
    <xf numFmtId="0" fontId="0" fillId="0" borderId="0" xfId="0"/>
    <xf numFmtId="0" fontId="4" fillId="0" borderId="0" xfId="0" applyFont="1" applyAlignment="1">
      <alignment horizontal="center"/>
    </xf>
    <xf numFmtId="183" fontId="0" fillId="0" borderId="0" xfId="0" applyNumberFormat="1"/>
    <xf numFmtId="184" fontId="2" fillId="0" borderId="1" xfId="1" applyNumberFormat="1" applyFont="1" applyBorder="1" applyAlignment="1">
      <alignment horizontal="center" vertical="center"/>
    </xf>
    <xf numFmtId="0" fontId="0" fillId="0" borderId="1" xfId="0" applyBorder="1" applyAlignment="1">
      <alignment horizontal="center"/>
    </xf>
    <xf numFmtId="184" fontId="2" fillId="0" borderId="1" xfId="1" applyNumberFormat="1" applyFont="1" applyBorder="1" applyAlignment="1">
      <alignment horizontal="center" vertical="center" wrapText="1"/>
    </xf>
    <xf numFmtId="184" fontId="4" fillId="0" borderId="1" xfId="1" applyNumberFormat="1" applyFont="1" applyBorder="1" applyAlignment="1">
      <alignment horizontal="center" vertical="center" wrapText="1"/>
    </xf>
    <xf numFmtId="184" fontId="3" fillId="2" borderId="1" xfId="1" applyNumberFormat="1" applyFont="1" applyFill="1" applyBorder="1" applyAlignment="1">
      <alignment horizontal="center" vertical="center"/>
    </xf>
    <xf numFmtId="0" fontId="5" fillId="0" borderId="0" xfId="0" applyFont="1" applyAlignment="1">
      <alignment horizontal="left" vertical="center" wrapText="1"/>
    </xf>
    <xf numFmtId="0" fontId="4" fillId="0" borderId="0" xfId="0" applyFont="1" applyAlignment="1">
      <alignment horizontal="center"/>
    </xf>
    <xf numFmtId="0" fontId="0" fillId="0" borderId="0" xfId="0" applyFont="1" applyAlignment="1">
      <alignment horizontal="center"/>
    </xf>
    <xf numFmtId="184" fontId="0" fillId="0" borderId="0" xfId="0" applyNumberFormat="1"/>
    <xf numFmtId="3" fontId="6" fillId="0" borderId="1" xfId="0" applyNumberFormat="1" applyFont="1" applyBorder="1"/>
    <xf numFmtId="191" fontId="0" fillId="0" borderId="0" xfId="0" applyNumberFormat="1"/>
    <xf numFmtId="0" fontId="0" fillId="0" borderId="2" xfId="0" applyBorder="1" applyAlignment="1">
      <alignment horizontal="center" vertical="center"/>
    </xf>
    <xf numFmtId="0" fontId="5" fillId="0" borderId="0" xfId="0" applyFont="1" applyAlignment="1">
      <alignment horizontal="left" vertical="center" wrapText="1"/>
    </xf>
    <xf numFmtId="0" fontId="0" fillId="0" borderId="0" xfId="0" applyAlignment="1">
      <alignment vertical="center" wrapText="1"/>
    </xf>
    <xf numFmtId="0" fontId="0" fillId="0" borderId="0" xfId="0" applyAlignment="1">
      <alignment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4" fillId="0" borderId="0" xfId="0" applyFont="1" applyAlignment="1">
      <alignment horizontal="center"/>
    </xf>
    <xf numFmtId="0" fontId="0" fillId="0" borderId="0" xfId="0" applyFont="1" applyAlignment="1">
      <alignment horizontal="center"/>
    </xf>
    <xf numFmtId="0" fontId="7" fillId="0" borderId="0" xfId="0" applyFont="1" applyAlignment="1">
      <alignment horizontal="center"/>
    </xf>
    <xf numFmtId="0" fontId="3" fillId="2" borderId="3" xfId="0" applyFont="1" applyFill="1" applyBorder="1" applyAlignment="1">
      <alignment horizontal="center"/>
    </xf>
    <xf numFmtId="0" fontId="5" fillId="2" borderId="4" xfId="0" applyFont="1" applyFill="1" applyBorder="1" applyAlignment="1">
      <alignment horizontal="center"/>
    </xf>
    <xf numFmtId="0" fontId="2" fillId="0" borderId="5" xfId="1" applyNumberFormat="1" applyFont="1" applyBorder="1" applyAlignment="1">
      <alignment horizontal="center" vertical="center"/>
    </xf>
    <xf numFmtId="0" fontId="2" fillId="0" borderId="6" xfId="1" applyNumberFormat="1" applyFont="1" applyBorder="1" applyAlignment="1">
      <alignment horizontal="center" vertical="center"/>
    </xf>
    <xf numFmtId="0" fontId="2" fillId="0" borderId="7" xfId="1" applyNumberFormat="1" applyFont="1" applyBorder="1" applyAlignment="1">
      <alignment horizontal="center" vertical="center"/>
    </xf>
    <xf numFmtId="0" fontId="2" fillId="0" borderId="3" xfId="1" applyNumberFormat="1" applyFont="1" applyBorder="1" applyAlignment="1">
      <alignment horizontal="center" vertical="center"/>
    </xf>
    <xf numFmtId="0" fontId="2" fillId="0" borderId="4" xfId="1" applyNumberFormat="1" applyFont="1" applyBorder="1" applyAlignment="1">
      <alignment horizontal="center" vertical="center"/>
    </xf>
    <xf numFmtId="184" fontId="4" fillId="0" borderId="3" xfId="1" applyNumberFormat="1" applyFont="1" applyBorder="1" applyAlignment="1">
      <alignment horizontal="center" vertical="center" wrapText="1"/>
    </xf>
    <xf numFmtId="184" fontId="4" fillId="0" borderId="4" xfId="1" applyNumberFormat="1" applyFont="1" applyBorder="1" applyAlignment="1">
      <alignment horizontal="center" vertical="center" wrapText="1"/>
    </xf>
  </cellXfs>
  <cellStyles count="2">
    <cellStyle name="常规" xfId="0" builtinId="0"/>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abSelected="1" workbookViewId="0">
      <selection sqref="A1:E1"/>
    </sheetView>
  </sheetViews>
  <sheetFormatPr defaultRowHeight="14.4" x14ac:dyDescent="0.25"/>
  <cols>
    <col min="1" max="1" width="11.44140625" customWidth="1"/>
    <col min="2" max="2" width="5.6640625" customWidth="1"/>
    <col min="3" max="5" width="21.44140625" customWidth="1"/>
    <col min="6" max="7" width="14.33203125" customWidth="1"/>
  </cols>
  <sheetData>
    <row r="1" spans="1:9" x14ac:dyDescent="0.25">
      <c r="A1" s="21" t="s">
        <v>1</v>
      </c>
      <c r="B1" s="21"/>
      <c r="C1" s="21"/>
      <c r="D1" s="21"/>
      <c r="E1" s="21"/>
      <c r="F1" s="9"/>
      <c r="G1" s="9"/>
      <c r="H1" s="1"/>
      <c r="I1" s="1"/>
    </row>
    <row r="2" spans="1:9" x14ac:dyDescent="0.25">
      <c r="A2" s="23" t="s">
        <v>14</v>
      </c>
      <c r="B2" s="22"/>
      <c r="C2" s="22"/>
      <c r="D2" s="22"/>
      <c r="E2" s="22"/>
      <c r="F2" s="9"/>
      <c r="G2" s="9"/>
      <c r="H2" s="9"/>
      <c r="I2" s="9"/>
    </row>
    <row r="3" spans="1:9" x14ac:dyDescent="0.25">
      <c r="A3" s="22" t="s">
        <v>16</v>
      </c>
      <c r="B3" s="22"/>
      <c r="C3" s="22"/>
      <c r="D3" s="22"/>
      <c r="E3" s="22"/>
      <c r="F3" s="10"/>
      <c r="G3" s="9"/>
      <c r="H3" s="1"/>
      <c r="I3" s="1"/>
    </row>
    <row r="5" spans="1:9" ht="28.8" x14ac:dyDescent="0.25">
      <c r="A5" s="31" t="s">
        <v>0</v>
      </c>
      <c r="B5" s="32"/>
      <c r="C5" s="6" t="s">
        <v>2</v>
      </c>
      <c r="D5" s="6" t="s">
        <v>10</v>
      </c>
      <c r="E5" s="6" t="s">
        <v>3</v>
      </c>
    </row>
    <row r="6" spans="1:9" x14ac:dyDescent="0.25">
      <c r="A6" s="29">
        <v>2012</v>
      </c>
      <c r="B6" s="30"/>
      <c r="C6" s="3">
        <v>28788</v>
      </c>
      <c r="D6" s="3">
        <v>14643</v>
      </c>
      <c r="E6" s="3">
        <v>25683</v>
      </c>
      <c r="G6" s="2"/>
    </row>
    <row r="7" spans="1:9" x14ac:dyDescent="0.25">
      <c r="A7" s="29">
        <v>2013</v>
      </c>
      <c r="B7" s="30"/>
      <c r="C7" s="3">
        <v>71083</v>
      </c>
      <c r="D7" s="3">
        <v>27510</v>
      </c>
      <c r="E7" s="3">
        <v>82995</v>
      </c>
      <c r="G7" s="2"/>
    </row>
    <row r="8" spans="1:9" x14ac:dyDescent="0.25">
      <c r="A8" s="29">
        <v>2014</v>
      </c>
      <c r="B8" s="30"/>
      <c r="C8" s="3">
        <v>147172</v>
      </c>
      <c r="D8" s="3">
        <v>58963</v>
      </c>
      <c r="E8" s="3">
        <v>191432</v>
      </c>
      <c r="G8" s="2"/>
    </row>
    <row r="9" spans="1:9" x14ac:dyDescent="0.25">
      <c r="A9" s="26">
        <v>2015</v>
      </c>
      <c r="B9" s="3" t="s">
        <v>6</v>
      </c>
      <c r="C9" s="3">
        <v>44202</v>
      </c>
      <c r="D9" s="3">
        <v>19014</v>
      </c>
      <c r="E9" s="3">
        <v>222387</v>
      </c>
      <c r="G9" s="2"/>
    </row>
    <row r="10" spans="1:9" x14ac:dyDescent="0.25">
      <c r="A10" s="27"/>
      <c r="B10" s="3" t="s">
        <v>7</v>
      </c>
      <c r="C10" s="3">
        <v>50710</v>
      </c>
      <c r="D10" s="3">
        <v>27260</v>
      </c>
      <c r="E10" s="3">
        <v>265724</v>
      </c>
      <c r="G10" s="2"/>
    </row>
    <row r="11" spans="1:9" x14ac:dyDescent="0.25">
      <c r="A11" s="27"/>
      <c r="B11" s="3" t="s">
        <v>8</v>
      </c>
      <c r="C11" s="3">
        <v>59247</v>
      </c>
      <c r="D11" s="3">
        <v>34907</v>
      </c>
      <c r="E11" s="3">
        <v>294546</v>
      </c>
      <c r="G11" s="2"/>
    </row>
    <row r="12" spans="1:9" x14ac:dyDescent="0.25">
      <c r="A12" s="28"/>
      <c r="B12" s="3" t="s">
        <v>9</v>
      </c>
      <c r="C12" s="3">
        <v>64151</v>
      </c>
      <c r="D12" s="3">
        <v>39298</v>
      </c>
      <c r="E12" s="3">
        <v>334708</v>
      </c>
      <c r="G12" s="2"/>
    </row>
    <row r="13" spans="1:9" x14ac:dyDescent="0.25">
      <c r="A13" s="18">
        <v>2016</v>
      </c>
      <c r="B13" s="4" t="s">
        <v>6</v>
      </c>
      <c r="C13" s="3">
        <v>75761</v>
      </c>
      <c r="D13" s="3">
        <v>47426</v>
      </c>
      <c r="E13" s="3">
        <v>378839</v>
      </c>
      <c r="G13" s="2"/>
    </row>
    <row r="14" spans="1:9" x14ac:dyDescent="0.25">
      <c r="A14" s="19"/>
      <c r="B14" s="4" t="s">
        <v>7</v>
      </c>
      <c r="C14" s="3">
        <v>91938</v>
      </c>
      <c r="D14" s="3">
        <v>47049</v>
      </c>
      <c r="E14" s="5">
        <v>431853</v>
      </c>
      <c r="G14" s="2"/>
    </row>
    <row r="15" spans="1:9" x14ac:dyDescent="0.25">
      <c r="A15" s="19"/>
      <c r="B15" s="4" t="s">
        <v>8</v>
      </c>
      <c r="C15" s="3">
        <v>107820</v>
      </c>
      <c r="D15" s="3">
        <v>56352</v>
      </c>
      <c r="E15" s="5">
        <v>494200</v>
      </c>
      <c r="G15" s="2"/>
    </row>
    <row r="16" spans="1:9" x14ac:dyDescent="0.25">
      <c r="A16" s="20"/>
      <c r="B16" s="4" t="s">
        <v>9</v>
      </c>
      <c r="C16" s="3">
        <v>106850</v>
      </c>
      <c r="D16" s="3">
        <v>56062</v>
      </c>
      <c r="E16" s="12">
        <v>552931</v>
      </c>
      <c r="G16" s="2"/>
    </row>
    <row r="17" spans="1:7" x14ac:dyDescent="0.25">
      <c r="A17" s="18">
        <v>2017</v>
      </c>
      <c r="B17" s="4" t="s">
        <v>6</v>
      </c>
      <c r="C17" s="3">
        <v>116488</v>
      </c>
      <c r="D17" s="3">
        <v>63559</v>
      </c>
      <c r="E17" s="12">
        <v>611598</v>
      </c>
      <c r="G17" s="2"/>
    </row>
    <row r="18" spans="1:7" x14ac:dyDescent="0.25">
      <c r="A18" s="19"/>
      <c r="B18" s="4" t="s">
        <v>7</v>
      </c>
      <c r="C18" s="3">
        <v>121922</v>
      </c>
      <c r="D18" s="3">
        <v>62789</v>
      </c>
      <c r="E18" s="12">
        <v>669426</v>
      </c>
      <c r="G18" s="2"/>
    </row>
    <row r="19" spans="1:7" x14ac:dyDescent="0.25">
      <c r="A19" s="19"/>
      <c r="B19" s="4" t="s">
        <v>8</v>
      </c>
      <c r="C19" s="3">
        <v>144809</v>
      </c>
      <c r="D19" s="3">
        <v>78615</v>
      </c>
      <c r="E19" s="12">
        <v>739719</v>
      </c>
      <c r="G19" s="2"/>
    </row>
    <row r="20" spans="1:7" x14ac:dyDescent="0.25">
      <c r="A20" s="20"/>
      <c r="B20" s="4" t="s">
        <v>9</v>
      </c>
      <c r="C20" s="3">
        <v>130243</v>
      </c>
      <c r="D20" s="3">
        <v>71915</v>
      </c>
      <c r="E20" s="12">
        <v>802040</v>
      </c>
      <c r="G20" s="2"/>
    </row>
    <row r="21" spans="1:7" x14ac:dyDescent="0.25">
      <c r="A21" s="14">
        <v>2018</v>
      </c>
      <c r="B21" s="4" t="s">
        <v>6</v>
      </c>
      <c r="C21" s="3">
        <v>169513</v>
      </c>
      <c r="D21" s="3">
        <v>71518</v>
      </c>
      <c r="E21" s="12">
        <v>874379</v>
      </c>
      <c r="G21" s="2"/>
    </row>
    <row r="22" spans="1:7" x14ac:dyDescent="0.25">
      <c r="A22" s="24" t="s">
        <v>4</v>
      </c>
      <c r="B22" s="25"/>
      <c r="C22" s="7">
        <f>SUM(C6:C21)</f>
        <v>1530697</v>
      </c>
      <c r="D22" s="7">
        <f>SUM(D6:D21)</f>
        <v>776880</v>
      </c>
      <c r="E22" s="7">
        <f>E21</f>
        <v>874379</v>
      </c>
      <c r="G22" s="2"/>
    </row>
    <row r="23" spans="1:7" x14ac:dyDescent="0.25">
      <c r="G23" s="13"/>
    </row>
    <row r="24" spans="1:7" x14ac:dyDescent="0.25">
      <c r="A24" t="s">
        <v>5</v>
      </c>
      <c r="D24" s="2"/>
    </row>
    <row r="25" spans="1:7" ht="30" customHeight="1" x14ac:dyDescent="0.25">
      <c r="A25" s="17" t="s">
        <v>12</v>
      </c>
      <c r="B25" s="17"/>
      <c r="C25" s="17"/>
      <c r="D25" s="17"/>
      <c r="E25" s="17"/>
    </row>
    <row r="26" spans="1:7" ht="44.25" customHeight="1" x14ac:dyDescent="0.25">
      <c r="A26" s="16" t="s">
        <v>15</v>
      </c>
      <c r="B26" s="16"/>
      <c r="C26" s="16"/>
      <c r="D26" s="16"/>
      <c r="E26" s="16"/>
    </row>
    <row r="27" spans="1:7" ht="60" customHeight="1" x14ac:dyDescent="0.25">
      <c r="A27" s="15" t="s">
        <v>11</v>
      </c>
      <c r="B27" s="15"/>
      <c r="C27" s="15"/>
      <c r="D27" s="15"/>
      <c r="E27" s="15"/>
      <c r="F27" s="8"/>
      <c r="G27" s="8"/>
    </row>
    <row r="28" spans="1:7" x14ac:dyDescent="0.25">
      <c r="A28" s="17" t="s">
        <v>13</v>
      </c>
      <c r="B28" s="17"/>
      <c r="C28" s="17"/>
      <c r="D28" s="17"/>
      <c r="E28" s="17"/>
    </row>
    <row r="29" spans="1:7" x14ac:dyDescent="0.25">
      <c r="C29" s="2"/>
    </row>
    <row r="31" spans="1:7" x14ac:dyDescent="0.25">
      <c r="C31" s="11"/>
    </row>
  </sheetData>
  <mergeCells count="15">
    <mergeCell ref="A13:A16"/>
    <mergeCell ref="A6:B6"/>
    <mergeCell ref="A7:B7"/>
    <mergeCell ref="A8:B8"/>
    <mergeCell ref="A5:B5"/>
    <mergeCell ref="A27:E27"/>
    <mergeCell ref="A26:E26"/>
    <mergeCell ref="A25:E25"/>
    <mergeCell ref="A28:E28"/>
    <mergeCell ref="A17:A20"/>
    <mergeCell ref="A1:E1"/>
    <mergeCell ref="A3:E3"/>
    <mergeCell ref="A2:E2"/>
    <mergeCell ref="A22:B22"/>
    <mergeCell ref="A9:A12"/>
  </mergeCells>
  <phoneticPr fontId="8" type="noConversion"/>
  <pageMargins left="0.7" right="0.7" top="0.75" bottom="0.75" header="0.3" footer="0.3"/>
  <pageSetup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ECF Report</vt:lpstr>
    </vt:vector>
  </TitlesOfParts>
  <Company>U.S.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Foss</dc:creator>
  <cp:lastModifiedBy>ASUS</cp:lastModifiedBy>
  <cp:lastPrinted>2018-01-23T18:09:20Z</cp:lastPrinted>
  <dcterms:created xsi:type="dcterms:W3CDTF">2015-08-07T12:56:17Z</dcterms:created>
  <dcterms:modified xsi:type="dcterms:W3CDTF">2024-11-17T02:36:05Z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