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<sst xmlns="http://schemas.openxmlformats.org/spreadsheetml/2006/main" count="43" uniqueCount="7">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</sst>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"/>
  <sheetViews>
    <sheetView tabSelected="1" workbookViewId="0">
      <selection activeCell="A1" sqref="$A1:$XFD1048576"/>
    </sheetView>
  </sheetViews>
  <sheetFormatPr defaultColWidth="9.81818181818182" defaultRowHeight="14"/>
  <cols>
    <col min="1" max="1" width="9.81818181818182" style="2"/>
    <col min="2" max="2" width="9.81818181818182" style="2" customWidth="1"/>
    <col min="3" max="3" width="11.6818181818182" style="2" customWidth="1"/>
    <col min="4" max="16384" width="9.81818181818182" style="2"/>
  </cols>
  <sheetData>
    <row r="1" s="1" customFormat="1" spans="1:28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 t="s">
        <v>3</v>
      </c>
    </row>
    <row r="2" s="2" customFormat="1" spans="1:28">
      <c r="A2" s="2">
        <v>92</v>
      </c>
      <c r="B2" s="2">
        <v>4</v>
      </c>
      <c r="C2" s="2" t="s">
        <v>4</v>
      </c>
      <c r="D2" s="2">
        <v>1</v>
      </c>
      <c r="E2" s="2">
        <v>3</v>
      </c>
      <c r="F2" s="2">
        <v>0</v>
      </c>
      <c r="G2" s="2">
        <v>0</v>
      </c>
      <c r="H2" s="2">
        <v>4</v>
      </c>
      <c r="I2" s="2">
        <v>0</v>
      </c>
      <c r="J2" s="2">
        <v>0</v>
      </c>
      <c r="K2" s="2">
        <v>2</v>
      </c>
      <c r="L2" s="2">
        <v>-1</v>
      </c>
      <c r="M2" s="2">
        <v>2</v>
      </c>
      <c r="N2" s="2">
        <v>4</v>
      </c>
      <c r="O2" s="2">
        <v>4</v>
      </c>
      <c r="P2" s="2">
        <v>2</v>
      </c>
      <c r="Q2" s="2">
        <v>3</v>
      </c>
      <c r="R2" s="2">
        <v>3</v>
      </c>
      <c r="S2" s="2">
        <v>3</v>
      </c>
      <c r="T2" s="2">
        <v>1</v>
      </c>
      <c r="U2" s="2">
        <v>4</v>
      </c>
      <c r="V2" s="2">
        <v>1</v>
      </c>
      <c r="W2" s="2">
        <v>0</v>
      </c>
      <c r="X2" s="2">
        <v>0</v>
      </c>
      <c r="Y2" s="2">
        <v>2</v>
      </c>
      <c r="Z2" s="2">
        <v>2</v>
      </c>
      <c r="AA2" s="2">
        <v>0</v>
      </c>
      <c r="AB2" s="2">
        <f t="shared" ref="AB2:AB37" si="0">SUM(D2:AA2)</f>
        <v>40</v>
      </c>
    </row>
    <row r="3" s="2" customFormat="1" spans="1:28">
      <c r="A3" s="2">
        <v>93</v>
      </c>
      <c r="B3" s="2">
        <v>4</v>
      </c>
      <c r="C3" s="2" t="s">
        <v>4</v>
      </c>
      <c r="D3" s="2">
        <v>2</v>
      </c>
      <c r="E3" s="2">
        <v>3</v>
      </c>
      <c r="F3" s="2">
        <v>0</v>
      </c>
      <c r="G3" s="2">
        <v>2</v>
      </c>
      <c r="H3" s="2">
        <v>2</v>
      </c>
      <c r="I3" s="2">
        <v>2</v>
      </c>
      <c r="J3" s="2">
        <v>-1</v>
      </c>
      <c r="K3" s="2">
        <v>2</v>
      </c>
      <c r="L3" s="2">
        <v>2</v>
      </c>
      <c r="M3" s="2">
        <v>1</v>
      </c>
      <c r="N3" s="2">
        <v>1</v>
      </c>
      <c r="O3" s="2">
        <v>-1</v>
      </c>
      <c r="P3" s="2">
        <v>0</v>
      </c>
      <c r="Q3" s="2">
        <v>2</v>
      </c>
      <c r="R3" s="2">
        <v>2</v>
      </c>
      <c r="S3" s="2">
        <v>0</v>
      </c>
      <c r="T3" s="2">
        <v>2</v>
      </c>
      <c r="U3" s="2">
        <v>1</v>
      </c>
      <c r="V3" s="2">
        <v>1</v>
      </c>
      <c r="W3" s="2">
        <v>-1</v>
      </c>
      <c r="X3" s="2">
        <v>0</v>
      </c>
      <c r="Y3" s="2">
        <v>1</v>
      </c>
      <c r="Z3" s="2">
        <v>2</v>
      </c>
      <c r="AA3" s="2">
        <v>0</v>
      </c>
      <c r="AB3" s="2">
        <f t="shared" si="0"/>
        <v>25</v>
      </c>
    </row>
    <row r="4" s="2" customFormat="1" spans="1:28">
      <c r="A4" s="2">
        <v>94</v>
      </c>
      <c r="B4" s="2">
        <v>4</v>
      </c>
      <c r="C4" s="2" t="s">
        <v>4</v>
      </c>
      <c r="D4" s="2">
        <v>2</v>
      </c>
      <c r="E4" s="2">
        <v>2</v>
      </c>
      <c r="F4" s="2">
        <v>1</v>
      </c>
      <c r="G4" s="2">
        <v>1</v>
      </c>
      <c r="H4" s="2">
        <v>2</v>
      </c>
      <c r="I4" s="2">
        <v>-1</v>
      </c>
      <c r="J4" s="2">
        <v>0</v>
      </c>
      <c r="K4" s="2">
        <v>2</v>
      </c>
      <c r="L4" s="2">
        <v>1</v>
      </c>
      <c r="M4" s="2">
        <v>1</v>
      </c>
      <c r="N4" s="2">
        <v>1</v>
      </c>
      <c r="O4" s="2">
        <v>2</v>
      </c>
      <c r="P4" s="2">
        <v>2</v>
      </c>
      <c r="Q4" s="2">
        <v>1</v>
      </c>
      <c r="R4" s="2">
        <v>2</v>
      </c>
      <c r="S4" s="2">
        <v>0</v>
      </c>
      <c r="T4" s="2">
        <v>2</v>
      </c>
      <c r="U4" s="2">
        <v>1</v>
      </c>
      <c r="V4" s="2">
        <v>2</v>
      </c>
      <c r="W4" s="2">
        <v>1</v>
      </c>
      <c r="X4" s="2">
        <v>-1</v>
      </c>
      <c r="Y4" s="2">
        <v>1</v>
      </c>
      <c r="Z4" s="2">
        <v>2</v>
      </c>
      <c r="AA4" s="2">
        <v>1</v>
      </c>
      <c r="AB4" s="2">
        <f t="shared" si="0"/>
        <v>28</v>
      </c>
    </row>
    <row r="5" s="2" customFormat="1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1</v>
      </c>
      <c r="G5" s="2">
        <v>-1</v>
      </c>
      <c r="H5" s="2">
        <v>4</v>
      </c>
      <c r="I5" s="2">
        <v>0</v>
      </c>
      <c r="J5" s="2">
        <v>3</v>
      </c>
      <c r="K5" s="2">
        <v>1</v>
      </c>
      <c r="L5" s="2">
        <v>-3</v>
      </c>
      <c r="M5" s="2">
        <v>2</v>
      </c>
      <c r="N5" s="2">
        <v>2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2</v>
      </c>
      <c r="U5" s="2">
        <v>2</v>
      </c>
      <c r="V5" s="2">
        <v>2</v>
      </c>
      <c r="W5" s="2">
        <v>2</v>
      </c>
      <c r="X5" s="2">
        <v>0</v>
      </c>
      <c r="Y5" s="2">
        <v>1</v>
      </c>
      <c r="Z5" s="2">
        <v>0</v>
      </c>
      <c r="AA5" s="2">
        <v>2</v>
      </c>
      <c r="AB5" s="2">
        <f t="shared" si="0"/>
        <v>25</v>
      </c>
    </row>
    <row r="6" s="2" customFormat="1" spans="1:28">
      <c r="A6" s="2">
        <v>96</v>
      </c>
      <c r="B6" s="2">
        <v>4</v>
      </c>
      <c r="C6" s="2" t="s">
        <v>4</v>
      </c>
      <c r="D6" s="2">
        <v>1</v>
      </c>
      <c r="E6" s="2">
        <v>2</v>
      </c>
      <c r="F6" s="2">
        <v>1</v>
      </c>
      <c r="G6" s="2">
        <v>-1</v>
      </c>
      <c r="H6" s="2">
        <v>4</v>
      </c>
      <c r="I6" s="2">
        <v>1</v>
      </c>
      <c r="J6" s="2">
        <v>3</v>
      </c>
      <c r="K6" s="2">
        <v>3</v>
      </c>
      <c r="L6" s="2">
        <v>1</v>
      </c>
      <c r="M6" s="2">
        <v>3</v>
      </c>
      <c r="N6" s="2">
        <v>1</v>
      </c>
      <c r="O6" s="2">
        <v>1</v>
      </c>
      <c r="P6" s="2">
        <v>3</v>
      </c>
      <c r="Q6" s="2">
        <v>1</v>
      </c>
      <c r="R6" s="2">
        <v>1</v>
      </c>
      <c r="S6" s="2">
        <v>-1</v>
      </c>
      <c r="T6" s="2">
        <v>2</v>
      </c>
      <c r="U6" s="2">
        <v>1</v>
      </c>
      <c r="V6" s="2">
        <v>1</v>
      </c>
      <c r="W6" s="2">
        <v>1</v>
      </c>
      <c r="X6" s="2">
        <v>2</v>
      </c>
      <c r="Y6" s="2">
        <v>2</v>
      </c>
      <c r="Z6" s="2">
        <v>3</v>
      </c>
      <c r="AA6" s="2">
        <v>3</v>
      </c>
      <c r="AB6" s="2">
        <f t="shared" si="0"/>
        <v>39</v>
      </c>
    </row>
    <row r="7" s="2" customFormat="1" spans="1:28">
      <c r="A7" s="2">
        <v>97</v>
      </c>
      <c r="B7" s="2">
        <v>4</v>
      </c>
      <c r="C7" s="2" t="s">
        <v>4</v>
      </c>
      <c r="D7" s="2">
        <v>1</v>
      </c>
      <c r="E7" s="2">
        <v>2</v>
      </c>
      <c r="F7" s="2">
        <v>1</v>
      </c>
      <c r="G7" s="2">
        <v>2</v>
      </c>
      <c r="H7" s="2">
        <v>4</v>
      </c>
      <c r="I7" s="2">
        <v>-2</v>
      </c>
      <c r="J7" s="2">
        <v>0</v>
      </c>
      <c r="K7" s="2">
        <v>0</v>
      </c>
      <c r="L7" s="2">
        <v>-1</v>
      </c>
      <c r="M7" s="2">
        <v>3</v>
      </c>
      <c r="N7" s="2">
        <v>-2</v>
      </c>
      <c r="O7" s="2">
        <v>-1</v>
      </c>
      <c r="P7" s="2">
        <v>1</v>
      </c>
      <c r="Q7" s="2">
        <v>0</v>
      </c>
      <c r="R7" s="2">
        <v>0</v>
      </c>
      <c r="S7" s="2">
        <v>0</v>
      </c>
      <c r="T7" s="2">
        <v>2</v>
      </c>
      <c r="U7" s="2">
        <v>-2</v>
      </c>
      <c r="V7" s="2">
        <v>2</v>
      </c>
      <c r="W7" s="2">
        <v>2</v>
      </c>
      <c r="X7" s="2">
        <v>0</v>
      </c>
      <c r="Y7" s="2">
        <v>2</v>
      </c>
      <c r="Z7" s="2">
        <v>0</v>
      </c>
      <c r="AA7" s="2">
        <v>0</v>
      </c>
      <c r="AB7" s="2">
        <f t="shared" si="0"/>
        <v>14</v>
      </c>
    </row>
    <row r="8" s="2" customFormat="1" spans="1:28">
      <c r="A8" s="2">
        <v>98</v>
      </c>
      <c r="B8" s="2">
        <v>4</v>
      </c>
      <c r="C8" s="2" t="s">
        <v>4</v>
      </c>
      <c r="D8" s="2">
        <v>1</v>
      </c>
      <c r="E8" s="2">
        <v>2</v>
      </c>
      <c r="F8" s="2">
        <v>1</v>
      </c>
      <c r="G8" s="2">
        <v>2</v>
      </c>
      <c r="H8" s="2">
        <v>4</v>
      </c>
      <c r="I8" s="2">
        <v>1</v>
      </c>
      <c r="J8" s="2">
        <v>-1</v>
      </c>
      <c r="K8" s="2">
        <v>1</v>
      </c>
      <c r="L8" s="2">
        <v>-1</v>
      </c>
      <c r="M8" s="2">
        <v>3</v>
      </c>
      <c r="N8" s="2">
        <v>2</v>
      </c>
      <c r="O8" s="2">
        <v>-1</v>
      </c>
      <c r="P8" s="2">
        <v>3</v>
      </c>
      <c r="Q8" s="2">
        <v>1</v>
      </c>
      <c r="R8" s="2">
        <v>2</v>
      </c>
      <c r="S8" s="2">
        <v>-3</v>
      </c>
      <c r="T8" s="2">
        <v>1</v>
      </c>
      <c r="U8" s="2">
        <v>-1</v>
      </c>
      <c r="V8" s="2">
        <v>0</v>
      </c>
      <c r="W8" s="2">
        <v>-2</v>
      </c>
      <c r="X8" s="2">
        <v>1</v>
      </c>
      <c r="Y8" s="2">
        <v>3</v>
      </c>
      <c r="Z8" s="2">
        <v>-1</v>
      </c>
      <c r="AA8" s="2">
        <v>0</v>
      </c>
      <c r="AB8" s="2">
        <f t="shared" si="0"/>
        <v>18</v>
      </c>
    </row>
    <row r="9" s="2" customFormat="1" spans="1:28">
      <c r="A9" s="2">
        <v>99</v>
      </c>
      <c r="B9" s="2">
        <v>4</v>
      </c>
      <c r="C9" s="2" t="s">
        <v>4</v>
      </c>
      <c r="D9" s="2">
        <v>4</v>
      </c>
      <c r="E9" s="2">
        <v>2</v>
      </c>
      <c r="F9" s="2">
        <v>3</v>
      </c>
      <c r="G9" s="2">
        <v>0</v>
      </c>
      <c r="H9" s="2">
        <v>4</v>
      </c>
      <c r="I9" s="2">
        <v>0</v>
      </c>
      <c r="J9" s="2">
        <v>3</v>
      </c>
      <c r="K9" s="2">
        <v>1</v>
      </c>
      <c r="L9" s="2">
        <v>3</v>
      </c>
      <c r="M9" s="2">
        <v>2</v>
      </c>
      <c r="N9" s="2">
        <v>3</v>
      </c>
      <c r="O9" s="2">
        <v>3</v>
      </c>
      <c r="P9" s="2">
        <v>1</v>
      </c>
      <c r="Q9" s="2">
        <v>3</v>
      </c>
      <c r="R9" s="2">
        <v>0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4</v>
      </c>
      <c r="AA9" s="2">
        <v>0</v>
      </c>
      <c r="AB9" s="2">
        <f t="shared" si="0"/>
        <v>57</v>
      </c>
    </row>
    <row r="10" s="2" customFormat="1" spans="1:28">
      <c r="A10" s="2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1</v>
      </c>
      <c r="G10" s="2">
        <v>3</v>
      </c>
      <c r="H10" s="2">
        <v>4</v>
      </c>
      <c r="I10" s="2">
        <v>1</v>
      </c>
      <c r="J10" s="2">
        <v>3</v>
      </c>
      <c r="K10" s="2">
        <v>-3</v>
      </c>
      <c r="L10" s="2">
        <v>-1</v>
      </c>
      <c r="M10" s="2">
        <v>2</v>
      </c>
      <c r="N10" s="2">
        <v>1</v>
      </c>
      <c r="O10" s="2">
        <v>1</v>
      </c>
      <c r="P10" s="2">
        <v>3</v>
      </c>
      <c r="Q10" s="2">
        <v>-1</v>
      </c>
      <c r="R10" s="2">
        <v>0</v>
      </c>
      <c r="S10" s="2">
        <v>2</v>
      </c>
      <c r="T10" s="2">
        <v>1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2">
        <f t="shared" si="0"/>
        <v>35</v>
      </c>
    </row>
    <row r="11" s="2" customFormat="1" spans="1:28">
      <c r="A11" s="2">
        <v>101</v>
      </c>
      <c r="B11" s="2">
        <v>4</v>
      </c>
      <c r="C11" s="2" t="s">
        <v>4</v>
      </c>
      <c r="D11" s="2">
        <v>0</v>
      </c>
      <c r="E11" s="2">
        <v>0</v>
      </c>
      <c r="F11" s="2">
        <v>0</v>
      </c>
      <c r="G11" s="2">
        <v>2</v>
      </c>
      <c r="H11" s="2">
        <v>2</v>
      </c>
      <c r="I11" s="2">
        <v>0</v>
      </c>
      <c r="J11" s="2">
        <v>2</v>
      </c>
      <c r="K11" s="2">
        <v>0</v>
      </c>
      <c r="L11" s="2">
        <v>2</v>
      </c>
      <c r="M11" s="2">
        <v>2</v>
      </c>
      <c r="N11" s="2">
        <v>0</v>
      </c>
      <c r="O11" s="2">
        <v>0</v>
      </c>
      <c r="P11" s="2">
        <v>0</v>
      </c>
      <c r="Q11" s="2">
        <v>-2</v>
      </c>
      <c r="R11" s="2">
        <v>2</v>
      </c>
      <c r="S11" s="2">
        <v>0</v>
      </c>
      <c r="T11" s="2">
        <v>2</v>
      </c>
      <c r="U11" s="2">
        <v>0</v>
      </c>
      <c r="V11" s="2">
        <v>-2</v>
      </c>
      <c r="W11" s="2">
        <v>0</v>
      </c>
      <c r="X11" s="2">
        <v>-2</v>
      </c>
      <c r="Y11" s="2">
        <v>2</v>
      </c>
      <c r="Z11" s="2">
        <v>0</v>
      </c>
      <c r="AA11" s="2">
        <v>2</v>
      </c>
      <c r="AB11" s="2">
        <f t="shared" si="0"/>
        <v>12</v>
      </c>
    </row>
    <row r="12" s="2" customFormat="1" spans="1:28">
      <c r="A12" s="2">
        <v>103</v>
      </c>
      <c r="B12" s="2">
        <v>2</v>
      </c>
      <c r="C12" s="2" t="s">
        <v>4</v>
      </c>
      <c r="D12" s="2">
        <v>2</v>
      </c>
      <c r="E12" s="2">
        <v>1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2</v>
      </c>
      <c r="U12" s="2">
        <v>0</v>
      </c>
      <c r="V12" s="2">
        <v>1</v>
      </c>
      <c r="W12" s="2">
        <v>3</v>
      </c>
      <c r="X12" s="2">
        <v>-1</v>
      </c>
      <c r="Y12" s="2">
        <v>1</v>
      </c>
      <c r="Z12" s="2">
        <v>-1</v>
      </c>
      <c r="AA12" s="2">
        <v>1</v>
      </c>
      <c r="AB12" s="2">
        <f t="shared" si="0"/>
        <v>14</v>
      </c>
    </row>
    <row r="13" s="2" customFormat="1" spans="1:28">
      <c r="A13" s="2">
        <v>104</v>
      </c>
      <c r="B13" s="2">
        <v>2</v>
      </c>
      <c r="C13" s="2" t="s">
        <v>4</v>
      </c>
      <c r="D13" s="2">
        <v>1</v>
      </c>
      <c r="E13" s="2">
        <v>1</v>
      </c>
      <c r="F13" s="2">
        <v>1</v>
      </c>
      <c r="G13" s="2">
        <v>-1</v>
      </c>
      <c r="H13" s="2">
        <v>4</v>
      </c>
      <c r="I13" s="2">
        <v>-2</v>
      </c>
      <c r="J13" s="2">
        <v>-2</v>
      </c>
      <c r="K13" s="2">
        <v>0</v>
      </c>
      <c r="L13" s="2">
        <v>-2</v>
      </c>
      <c r="M13" s="2">
        <v>1</v>
      </c>
      <c r="N13" s="2">
        <v>1</v>
      </c>
      <c r="O13" s="2">
        <v>0</v>
      </c>
      <c r="P13" s="2">
        <v>1</v>
      </c>
      <c r="Q13" s="2">
        <v>1</v>
      </c>
      <c r="R13" s="2">
        <v>2</v>
      </c>
      <c r="S13" s="2">
        <v>1</v>
      </c>
      <c r="T13" s="2">
        <v>1</v>
      </c>
      <c r="U13" s="2">
        <v>0</v>
      </c>
      <c r="V13" s="2">
        <v>2</v>
      </c>
      <c r="W13" s="2">
        <v>0</v>
      </c>
      <c r="X13" s="2">
        <v>1</v>
      </c>
      <c r="Y13" s="2">
        <v>1</v>
      </c>
      <c r="Z13" s="2">
        <v>-1</v>
      </c>
      <c r="AA13" s="2">
        <v>2</v>
      </c>
      <c r="AB13" s="2">
        <f t="shared" si="0"/>
        <v>13</v>
      </c>
    </row>
    <row r="14" s="2" customFormat="1" spans="1:28">
      <c r="A14" s="2">
        <v>105</v>
      </c>
      <c r="B14" s="2">
        <v>2</v>
      </c>
      <c r="C14" s="2" t="s">
        <v>4</v>
      </c>
      <c r="D14" s="2">
        <v>2</v>
      </c>
      <c r="E14" s="2">
        <v>1</v>
      </c>
      <c r="F14" s="2">
        <v>2</v>
      </c>
      <c r="G14" s="2">
        <v>2</v>
      </c>
      <c r="H14" s="2">
        <v>3</v>
      </c>
      <c r="I14" s="2">
        <v>2</v>
      </c>
      <c r="J14" s="2">
        <v>0</v>
      </c>
      <c r="K14" s="2">
        <v>0</v>
      </c>
      <c r="L14" s="2">
        <v>2</v>
      </c>
      <c r="M14" s="2">
        <v>2</v>
      </c>
      <c r="N14" s="2">
        <v>0</v>
      </c>
      <c r="O14" s="2">
        <v>1</v>
      </c>
      <c r="P14" s="2">
        <v>1</v>
      </c>
      <c r="Q14" s="2">
        <v>0</v>
      </c>
      <c r="R14" s="2">
        <v>2</v>
      </c>
      <c r="S14" s="2">
        <v>0</v>
      </c>
      <c r="T14" s="2">
        <v>2</v>
      </c>
      <c r="U14" s="2">
        <v>2</v>
      </c>
      <c r="V14" s="2">
        <v>2</v>
      </c>
      <c r="W14" s="2">
        <v>0</v>
      </c>
      <c r="X14" s="2">
        <v>1</v>
      </c>
      <c r="Y14" s="2">
        <v>2</v>
      </c>
      <c r="Z14" s="2">
        <v>2</v>
      </c>
      <c r="AA14" s="2">
        <v>0</v>
      </c>
      <c r="AB14" s="2">
        <f t="shared" si="0"/>
        <v>31</v>
      </c>
    </row>
    <row r="15" s="2" customFormat="1" spans="1:28">
      <c r="A15" s="2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f t="shared" si="0"/>
        <v>1</v>
      </c>
    </row>
    <row r="16" s="2" customFormat="1" spans="1:28">
      <c r="A16" s="2">
        <v>108</v>
      </c>
      <c r="B16" s="2">
        <v>2</v>
      </c>
      <c r="C16" s="2" t="s">
        <v>4</v>
      </c>
      <c r="D16" s="2">
        <v>-1</v>
      </c>
      <c r="E16" s="2">
        <v>-1</v>
      </c>
      <c r="F16" s="2">
        <v>1</v>
      </c>
      <c r="G16" s="2">
        <v>1</v>
      </c>
      <c r="H16" s="2">
        <v>1</v>
      </c>
      <c r="I16" s="2">
        <v>1</v>
      </c>
      <c r="J16" s="2">
        <v>-1</v>
      </c>
      <c r="K16" s="2">
        <v>-1</v>
      </c>
      <c r="L16" s="2">
        <v>-1</v>
      </c>
      <c r="M16" s="2">
        <v>-1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-1</v>
      </c>
      <c r="W16" s="2">
        <v>-1</v>
      </c>
      <c r="X16" s="2">
        <v>1</v>
      </c>
      <c r="Y16" s="2">
        <v>1</v>
      </c>
      <c r="Z16" s="2">
        <v>-1</v>
      </c>
      <c r="AA16" s="2">
        <v>1</v>
      </c>
      <c r="AB16" s="2">
        <f t="shared" si="0"/>
        <v>4</v>
      </c>
    </row>
    <row r="17" s="2" customFormat="1" spans="1:28">
      <c r="A17" s="2">
        <v>130</v>
      </c>
      <c r="B17" s="2">
        <v>1</v>
      </c>
      <c r="C17" s="2" t="s">
        <v>5</v>
      </c>
      <c r="D17" s="2">
        <v>0</v>
      </c>
      <c r="E17" s="2">
        <v>1</v>
      </c>
      <c r="F17" s="2">
        <v>1</v>
      </c>
      <c r="G17" s="2">
        <v>0</v>
      </c>
      <c r="H17" s="2">
        <v>3</v>
      </c>
      <c r="I17" s="2">
        <v>0</v>
      </c>
      <c r="J17" s="2">
        <v>3</v>
      </c>
      <c r="K17" s="2">
        <v>1</v>
      </c>
      <c r="L17" s="2">
        <v>0</v>
      </c>
      <c r="M17" s="2">
        <v>0</v>
      </c>
      <c r="N17" s="2">
        <v>3</v>
      </c>
      <c r="O17" s="2">
        <v>1</v>
      </c>
      <c r="P17" s="2">
        <v>2</v>
      </c>
      <c r="Q17" s="2">
        <v>0</v>
      </c>
      <c r="R17" s="2">
        <v>2</v>
      </c>
      <c r="S17" s="2">
        <v>3</v>
      </c>
      <c r="T17" s="2">
        <v>2</v>
      </c>
      <c r="U17" s="2">
        <v>0</v>
      </c>
      <c r="V17" s="2">
        <v>2</v>
      </c>
      <c r="W17" s="2">
        <v>0</v>
      </c>
      <c r="X17" s="2">
        <v>2</v>
      </c>
      <c r="Y17" s="2">
        <v>1</v>
      </c>
      <c r="Z17" s="2">
        <v>0</v>
      </c>
      <c r="AA17" s="2">
        <v>-2</v>
      </c>
      <c r="AB17" s="2">
        <f t="shared" si="0"/>
        <v>25</v>
      </c>
    </row>
    <row r="18" s="2" customFormat="1" spans="1:28">
      <c r="A18" s="2">
        <v>132</v>
      </c>
      <c r="B18" s="2">
        <v>1</v>
      </c>
      <c r="C18" s="2" t="s">
        <v>5</v>
      </c>
      <c r="D18" s="2">
        <v>2</v>
      </c>
      <c r="E18" s="2">
        <v>0</v>
      </c>
      <c r="F18" s="2">
        <v>0</v>
      </c>
      <c r="G18" s="2">
        <v>4</v>
      </c>
      <c r="H18" s="2">
        <v>4</v>
      </c>
      <c r="I18" s="2">
        <v>-2</v>
      </c>
      <c r="J18" s="2">
        <v>3</v>
      </c>
      <c r="K18" s="2">
        <v>2</v>
      </c>
      <c r="L18" s="2">
        <v>0</v>
      </c>
      <c r="M18" s="2">
        <v>3</v>
      </c>
      <c r="N18" s="2">
        <v>0</v>
      </c>
      <c r="O18" s="2">
        <v>0</v>
      </c>
      <c r="P18" s="2">
        <v>2</v>
      </c>
      <c r="Q18" s="2">
        <v>-1</v>
      </c>
      <c r="R18" s="2">
        <v>0</v>
      </c>
      <c r="S18" s="2">
        <v>0</v>
      </c>
      <c r="T18" s="2">
        <v>0</v>
      </c>
      <c r="U18" s="2">
        <v>0</v>
      </c>
      <c r="V18" s="2">
        <v>2</v>
      </c>
      <c r="W18" s="2">
        <v>-1</v>
      </c>
      <c r="X18" s="2">
        <v>2</v>
      </c>
      <c r="Y18" s="2">
        <v>0</v>
      </c>
      <c r="Z18" s="2">
        <v>0</v>
      </c>
      <c r="AA18" s="2">
        <v>3</v>
      </c>
      <c r="AB18" s="2">
        <f t="shared" si="0"/>
        <v>23</v>
      </c>
    </row>
    <row r="19" s="2" customFormat="1" spans="1:28">
      <c r="A19" s="2">
        <v>133</v>
      </c>
      <c r="B19" s="2">
        <v>1</v>
      </c>
      <c r="C19" s="2" t="s">
        <v>5</v>
      </c>
      <c r="D19" s="2">
        <v>2</v>
      </c>
      <c r="E19" s="2">
        <v>-1</v>
      </c>
      <c r="F19" s="2">
        <v>0</v>
      </c>
      <c r="G19" s="2">
        <v>2</v>
      </c>
      <c r="H19" s="2">
        <v>2</v>
      </c>
      <c r="I19" s="2">
        <v>0</v>
      </c>
      <c r="J19" s="2">
        <v>2</v>
      </c>
      <c r="K19" s="2">
        <v>0</v>
      </c>
      <c r="L19" s="2">
        <v>0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-2</v>
      </c>
      <c r="X19" s="2">
        <v>0</v>
      </c>
      <c r="Y19" s="2">
        <v>2</v>
      </c>
      <c r="Z19" s="2">
        <v>2</v>
      </c>
      <c r="AA19" s="2">
        <v>2</v>
      </c>
      <c r="AB19" s="2">
        <f t="shared" si="0"/>
        <v>29</v>
      </c>
    </row>
    <row r="20" s="2" customFormat="1" spans="1:28">
      <c r="A20" s="2">
        <v>135</v>
      </c>
      <c r="B20" s="2">
        <v>1</v>
      </c>
      <c r="C20" s="2" t="s">
        <v>5</v>
      </c>
      <c r="D20" s="2">
        <v>2</v>
      </c>
      <c r="E20" s="2">
        <v>0</v>
      </c>
      <c r="F20" s="2">
        <v>0</v>
      </c>
      <c r="G20" s="2">
        <v>4</v>
      </c>
      <c r="H20" s="2">
        <v>1</v>
      </c>
      <c r="I20" s="2">
        <v>1</v>
      </c>
      <c r="J20" s="2">
        <v>-1</v>
      </c>
      <c r="K20" s="2">
        <v>2</v>
      </c>
      <c r="L20" s="2">
        <v>0</v>
      </c>
      <c r="M20" s="2">
        <v>-1</v>
      </c>
      <c r="N20" s="2">
        <v>3</v>
      </c>
      <c r="O20" s="2">
        <v>0</v>
      </c>
      <c r="P20" s="2">
        <v>0</v>
      </c>
      <c r="Q20" s="2">
        <v>2</v>
      </c>
      <c r="R20" s="2">
        <v>0</v>
      </c>
      <c r="S20" s="2">
        <v>2</v>
      </c>
      <c r="T20" s="2">
        <v>4</v>
      </c>
      <c r="U20" s="2">
        <v>3</v>
      </c>
      <c r="V20" s="2">
        <v>3</v>
      </c>
      <c r="W20" s="2">
        <v>0</v>
      </c>
      <c r="X20" s="2">
        <v>3</v>
      </c>
      <c r="Y20" s="2">
        <v>0</v>
      </c>
      <c r="Z20" s="2">
        <v>2</v>
      </c>
      <c r="AA20" s="2">
        <v>1</v>
      </c>
      <c r="AB20" s="2">
        <f t="shared" si="0"/>
        <v>31</v>
      </c>
    </row>
    <row r="21" s="2" customFormat="1" spans="1:28">
      <c r="A21" s="2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0</v>
      </c>
      <c r="O21" s="2">
        <v>0</v>
      </c>
      <c r="P21" s="2">
        <v>2</v>
      </c>
      <c r="Q21" s="2">
        <v>1</v>
      </c>
      <c r="R21" s="2">
        <v>-1</v>
      </c>
      <c r="S21" s="2">
        <v>2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2</v>
      </c>
      <c r="AB21" s="2">
        <f t="shared" si="0"/>
        <v>38</v>
      </c>
    </row>
    <row r="22" s="2" customFormat="1" spans="1:28">
      <c r="A22" s="2">
        <v>137</v>
      </c>
      <c r="B22" s="2">
        <v>1</v>
      </c>
      <c r="C22" s="2" t="s">
        <v>5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f t="shared" si="0"/>
        <v>2</v>
      </c>
    </row>
    <row r="23" s="2" customFormat="1" spans="1:28">
      <c r="A23" s="2">
        <v>138</v>
      </c>
      <c r="B23" s="2">
        <v>1</v>
      </c>
      <c r="C23" s="2" t="s">
        <v>5</v>
      </c>
      <c r="D23" s="2">
        <v>1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f t="shared" si="0"/>
        <v>7</v>
      </c>
    </row>
    <row r="24" s="2" customFormat="1" spans="1:28">
      <c r="A24" s="2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0</v>
      </c>
      <c r="G24" s="2">
        <v>0</v>
      </c>
      <c r="H24" s="2">
        <v>3</v>
      </c>
      <c r="I24" s="2">
        <v>2</v>
      </c>
      <c r="J24" s="2">
        <v>0</v>
      </c>
      <c r="K24" s="2">
        <v>0</v>
      </c>
      <c r="L24" s="2">
        <v>0</v>
      </c>
      <c r="M24" s="2">
        <v>0</v>
      </c>
      <c r="N24" s="2">
        <v>2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0</v>
      </c>
      <c r="U24" s="2">
        <v>2</v>
      </c>
      <c r="V24" s="2">
        <v>-2</v>
      </c>
      <c r="W24" s="2">
        <v>0</v>
      </c>
      <c r="X24" s="2">
        <v>0</v>
      </c>
      <c r="Y24" s="2">
        <v>2</v>
      </c>
      <c r="Z24" s="2">
        <v>0</v>
      </c>
      <c r="AA24" s="2">
        <v>2</v>
      </c>
      <c r="AB24" s="2">
        <f t="shared" si="0"/>
        <v>17</v>
      </c>
    </row>
    <row r="25" s="2" customFormat="1" spans="1:28">
      <c r="A25" s="2">
        <v>141</v>
      </c>
      <c r="B25" s="2">
        <v>3</v>
      </c>
      <c r="C25" s="2" t="s">
        <v>5</v>
      </c>
      <c r="D25" s="2">
        <v>0</v>
      </c>
      <c r="E25" s="2">
        <v>0</v>
      </c>
      <c r="F25" s="2">
        <v>0</v>
      </c>
      <c r="G25" s="2">
        <v>0</v>
      </c>
      <c r="H25" s="2">
        <v>4</v>
      </c>
      <c r="I25" s="2">
        <v>4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3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0</v>
      </c>
      <c r="V25" s="2">
        <v>1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2">
        <f t="shared" si="0"/>
        <v>19</v>
      </c>
    </row>
    <row r="26" s="2" customFormat="1" spans="1:28">
      <c r="A26" s="2">
        <v>142</v>
      </c>
      <c r="B26" s="2">
        <v>3</v>
      </c>
      <c r="C26" s="2" t="s">
        <v>5</v>
      </c>
      <c r="D26" s="2">
        <v>2</v>
      </c>
      <c r="E26" s="2">
        <v>0</v>
      </c>
      <c r="F26" s="2">
        <v>0</v>
      </c>
      <c r="G26" s="2">
        <v>2</v>
      </c>
      <c r="H26" s="2">
        <v>2</v>
      </c>
      <c r="I26" s="2">
        <v>2</v>
      </c>
      <c r="J26" s="2">
        <v>2</v>
      </c>
      <c r="K26" s="2">
        <v>0</v>
      </c>
      <c r="L26" s="2">
        <v>2</v>
      </c>
      <c r="M26" s="2">
        <v>2</v>
      </c>
      <c r="N26" s="2">
        <v>0</v>
      </c>
      <c r="O26" s="2">
        <v>0</v>
      </c>
      <c r="P26" s="2">
        <v>2</v>
      </c>
      <c r="Q26" s="2">
        <v>2</v>
      </c>
      <c r="R26" s="2">
        <v>0</v>
      </c>
      <c r="S26" s="2">
        <v>0</v>
      </c>
      <c r="T26" s="2">
        <v>0</v>
      </c>
      <c r="U26" s="2">
        <v>0</v>
      </c>
      <c r="V26" s="2">
        <v>2</v>
      </c>
      <c r="W26" s="2">
        <v>2</v>
      </c>
      <c r="X26" s="2">
        <v>-2</v>
      </c>
      <c r="Y26" s="2">
        <v>0</v>
      </c>
      <c r="Z26" s="2">
        <v>0</v>
      </c>
      <c r="AA26" s="2">
        <v>2</v>
      </c>
      <c r="AB26" s="2">
        <f t="shared" si="0"/>
        <v>22</v>
      </c>
    </row>
    <row r="27" s="2" customFormat="1" spans="1:28">
      <c r="A27" s="2">
        <v>143</v>
      </c>
      <c r="B27" s="2">
        <v>3</v>
      </c>
      <c r="C27" s="2" t="s">
        <v>5</v>
      </c>
      <c r="D27" s="2">
        <v>0</v>
      </c>
      <c r="E27" s="2">
        <v>0</v>
      </c>
      <c r="F27" s="2">
        <v>0</v>
      </c>
      <c r="G27" s="2">
        <v>0</v>
      </c>
      <c r="H27" s="2">
        <v>4</v>
      </c>
      <c r="I27" s="2">
        <v>2</v>
      </c>
      <c r="J27" s="2">
        <v>3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f t="shared" si="0"/>
        <v>9</v>
      </c>
    </row>
    <row r="28" s="2" customFormat="1" spans="1:28">
      <c r="A28" s="2">
        <v>144</v>
      </c>
      <c r="B28" s="2">
        <v>3</v>
      </c>
      <c r="C28" s="2" t="s">
        <v>5</v>
      </c>
      <c r="D28" s="2">
        <v>2</v>
      </c>
      <c r="E28" s="2">
        <v>1</v>
      </c>
      <c r="F28" s="2">
        <v>0</v>
      </c>
      <c r="G28" s="2">
        <v>2</v>
      </c>
      <c r="H28" s="2">
        <v>4</v>
      </c>
      <c r="I28" s="2">
        <v>0</v>
      </c>
      <c r="J28" s="2">
        <v>2</v>
      </c>
      <c r="K28" s="2">
        <v>0</v>
      </c>
      <c r="L28" s="2">
        <v>-1</v>
      </c>
      <c r="M28" s="2">
        <v>0</v>
      </c>
      <c r="N28" s="2">
        <v>4</v>
      </c>
      <c r="O28" s="2">
        <v>0</v>
      </c>
      <c r="P28" s="2">
        <v>3</v>
      </c>
      <c r="Q28" s="2">
        <v>1</v>
      </c>
      <c r="R28" s="2">
        <v>1</v>
      </c>
      <c r="S28" s="2">
        <v>2</v>
      </c>
      <c r="T28" s="2">
        <v>2</v>
      </c>
      <c r="U28" s="2">
        <v>1</v>
      </c>
      <c r="V28" s="2">
        <v>3</v>
      </c>
      <c r="W28" s="2">
        <v>-1</v>
      </c>
      <c r="X28" s="2">
        <v>0</v>
      </c>
      <c r="Y28" s="2">
        <v>2</v>
      </c>
      <c r="Z28" s="2">
        <v>1</v>
      </c>
      <c r="AA28" s="2">
        <v>2</v>
      </c>
      <c r="AB28" s="2">
        <f t="shared" si="0"/>
        <v>31</v>
      </c>
    </row>
    <row r="29" s="2" customFormat="1" spans="1:28">
      <c r="A29" s="2">
        <v>145</v>
      </c>
      <c r="B29" s="2">
        <v>3</v>
      </c>
      <c r="C29" s="2" t="s">
        <v>5</v>
      </c>
      <c r="D29" s="2">
        <v>0</v>
      </c>
      <c r="E29" s="2">
        <v>0</v>
      </c>
      <c r="F29" s="2">
        <v>0</v>
      </c>
      <c r="G29" s="2">
        <v>1</v>
      </c>
      <c r="H29" s="2">
        <v>4</v>
      </c>
      <c r="I29" s="2">
        <v>-1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-1</v>
      </c>
      <c r="V29" s="2">
        <v>-1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f t="shared" si="0"/>
        <v>4</v>
      </c>
    </row>
    <row r="30" s="2" customFormat="1" spans="1:28">
      <c r="A30" s="2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f t="shared" si="0"/>
        <v>0</v>
      </c>
    </row>
    <row r="31" s="2" customFormat="1" spans="1:28">
      <c r="A31" s="2">
        <v>147</v>
      </c>
      <c r="B31" s="2">
        <v>3</v>
      </c>
      <c r="C31" s="2" t="s">
        <v>5</v>
      </c>
      <c r="D31" s="2">
        <v>0</v>
      </c>
      <c r="E31" s="2">
        <v>0</v>
      </c>
      <c r="F31" s="2">
        <v>0</v>
      </c>
      <c r="G31" s="2">
        <v>1</v>
      </c>
      <c r="H31" s="2">
        <v>4</v>
      </c>
      <c r="I31" s="2">
        <v>3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1</v>
      </c>
      <c r="R31" s="2">
        <v>0</v>
      </c>
      <c r="S31" s="2">
        <v>0</v>
      </c>
      <c r="T31" s="2">
        <v>2</v>
      </c>
      <c r="U31" s="2">
        <v>0</v>
      </c>
      <c r="V31" s="2">
        <v>2</v>
      </c>
      <c r="W31" s="2">
        <v>0</v>
      </c>
      <c r="X31" s="2">
        <v>0</v>
      </c>
      <c r="Y31" s="2">
        <v>2</v>
      </c>
      <c r="Z31" s="2">
        <v>2</v>
      </c>
      <c r="AA31" s="2">
        <v>0</v>
      </c>
      <c r="AB31" s="2">
        <f t="shared" si="0"/>
        <v>21</v>
      </c>
    </row>
    <row r="32" s="2" customFormat="1" spans="1:28">
      <c r="A32" s="2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1</v>
      </c>
      <c r="G32" s="2">
        <v>1</v>
      </c>
      <c r="H32" s="2">
        <v>4</v>
      </c>
      <c r="I32" s="2">
        <v>1</v>
      </c>
      <c r="J32" s="2">
        <v>2</v>
      </c>
      <c r="K32" s="2">
        <v>-2</v>
      </c>
      <c r="L32" s="2">
        <v>1</v>
      </c>
      <c r="M32" s="2">
        <v>3</v>
      </c>
      <c r="N32" s="2">
        <v>-1</v>
      </c>
      <c r="O32" s="2">
        <v>-1</v>
      </c>
      <c r="P32" s="2">
        <v>3</v>
      </c>
      <c r="Q32" s="2">
        <v>1</v>
      </c>
      <c r="R32" s="2">
        <v>1</v>
      </c>
      <c r="S32" s="2">
        <v>2</v>
      </c>
      <c r="T32" s="2">
        <v>1</v>
      </c>
      <c r="U32" s="2">
        <v>-3</v>
      </c>
      <c r="V32" s="2">
        <v>2</v>
      </c>
      <c r="W32" s="2">
        <v>0</v>
      </c>
      <c r="X32" s="2">
        <v>2</v>
      </c>
      <c r="Y32" s="2">
        <v>1</v>
      </c>
      <c r="Z32" s="2">
        <v>1</v>
      </c>
      <c r="AA32" s="2">
        <v>1</v>
      </c>
      <c r="AB32" s="2">
        <f t="shared" si="0"/>
        <v>25</v>
      </c>
    </row>
    <row r="33" s="2" customFormat="1" spans="1:28">
      <c r="A33" s="2">
        <v>149</v>
      </c>
      <c r="B33" s="2">
        <v>5</v>
      </c>
      <c r="C33" s="2" t="s">
        <v>5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f t="shared" si="0"/>
        <v>2</v>
      </c>
    </row>
    <row r="34" s="2" customFormat="1" spans="1:28">
      <c r="A34" s="2">
        <v>150</v>
      </c>
      <c r="B34" s="2">
        <v>5</v>
      </c>
      <c r="C34" s="2" t="s">
        <v>5</v>
      </c>
      <c r="D34" s="2">
        <v>1</v>
      </c>
      <c r="E34" s="2">
        <v>4</v>
      </c>
      <c r="F34" s="2">
        <v>2</v>
      </c>
      <c r="G34" s="2">
        <v>4</v>
      </c>
      <c r="H34" s="2">
        <v>4</v>
      </c>
      <c r="I34" s="2">
        <v>1</v>
      </c>
      <c r="J34" s="2">
        <v>2</v>
      </c>
      <c r="K34" s="2">
        <v>-2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0</v>
      </c>
      <c r="R34" s="2">
        <v>-2</v>
      </c>
      <c r="S34" s="2">
        <v>0</v>
      </c>
      <c r="T34" s="2">
        <v>1</v>
      </c>
      <c r="U34" s="2">
        <v>3</v>
      </c>
      <c r="V34" s="2">
        <v>1</v>
      </c>
      <c r="W34" s="2">
        <v>1</v>
      </c>
      <c r="X34" s="2">
        <v>-1</v>
      </c>
      <c r="Y34" s="2">
        <v>1</v>
      </c>
      <c r="Z34" s="2">
        <v>0</v>
      </c>
      <c r="AA34" s="2">
        <v>2</v>
      </c>
      <c r="AB34" s="2">
        <f t="shared" si="0"/>
        <v>25</v>
      </c>
    </row>
    <row r="35" s="2" customFormat="1" spans="1:28">
      <c r="A35" s="2">
        <v>151</v>
      </c>
      <c r="B35" s="2">
        <v>5</v>
      </c>
      <c r="C35" s="2" t="s">
        <v>5</v>
      </c>
      <c r="D35" s="2">
        <v>0</v>
      </c>
      <c r="E35" s="2">
        <v>0</v>
      </c>
      <c r="F35" s="2">
        <v>1</v>
      </c>
      <c r="G35" s="2">
        <v>0</v>
      </c>
      <c r="H35" s="2">
        <v>4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2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f t="shared" si="0"/>
        <v>9</v>
      </c>
    </row>
    <row r="36" s="2" customFormat="1" spans="1:28">
      <c r="A36" s="2">
        <v>152</v>
      </c>
      <c r="B36" s="2">
        <v>5</v>
      </c>
      <c r="C36" s="2" t="s">
        <v>5</v>
      </c>
      <c r="D36" s="2">
        <v>0</v>
      </c>
      <c r="E36" s="2">
        <v>0</v>
      </c>
      <c r="F36" s="2">
        <v>0</v>
      </c>
      <c r="G36" s="2">
        <v>0</v>
      </c>
      <c r="H36" s="2">
        <v>4</v>
      </c>
      <c r="I36" s="2">
        <v>0</v>
      </c>
      <c r="J36" s="2">
        <v>1</v>
      </c>
      <c r="K36" s="2">
        <v>3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f t="shared" si="0"/>
        <v>12</v>
      </c>
    </row>
    <row r="37" s="2" customFormat="1" spans="1:28">
      <c r="A37" s="2">
        <v>154</v>
      </c>
      <c r="B37" s="2">
        <v>5</v>
      </c>
      <c r="C37" s="2" t="s">
        <v>5</v>
      </c>
      <c r="D37" s="2">
        <v>1</v>
      </c>
      <c r="E37" s="2">
        <v>1</v>
      </c>
      <c r="F37" s="2">
        <v>1</v>
      </c>
      <c r="G37" s="2">
        <v>1</v>
      </c>
      <c r="H37" s="2">
        <v>4</v>
      </c>
      <c r="I37" s="2">
        <v>1</v>
      </c>
      <c r="J37" s="2">
        <v>2</v>
      </c>
      <c r="K37" s="2">
        <v>2</v>
      </c>
      <c r="L37" s="2">
        <v>-2</v>
      </c>
      <c r="M37" s="2">
        <v>1</v>
      </c>
      <c r="N37" s="2">
        <v>1</v>
      </c>
      <c r="O37" s="2">
        <v>2</v>
      </c>
      <c r="P37" s="2">
        <v>1</v>
      </c>
      <c r="Q37" s="2">
        <v>0</v>
      </c>
      <c r="R37" s="2">
        <v>2</v>
      </c>
      <c r="S37" s="2">
        <v>3</v>
      </c>
      <c r="T37" s="2">
        <v>1</v>
      </c>
      <c r="U37" s="2">
        <v>1</v>
      </c>
      <c r="V37" s="2">
        <v>2</v>
      </c>
      <c r="W37" s="2">
        <v>3</v>
      </c>
      <c r="X37" s="2">
        <v>1</v>
      </c>
      <c r="Y37" s="2">
        <v>2</v>
      </c>
      <c r="Z37" s="2">
        <v>4</v>
      </c>
      <c r="AA37" s="2">
        <v>1</v>
      </c>
      <c r="AB37" s="2">
        <f t="shared" si="0"/>
        <v>36</v>
      </c>
    </row>
    <row r="38" s="2" customFormat="1" spans="3:27">
      <c r="C38" s="2" t="s">
        <v>6</v>
      </c>
      <c r="D38" s="2">
        <f t="shared" ref="D38:AA38" si="1">AVERAGE(D2:D37)</f>
        <v>0.944444444444444</v>
      </c>
      <c r="E38" s="2">
        <f t="shared" si="1"/>
        <v>1.02777777777778</v>
      </c>
      <c r="F38" s="2">
        <f t="shared" si="1"/>
        <v>0.638888888888889</v>
      </c>
      <c r="G38" s="2">
        <f t="shared" si="1"/>
        <v>1.05555555555556</v>
      </c>
      <c r="H38" s="2">
        <f t="shared" si="1"/>
        <v>2.83333333333333</v>
      </c>
      <c r="I38" s="2">
        <f t="shared" si="1"/>
        <v>0.555555555555556</v>
      </c>
      <c r="J38" s="2">
        <f t="shared" si="1"/>
        <v>1</v>
      </c>
      <c r="K38" s="2">
        <f t="shared" si="1"/>
        <v>0.472222222222222</v>
      </c>
      <c r="L38" s="2">
        <f t="shared" si="1"/>
        <v>0.0833333333333333</v>
      </c>
      <c r="M38" s="2">
        <f t="shared" si="1"/>
        <v>1.02777777777778</v>
      </c>
      <c r="N38" s="2">
        <f t="shared" si="1"/>
        <v>0.805555555555556</v>
      </c>
      <c r="O38" s="2">
        <f t="shared" si="1"/>
        <v>0.611111111111111</v>
      </c>
      <c r="P38" s="2">
        <f t="shared" si="1"/>
        <v>1</v>
      </c>
      <c r="Q38" s="2">
        <f t="shared" si="1"/>
        <v>0.555555555555556</v>
      </c>
      <c r="R38" s="2">
        <f t="shared" si="1"/>
        <v>0.638888888888889</v>
      </c>
      <c r="S38" s="2">
        <f t="shared" si="1"/>
        <v>0.694444444444444</v>
      </c>
      <c r="T38" s="2">
        <f t="shared" si="1"/>
        <v>1.27777777777778</v>
      </c>
      <c r="U38" s="2">
        <f t="shared" si="1"/>
        <v>0.694444444444444</v>
      </c>
      <c r="V38" s="2">
        <f t="shared" si="1"/>
        <v>1.19444444444444</v>
      </c>
      <c r="W38" s="2">
        <f t="shared" si="1"/>
        <v>0.444444444444444</v>
      </c>
      <c r="X38" s="2">
        <f t="shared" si="1"/>
        <v>0.388888888888889</v>
      </c>
      <c r="Y38" s="2">
        <f t="shared" si="1"/>
        <v>1.13888888888889</v>
      </c>
      <c r="Z38" s="2">
        <f t="shared" si="1"/>
        <v>0.777777777777778</v>
      </c>
      <c r="AA38" s="2">
        <f t="shared" si="1"/>
        <v>0.777777777777778</v>
      </c>
    </row>
    <row r="39" s="2" customFormat="1" spans="3:27">
      <c r="C39" s="2" t="s">
        <v>4</v>
      </c>
      <c r="D39" s="2">
        <f>AVERAGEIF($C$2:$C$37,"Trad",D2:D37)</f>
        <v>0.904761904761905</v>
      </c>
      <c r="E39" s="2">
        <f>AVERAGEIF($C$2:$C$37,"Trad",E2:E37)</f>
        <v>0.619047619047619</v>
      </c>
      <c r="F39" s="2">
        <f>AVERAGEIF($C$2:$C$37,"Trad",F2:F37)</f>
        <v>0.428571428571429</v>
      </c>
      <c r="G39" s="2">
        <f>AVERAGEIF($C$2:$C$37,"Trad",G2:G37)</f>
        <v>1.19047619047619</v>
      </c>
      <c r="H39" s="2">
        <f>AVERAGEIF($C$2:$C$37,"Trad",H2:H37)</f>
        <v>2.85714285714286</v>
      </c>
      <c r="I39" s="2">
        <f>AVERAGEIF($C$2:$C$37,"Trad",I2:I37)</f>
        <v>0.80952380952381</v>
      </c>
      <c r="J39" s="2">
        <f>AVERAGEIF($C$2:$C$37,"Trad",J2:J37)</f>
        <v>1.28571428571429</v>
      </c>
      <c r="K39" s="2">
        <f>AVERAGEIF($C$2:$C$37,"Trad",K2:K37)</f>
        <v>0.428571428571429</v>
      </c>
      <c r="L39" s="2">
        <f>AVERAGEIF($C$2:$C$37,"Trad",L2:L37)</f>
        <v>0.0952380952380952</v>
      </c>
      <c r="M39" s="2">
        <f>AVERAGEIF($C$2:$C$37,"Trad",M2:M37)</f>
        <v>0.666666666666667</v>
      </c>
      <c r="N39" s="2">
        <f>AVERAGEIF($C$2:$C$37,"Trad",N2:N37)</f>
        <v>0.666666666666667</v>
      </c>
      <c r="O39" s="2">
        <f>AVERAGEIF($C$2:$C$37,"Trad",O2:O37)</f>
        <v>0.571428571428571</v>
      </c>
      <c r="P39" s="2">
        <f>AVERAGEIF($C$2:$C$37,"Trad",P2:P37)</f>
        <v>0.80952380952381</v>
      </c>
      <c r="Q39" s="2">
        <f>AVERAGEIF($C$2:$C$37,"Trad",Q2:Q37)</f>
        <v>0.428571428571429</v>
      </c>
      <c r="R39" s="2">
        <f>AVERAGEIF($C$2:$C$37,"Trad",R2:R37)</f>
        <v>0.238095238095238</v>
      </c>
      <c r="S39" s="2">
        <f>AVERAGEIF($C$2:$C$37,"Trad",S2:S37)</f>
        <v>0.857142857142857</v>
      </c>
      <c r="T39" s="2">
        <f>AVERAGEIF($C$2:$C$37,"Trad",T2:T37)</f>
        <v>1.04761904761905</v>
      </c>
      <c r="U39" s="2">
        <f>AVERAGEIF($C$2:$C$37,"Trad",U2:U37)</f>
        <v>0.476190476190476</v>
      </c>
      <c r="V39" s="2">
        <f>AVERAGEIF($C$2:$C$37,"Trad",V2:V37)</f>
        <v>1.19047619047619</v>
      </c>
      <c r="W39" s="2">
        <f>AVERAGEIF($C$2:$C$37,"Trad",W2:W37)</f>
        <v>0.19047619047619</v>
      </c>
      <c r="X39" s="2">
        <f>AVERAGEIF($C$2:$C$37,"Trad",X2:X37)</f>
        <v>0.428571428571429</v>
      </c>
      <c r="Y39" s="2">
        <f>AVERAGEIF($C$2:$C$37,"Trad",Y2:Y37)</f>
        <v>0.80952380952381</v>
      </c>
      <c r="Z39" s="2">
        <f>AVERAGEIF($C$2:$C$37,"Trad",Z2:Z37)</f>
        <v>0.666666666666667</v>
      </c>
      <c r="AA39" s="2">
        <f>AVERAGEIF($C$2:$C$37,"Trad",AA2:AA37)</f>
        <v>0.761904761904762</v>
      </c>
    </row>
    <row r="40" s="2" customFormat="1" spans="3:27">
      <c r="C40" s="2" t="s">
        <v>5</v>
      </c>
      <c r="D40" s="2">
        <f>AVERAGEIF($C$2:$C$37,"CAI",D2:D37)</f>
        <v>1</v>
      </c>
      <c r="E40" s="2">
        <f>AVERAGEIF($C$2:$C$37,"CAI",E2:E37)</f>
        <v>1.6</v>
      </c>
      <c r="F40" s="2">
        <f>AVERAGEIF($C$2:$C$37,"CAI",F2:F37)</f>
        <v>0.933333333333333</v>
      </c>
      <c r="G40" s="2">
        <f>AVERAGEIF($C$2:$C$37,"CAI",G2:G37)</f>
        <v>0.866666666666667</v>
      </c>
      <c r="H40" s="2">
        <f>AVERAGEIF($C$2:$C$37,"CAI",H2:H37)</f>
        <v>2.8</v>
      </c>
      <c r="I40" s="2">
        <f>AVERAGEIF($C$2:$C$37,"CAI",I2:I37)</f>
        <v>0.2</v>
      </c>
      <c r="J40" s="2">
        <f>AVERAGEIF($C$2:$C$37,"CAI",J2:J37)</f>
        <v>0.6</v>
      </c>
      <c r="K40" s="2">
        <f>AVERAGEIF($C$2:$C$37,"CAI",K2:K37)</f>
        <v>0.533333333333333</v>
      </c>
      <c r="L40" s="2">
        <f>AVERAGEIF($C$2:$C$37,"CAI",L2:L37)</f>
        <v>0.0666666666666667</v>
      </c>
      <c r="M40" s="2">
        <f>AVERAGEIF($C$2:$C$37,"CAI",M2:M37)</f>
        <v>1.53333333333333</v>
      </c>
      <c r="N40" s="2">
        <f>AVERAGEIF($C$2:$C$37,"CAI",N2:N37)</f>
        <v>1</v>
      </c>
      <c r="O40" s="2">
        <f>AVERAGEIF($C$2:$C$37,"CAI",O2:O37)</f>
        <v>0.666666666666667</v>
      </c>
      <c r="P40" s="2">
        <f>AVERAGEIF($C$2:$C$37,"CAI",P2:P37)</f>
        <v>1.26666666666667</v>
      </c>
      <c r="Q40" s="2">
        <f>AVERAGEIF($C$2:$C$37,"CAI",Q2:Q37)</f>
        <v>0.733333333333333</v>
      </c>
      <c r="R40" s="2">
        <f>AVERAGEIF($C$2:$C$37,"CAI",R2:R37)</f>
        <v>1.2</v>
      </c>
      <c r="S40" s="2">
        <f>AVERAGEIF($C$2:$C$37,"CAI",S2:S37)</f>
        <v>0.466666666666667</v>
      </c>
      <c r="T40" s="2">
        <f>AVERAGEIF($C$2:$C$37,"CAI",T2:T37)</f>
        <v>1.6</v>
      </c>
      <c r="U40" s="2">
        <f>AVERAGEIF($C$2:$C$37,"CAI",U2:U37)</f>
        <v>1</v>
      </c>
      <c r="V40" s="2">
        <f>AVERAGEIF($C$2:$C$37,"CAI",V2:V37)</f>
        <v>1.2</v>
      </c>
      <c r="W40" s="2">
        <f>AVERAGEIF($C$2:$C$37,"CAI",W2:W37)</f>
        <v>0.8</v>
      </c>
      <c r="X40" s="2">
        <f>AVERAGEIF($C$2:$C$37,"CAI",X2:X37)</f>
        <v>0.333333333333333</v>
      </c>
      <c r="Y40" s="2">
        <f>AVERAGEIF($C$2:$C$37,"CAI",Y2:Y37)</f>
        <v>1.6</v>
      </c>
      <c r="Z40" s="2">
        <f>AVERAGEIF($C$2:$C$37,"CAI",Z2:Z37)</f>
        <v>0.933333333333333</v>
      </c>
      <c r="AA40" s="2">
        <f>AVERAGEIF($C$2:$C$37,"CAI",AA2:AA37)</f>
        <v>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2024-11-20T09:19:14Z</dcterms:created>
  <dcterms:modified xsi:type="dcterms:W3CDTF">2024-11-20T09:19:26Z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F9D022E2DE5C4637B149DFD2AFF6C9F3_11</vt:lpwstr>
  </property>
  <property fmtid="{D5CDD505-2E9C-101B-9397-08002B2CF9AE}" pid="3" name="KSOProductBuildVer">
    <vt:lpwstr>2052-12.1.0.18608</vt:lpwstr>
  </property>
</Properties>
</file>