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2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<sst xmlns="http://schemas.openxmlformats.org/spreadsheetml/2006/main" count="186" uniqueCount="141">
  <si>
    <t>NOW Magazine</t>
  </si>
  <si>
    <t>Col</t>
  </si>
  <si>
    <t>Height</t>
  </si>
  <si>
    <t>2/5 Page</t>
  </si>
  <si>
    <t>Cost:</t>
  </si>
  <si>
    <t>Job #</t>
  </si>
  <si>
    <t>Artist</t>
  </si>
  <si>
    <t>Venue</t>
  </si>
  <si>
    <t>Date</t>
  </si>
  <si>
    <t>Share</t>
  </si>
  <si>
    <t>Cost</t>
  </si>
  <si>
    <t>col</t>
  </si>
  <si>
    <t>mm</t>
  </si>
  <si>
    <t>EM2058</t>
  </si>
  <si>
    <t>Corona Sunsets</t>
  </si>
  <si>
    <t>Centre Island</t>
  </si>
  <si>
    <t>WI2253</t>
  </si>
  <si>
    <t>Fool's Gold Day Off</t>
  </si>
  <si>
    <t>Sherbourne Common</t>
  </si>
  <si>
    <t>LA2035</t>
  </si>
  <si>
    <t>Ditybird BBQ</t>
  </si>
  <si>
    <t>WI2256</t>
  </si>
  <si>
    <t>Flying Lotus</t>
  </si>
  <si>
    <t>The Danforth</t>
  </si>
  <si>
    <t>WI2242</t>
  </si>
  <si>
    <t>Wave Racer</t>
  </si>
  <si>
    <t>Studio Bar</t>
  </si>
  <si>
    <t>MD2006</t>
  </si>
  <si>
    <t>Mad Decent Block Party</t>
  </si>
  <si>
    <t>Fort York</t>
  </si>
  <si>
    <t>WI2250</t>
  </si>
  <si>
    <t>Mr. Scruff</t>
  </si>
  <si>
    <t>Wrongbar</t>
  </si>
  <si>
    <t>PR2023</t>
  </si>
  <si>
    <t>Swear &amp; Shake</t>
  </si>
  <si>
    <t>The Drake</t>
  </si>
  <si>
    <t>AM2214</t>
  </si>
  <si>
    <t>Waterfront Beach Festival</t>
  </si>
  <si>
    <t>HTO Park</t>
  </si>
  <si>
    <t>CA2041</t>
  </si>
  <si>
    <t>The Chainsmokers</t>
  </si>
  <si>
    <t>The Hoxton</t>
  </si>
  <si>
    <t>PR2024</t>
  </si>
  <si>
    <t>moe.</t>
  </si>
  <si>
    <t>The Mod Club</t>
  </si>
  <si>
    <t>AP2023</t>
  </si>
  <si>
    <t>GBH</t>
  </si>
  <si>
    <t>Hard Luck Bar</t>
  </si>
  <si>
    <t>HR2008</t>
  </si>
  <si>
    <t>Woman's Hour</t>
  </si>
  <si>
    <t>AM2215</t>
  </si>
  <si>
    <t>Tokimonsta</t>
  </si>
  <si>
    <t>WM2067</t>
  </si>
  <si>
    <t>The Orwells</t>
  </si>
  <si>
    <t>AG2064</t>
  </si>
  <si>
    <t>Boy &amp; Bear</t>
  </si>
  <si>
    <t>Queen Elizabeth Theatre</t>
  </si>
  <si>
    <t>WI2243</t>
  </si>
  <si>
    <t>Fat White Family</t>
  </si>
  <si>
    <t>WM2070</t>
  </si>
  <si>
    <t>Lewis Watson</t>
  </si>
  <si>
    <t>PR2025</t>
  </si>
  <si>
    <t>Twin Peaks</t>
  </si>
  <si>
    <t>WI2234</t>
  </si>
  <si>
    <t xml:space="preserve"> </t>
  </si>
  <si>
    <t>SE2011</t>
  </si>
  <si>
    <t>Cam'ron</t>
  </si>
  <si>
    <t>WI2237</t>
  </si>
  <si>
    <t>Chet Faker</t>
  </si>
  <si>
    <t>PR2020</t>
  </si>
  <si>
    <t>Clean Bandit</t>
  </si>
  <si>
    <t>PB2015</t>
  </si>
  <si>
    <t>Ty Segall</t>
  </si>
  <si>
    <t>AG2065</t>
  </si>
  <si>
    <t>Constantines</t>
  </si>
  <si>
    <t>AG2066</t>
  </si>
  <si>
    <t>54-40 &amp; Grapes of Wrath</t>
  </si>
  <si>
    <t>AG2063</t>
  </si>
  <si>
    <t>Airbourne</t>
  </si>
  <si>
    <t>WI2246</t>
  </si>
  <si>
    <t>Trust</t>
  </si>
  <si>
    <t>FM2008</t>
  </si>
  <si>
    <t>Big Wreck</t>
  </si>
  <si>
    <t>FM2010</t>
  </si>
  <si>
    <t>PB2016</t>
  </si>
  <si>
    <t>Mac Demarco</t>
  </si>
  <si>
    <t>AG2055</t>
  </si>
  <si>
    <t>A Tribe Called Red</t>
  </si>
  <si>
    <t>WI2217</t>
  </si>
  <si>
    <t>Peter Hook &amp; The Light</t>
  </si>
  <si>
    <t>WI2249</t>
  </si>
  <si>
    <t>London Grammar</t>
  </si>
  <si>
    <t>AG2068</t>
  </si>
  <si>
    <t>Buck 65</t>
  </si>
  <si>
    <t>AM2194</t>
  </si>
  <si>
    <t>Hudson Mohawke</t>
  </si>
  <si>
    <t>AM2204</t>
  </si>
  <si>
    <t>Mercer</t>
  </si>
  <si>
    <t>AM2205</t>
  </si>
  <si>
    <t>Gesaffelstein</t>
  </si>
  <si>
    <t>WI2232</t>
  </si>
  <si>
    <t>Jagwar Ma</t>
  </si>
  <si>
    <t>AM2216</t>
  </si>
  <si>
    <t>Samo Soundboy</t>
  </si>
  <si>
    <t>8-Aug-14]</t>
  </si>
  <si>
    <t>PR2021</t>
  </si>
  <si>
    <t>Dizzy Wright</t>
  </si>
  <si>
    <t>AM2217</t>
  </si>
  <si>
    <t>Bassjackers</t>
  </si>
  <si>
    <t>WI2238</t>
  </si>
  <si>
    <t>Kill Paris</t>
  </si>
  <si>
    <t>WI2244</t>
  </si>
  <si>
    <t>Mount Kimbie</t>
  </si>
  <si>
    <t>AM2211</t>
  </si>
  <si>
    <t>Tchami</t>
  </si>
  <si>
    <t>WI2245</t>
  </si>
  <si>
    <t>Metronomy</t>
  </si>
  <si>
    <t>AP2022</t>
  </si>
  <si>
    <t>Vinai</t>
  </si>
  <si>
    <t>FM2009</t>
  </si>
  <si>
    <t>Hilltop Hoods</t>
  </si>
  <si>
    <t>WI2240</t>
  </si>
  <si>
    <t>Yacht</t>
  </si>
  <si>
    <t>WI2241</t>
  </si>
  <si>
    <t>MO</t>
  </si>
  <si>
    <t>WI2254</t>
  </si>
  <si>
    <t>Rusko</t>
  </si>
  <si>
    <t>PR2026</t>
  </si>
  <si>
    <t>Charli XCX</t>
  </si>
  <si>
    <t>WI2251</t>
  </si>
  <si>
    <t>RJD2</t>
  </si>
  <si>
    <t>EI2010</t>
  </si>
  <si>
    <t>Electric Island</t>
  </si>
  <si>
    <t>SU2011</t>
  </si>
  <si>
    <t>New Kanada w/ Graze</t>
  </si>
  <si>
    <t>Coda</t>
  </si>
  <si>
    <t>BB2008</t>
  </si>
  <si>
    <t>Steve Lawler</t>
  </si>
  <si>
    <t>WI2236</t>
  </si>
  <si>
    <t>Com Truise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</si>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</sst>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09]d\-mmm\-yy;@"/>
    <numFmt numFmtId="177" formatCode="#,##0.0"/>
    <numFmt numFmtId="178" formatCode="0.0%"/>
    <numFmt numFmtId="179" formatCode="_(&quot;$&quot;* #,##0.00_);_(&quot;$&quot;* \(#,##0.00\);_(&quot;$&quot;* &quot;-&quot;??_);_(@_)"/>
  </numFmts>
  <fonts count="36">
    <font>
      <sz val="11"/>
      <color theme="1"/>
      <name val="宋体"/>
      <charset val="134"/>
      <scheme val="minor"/>
    </font>
    <font>
      <sz val="10"/>
      <name val="Arial"/>
      <charset val="134"/>
    </font>
    <font>
      <b/>
      <sz val="14"/>
      <color indexed="8"/>
      <name val="Calibri (Body)"/>
      <charset val="134"/>
    </font>
    <font>
      <b/>
      <sz val="14"/>
      <color theme="1"/>
      <name val="宋体"/>
      <charset val="134"/>
      <scheme val="minor"/>
    </font>
    <font>
      <b/>
      <sz val="14"/>
      <color indexed="8"/>
      <name val="Calibri"/>
      <charset val="134"/>
    </font>
    <font>
      <b/>
      <sz val="14"/>
      <name val="Calibri"/>
      <charset val="134"/>
    </font>
    <font>
      <sz val="14"/>
      <color indexed="8"/>
      <name val="Calibri"/>
      <charset val="134"/>
    </font>
    <font>
      <b/>
      <sz val="14"/>
      <color rgb="FF000000"/>
      <name val="Calibri"/>
      <charset val="134"/>
    </font>
    <font>
      <sz val="14"/>
      <color rgb="FF000000"/>
      <name val="Calibri"/>
      <charset val="134"/>
    </font>
    <font>
      <b/>
      <sz val="14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57267C"/>
      <name val="宋体"/>
      <charset val="134"/>
      <scheme val="minor"/>
    </font>
    <font>
      <sz val="14"/>
      <color rgb="FF57267C"/>
      <name val="宋体"/>
      <charset val="134"/>
      <scheme val="minor"/>
    </font>
    <font>
      <b/>
      <sz val="14"/>
      <color rgb="FF57267C"/>
      <name val="宋体"/>
      <charset val="134"/>
      <scheme val="minor"/>
    </font>
    <font>
      <sz val="14"/>
      <name val="宋体"/>
      <charset val="134"/>
      <scheme val="minor"/>
    </font>
    <font>
      <b/>
      <sz val="14"/>
      <color rgb="FF000000"/>
      <name val="Calibri (Body)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18" applyNumberFormat="0" applyAlignment="0" applyProtection="0">
      <alignment vertical="center"/>
    </xf>
    <xf numFmtId="0" fontId="26" fillId="6" borderId="19" applyNumberFormat="0" applyAlignment="0" applyProtection="0">
      <alignment vertical="center"/>
    </xf>
    <xf numFmtId="0" fontId="27" fillId="6" borderId="18" applyNumberFormat="0" applyAlignment="0" applyProtection="0">
      <alignment vertical="center"/>
    </xf>
    <xf numFmtId="0" fontId="28" fillId="7" borderId="20" applyNumberFormat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/>
    <xf numFmtId="0" fontId="1" fillId="2" borderId="2" xfId="0" applyFont="1" applyFill="1" applyBorder="1" applyAlignment="1"/>
    <xf numFmtId="15" fontId="2" fillId="2" borderId="2" xfId="0" applyNumberFormat="1" applyFont="1" applyFill="1" applyBorder="1" applyAlignment="1">
      <alignment horizontal="center"/>
    </xf>
    <xf numFmtId="16" fontId="2" fillId="2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/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/>
    <xf numFmtId="0" fontId="3" fillId="3" borderId="4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left"/>
    </xf>
    <xf numFmtId="0" fontId="5" fillId="0" borderId="6" xfId="0" applyFont="1" applyFill="1" applyBorder="1" applyAlignment="1"/>
    <xf numFmtId="0" fontId="6" fillId="0" borderId="6" xfId="0" applyFont="1" applyFill="1" applyBorder="1" applyAlignment="1">
      <alignment horizontal="left"/>
    </xf>
    <xf numFmtId="176" fontId="6" fillId="0" borderId="6" xfId="0" applyNumberFormat="1" applyFont="1" applyFill="1" applyBorder="1" applyAlignment="1">
      <alignment horizontal="left"/>
    </xf>
    <xf numFmtId="0" fontId="7" fillId="0" borderId="5" xfId="0" applyFont="1" applyFill="1" applyBorder="1" applyAlignment="1">
      <alignment horizontal="left"/>
    </xf>
    <xf numFmtId="0" fontId="8" fillId="0" borderId="6" xfId="0" applyFont="1" applyFill="1" applyBorder="1" applyAlignment="1">
      <alignment horizontal="left"/>
    </xf>
    <xf numFmtId="176" fontId="8" fillId="0" borderId="6" xfId="0" applyNumberFormat="1" applyFont="1" applyFill="1" applyBorder="1" applyAlignment="1">
      <alignment horizontal="left"/>
    </xf>
    <xf numFmtId="0" fontId="4" fillId="0" borderId="5" xfId="0" applyNumberFormat="1" applyFont="1" applyFill="1" applyBorder="1" applyAlignment="1">
      <alignment horizontal="left"/>
    </xf>
    <xf numFmtId="0" fontId="9" fillId="0" borderId="7" xfId="0" applyFont="1" applyFill="1" applyBorder="1" applyAlignment="1"/>
    <xf numFmtId="0" fontId="10" fillId="0" borderId="6" xfId="0" applyFont="1" applyFill="1" applyBorder="1" applyAlignment="1">
      <alignment horizontal="left"/>
    </xf>
    <xf numFmtId="176" fontId="10" fillId="0" borderId="6" xfId="0" applyNumberFormat="1" applyFont="1" applyFill="1" applyBorder="1" applyAlignment="1">
      <alignment horizontal="left"/>
    </xf>
    <xf numFmtId="0" fontId="9" fillId="0" borderId="6" xfId="0" applyFont="1" applyFill="1" applyBorder="1" applyAlignment="1"/>
    <xf numFmtId="0" fontId="4" fillId="0" borderId="8" xfId="0" applyFont="1" applyFill="1" applyBorder="1" applyAlignment="1">
      <alignment horizontal="left"/>
    </xf>
    <xf numFmtId="177" fontId="11" fillId="0" borderId="9" xfId="0" applyNumberFormat="1" applyFont="1" applyFill="1" applyBorder="1" applyAlignment="1">
      <alignment horizontal="center"/>
    </xf>
    <xf numFmtId="177" fontId="12" fillId="0" borderId="10" xfId="0" applyNumberFormat="1" applyFont="1" applyFill="1" applyBorder="1" applyAlignment="1">
      <alignment horizontal="center"/>
    </xf>
    <xf numFmtId="0" fontId="13" fillId="0" borderId="11" xfId="0" applyFont="1" applyFill="1" applyBorder="1" applyAlignment="1"/>
    <xf numFmtId="0" fontId="14" fillId="0" borderId="11" xfId="0" applyFont="1" applyFill="1" applyBorder="1" applyAlignment="1">
      <alignment horizontal="right"/>
    </xf>
    <xf numFmtId="10" fontId="2" fillId="2" borderId="2" xfId="0" applyNumberFormat="1" applyFont="1" applyFill="1" applyBorder="1" applyAlignment="1">
      <alignment horizontal="right"/>
    </xf>
    <xf numFmtId="177" fontId="3" fillId="3" borderId="3" xfId="0" applyNumberFormat="1" applyFont="1" applyFill="1" applyBorder="1" applyAlignment="1">
      <alignment horizontal="center"/>
    </xf>
    <xf numFmtId="10" fontId="3" fillId="3" borderId="3" xfId="0" applyNumberFormat="1" applyFont="1" applyFill="1" applyBorder="1" applyAlignment="1">
      <alignment horizontal="center"/>
    </xf>
    <xf numFmtId="177" fontId="3" fillId="3" borderId="4" xfId="0" applyNumberFormat="1" applyFont="1" applyFill="1" applyBorder="1" applyAlignment="1">
      <alignment horizontal="center"/>
    </xf>
    <xf numFmtId="10" fontId="3" fillId="3" borderId="4" xfId="0" applyNumberFormat="1" applyFont="1" applyFill="1" applyBorder="1" applyAlignment="1">
      <alignment horizontal="center"/>
    </xf>
    <xf numFmtId="177" fontId="6" fillId="0" borderId="6" xfId="0" applyNumberFormat="1" applyFont="1" applyFill="1" applyBorder="1" applyAlignment="1">
      <alignment horizontal="center"/>
    </xf>
    <xf numFmtId="177" fontId="10" fillId="0" borderId="12" xfId="0" applyNumberFormat="1" applyFont="1" applyFill="1" applyBorder="1" applyAlignment="1">
      <alignment horizontal="center"/>
    </xf>
    <xf numFmtId="178" fontId="15" fillId="0" borderId="12" xfId="0" applyNumberFormat="1" applyFont="1" applyFill="1" applyBorder="1" applyAlignment="1">
      <alignment horizontal="center"/>
    </xf>
    <xf numFmtId="177" fontId="8" fillId="0" borderId="6" xfId="0" applyNumberFormat="1" applyFont="1" applyFill="1" applyBorder="1" applyAlignment="1">
      <alignment horizontal="center"/>
    </xf>
    <xf numFmtId="4" fontId="8" fillId="0" borderId="6" xfId="0" applyNumberFormat="1" applyFont="1" applyFill="1" applyBorder="1" applyAlignment="1">
      <alignment horizontal="center"/>
    </xf>
    <xf numFmtId="177" fontId="10" fillId="0" borderId="6" xfId="0" applyNumberFormat="1" applyFont="1" applyFill="1" applyBorder="1" applyAlignment="1">
      <alignment horizontal="center"/>
    </xf>
    <xf numFmtId="0" fontId="9" fillId="0" borderId="11" xfId="0" applyFont="1" applyFill="1" applyBorder="1" applyAlignment="1">
      <alignment horizontal="right"/>
    </xf>
    <xf numFmtId="10" fontId="9" fillId="0" borderId="11" xfId="0" applyNumberFormat="1" applyFont="1" applyFill="1" applyBorder="1" applyAlignment="1">
      <alignment horizontal="center"/>
    </xf>
    <xf numFmtId="177" fontId="6" fillId="0" borderId="2" xfId="0" applyNumberFormat="1" applyFont="1" applyFill="1" applyBorder="1" applyAlignment="1">
      <alignment horizontal="center"/>
    </xf>
    <xf numFmtId="177" fontId="6" fillId="0" borderId="0" xfId="0" applyNumberFormat="1" applyFont="1" applyFill="1" applyBorder="1" applyAlignment="1">
      <alignment horizontal="center"/>
    </xf>
    <xf numFmtId="179" fontId="16" fillId="2" borderId="13" xfId="0" applyNumberFormat="1" applyFont="1" applyFill="1" applyBorder="1" applyAlignment="1">
      <alignment horizontal="right"/>
    </xf>
    <xf numFmtId="4" fontId="3" fillId="3" borderId="3" xfId="0" applyNumberFormat="1" applyFont="1" applyFill="1" applyBorder="1" applyAlignment="1">
      <alignment horizontal="right"/>
    </xf>
    <xf numFmtId="4" fontId="3" fillId="3" borderId="4" xfId="0" applyNumberFormat="1" applyFont="1" applyFill="1" applyBorder="1" applyAlignment="1">
      <alignment horizontal="right"/>
    </xf>
    <xf numFmtId="179" fontId="9" fillId="0" borderId="12" xfId="2" applyNumberFormat="1" applyFont="1" applyFill="1" applyBorder="1" applyAlignment="1">
      <alignment horizontal="left"/>
    </xf>
    <xf numFmtId="179" fontId="9" fillId="0" borderId="14" xfId="2" applyNumberFormat="1" applyFont="1" applyFill="1" applyBorder="1" applyAlignment="1">
      <alignment horizontal="left"/>
    </xf>
    <xf numFmtId="16" fontId="2" fillId="2" borderId="2" xfId="0" applyNumberFormat="1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5"/>
  <sheetViews>
    <sheetView tabSelected="1" workbookViewId="0">
      <selection activeCell="G7" sqref="G7"/>
    </sheetView>
  </sheetViews>
  <sheetFormatPr defaultColWidth="12.3846153846154" defaultRowHeight="14.4"/>
  <cols>
    <col min="1" max="1" width="13.4615384615385" style="1" customWidth="1"/>
    <col min="2" max="2" width="28.7115384615385" style="1" customWidth="1"/>
    <col min="3" max="3" width="26.3846153846154" style="1" customWidth="1"/>
    <col min="4" max="4" width="15.4519230769231" style="1" customWidth="1"/>
    <col min="5" max="5" width="9.86538461538461" style="1" customWidth="1"/>
    <col min="6" max="6" width="11.3076923076923" style="1" customWidth="1"/>
    <col min="7" max="7" width="17.5865384615385" style="1" customWidth="1"/>
    <col min="8" max="8" width="11.4807692307692" style="1" customWidth="1"/>
    <col min="9" max="9" width="17.5865384615385" style="1" customWidth="1"/>
    <col min="10" max="16384" width="12.3846153846154" style="1"/>
  </cols>
  <sheetData>
    <row r="1" s="1" customFormat="1" ht="21.15" spans="1:9">
      <c r="A1" s="2" t="s">
        <v>0</v>
      </c>
      <c r="B1" s="3"/>
      <c r="C1" s="4">
        <v>41844</v>
      </c>
      <c r="D1" s="5"/>
      <c r="E1" s="5" t="s">
        <v>1</v>
      </c>
      <c r="F1" s="5" t="s">
        <v>2</v>
      </c>
      <c r="G1" s="47" t="s">
        <v>3</v>
      </c>
      <c r="H1" s="27" t="s">
        <v>4</v>
      </c>
      <c r="I1" s="42">
        <v>1720</v>
      </c>
    </row>
    <row r="2" s="1" customFormat="1" ht="20.4" spans="1:9">
      <c r="A2" s="6" t="s">
        <v>5</v>
      </c>
      <c r="B2" s="6" t="s">
        <v>6</v>
      </c>
      <c r="C2" s="7" t="s">
        <v>7</v>
      </c>
      <c r="D2" s="7" t="s">
        <v>8</v>
      </c>
      <c r="E2" s="28">
        <f t="shared" ref="E2:G2" si="0">SUM(E4:E60)</f>
        <v>242.25</v>
      </c>
      <c r="F2" s="28">
        <f t="shared" si="0"/>
        <v>534.5</v>
      </c>
      <c r="G2" s="28">
        <f t="shared" si="0"/>
        <v>2473.5</v>
      </c>
      <c r="H2" s="29" t="s">
        <v>9</v>
      </c>
      <c r="I2" s="43" t="s">
        <v>10</v>
      </c>
    </row>
    <row r="3" s="1" customFormat="1" ht="21.15" spans="1:9">
      <c r="A3" s="8"/>
      <c r="B3" s="8"/>
      <c r="C3" s="9"/>
      <c r="D3" s="9"/>
      <c r="E3" s="30" t="s">
        <v>11</v>
      </c>
      <c r="F3" s="30" t="s">
        <v>12</v>
      </c>
      <c r="G3" s="30"/>
      <c r="H3" s="31"/>
      <c r="I3" s="44"/>
    </row>
    <row r="4" s="1" customFormat="1" ht="20.4" spans="1:9">
      <c r="A4" s="10" t="s">
        <v>13</v>
      </c>
      <c r="B4" s="11" t="s">
        <v>14</v>
      </c>
      <c r="C4" s="12" t="s">
        <v>15</v>
      </c>
      <c r="D4" s="13">
        <v>41867</v>
      </c>
      <c r="E4" s="32">
        <v>8.5</v>
      </c>
      <c r="F4" s="32">
        <v>87.5</v>
      </c>
      <c r="G4" s="33">
        <f t="shared" ref="G4:G60" si="1">E4*F4</f>
        <v>743.75</v>
      </c>
      <c r="H4" s="34">
        <f>G4/$G$2</f>
        <v>0.300687285223368</v>
      </c>
      <c r="I4" s="45">
        <f>$I$1*H4</f>
        <v>517.182130584192</v>
      </c>
    </row>
    <row r="5" s="1" customFormat="1" ht="20.4" spans="1:9">
      <c r="A5" s="14" t="s">
        <v>16</v>
      </c>
      <c r="B5" s="11" t="s">
        <v>17</v>
      </c>
      <c r="C5" s="15" t="s">
        <v>18</v>
      </c>
      <c r="D5" s="16">
        <v>41888</v>
      </c>
      <c r="E5" s="35">
        <v>2.5</v>
      </c>
      <c r="F5" s="35">
        <v>40</v>
      </c>
      <c r="G5" s="33">
        <f t="shared" si="1"/>
        <v>100</v>
      </c>
      <c r="H5" s="34">
        <f>G5/$G$2</f>
        <v>0.040428542551041</v>
      </c>
      <c r="I5" s="45">
        <f>$I$1*H5</f>
        <v>69.5370931877906</v>
      </c>
    </row>
    <row r="6" s="1" customFormat="1" ht="20.4" spans="1:9">
      <c r="A6" s="14" t="s">
        <v>19</v>
      </c>
      <c r="B6" s="11" t="s">
        <v>20</v>
      </c>
      <c r="C6" s="15" t="s">
        <v>18</v>
      </c>
      <c r="D6" s="16">
        <v>41889</v>
      </c>
      <c r="E6" s="35">
        <v>2.5</v>
      </c>
      <c r="F6" s="35">
        <v>40</v>
      </c>
      <c r="G6" s="33">
        <f t="shared" si="1"/>
        <v>100</v>
      </c>
      <c r="H6" s="34">
        <f>G6/$G$2</f>
        <v>0.040428542551041</v>
      </c>
      <c r="I6" s="45">
        <f>$I$1*H6</f>
        <v>69.5370931877906</v>
      </c>
    </row>
    <row r="7" s="1" customFormat="1" ht="20.4" spans="1:9">
      <c r="A7" s="10" t="s">
        <v>21</v>
      </c>
      <c r="B7" s="11" t="s">
        <v>22</v>
      </c>
      <c r="C7" s="12" t="s">
        <v>23</v>
      </c>
      <c r="D7" s="13">
        <v>41933</v>
      </c>
      <c r="E7" s="32">
        <v>3.5</v>
      </c>
      <c r="F7" s="32">
        <v>40</v>
      </c>
      <c r="G7" s="33">
        <f t="shared" si="1"/>
        <v>140</v>
      </c>
      <c r="H7" s="34">
        <f>G7/$G$2</f>
        <v>0.0565999595714574</v>
      </c>
      <c r="I7" s="45">
        <f>$I$1*H7</f>
        <v>97.3519304629068</v>
      </c>
    </row>
    <row r="8" s="1" customFormat="1" ht="20.4" spans="1:9">
      <c r="A8" s="17" t="s">
        <v>24</v>
      </c>
      <c r="B8" s="18" t="s">
        <v>25</v>
      </c>
      <c r="C8" s="19" t="s">
        <v>26</v>
      </c>
      <c r="D8" s="20">
        <v>41860</v>
      </c>
      <c r="E8" s="36">
        <v>4.25</v>
      </c>
      <c r="F8" s="32">
        <v>4</v>
      </c>
      <c r="G8" s="33">
        <f t="shared" si="1"/>
        <v>17</v>
      </c>
      <c r="H8" s="34">
        <f>G8/$G$2</f>
        <v>0.00687285223367698</v>
      </c>
      <c r="I8" s="45">
        <f>$I$1*H8</f>
        <v>11.8213058419244</v>
      </c>
    </row>
    <row r="9" s="1" customFormat="1" ht="20.4" spans="1:9">
      <c r="A9" s="17" t="s">
        <v>27</v>
      </c>
      <c r="B9" s="18" t="s">
        <v>28</v>
      </c>
      <c r="C9" s="19" t="s">
        <v>29</v>
      </c>
      <c r="D9" s="20">
        <v>41866</v>
      </c>
      <c r="E9" s="36">
        <v>4.25</v>
      </c>
      <c r="F9" s="33">
        <v>7</v>
      </c>
      <c r="G9" s="33">
        <f t="shared" si="1"/>
        <v>29.75</v>
      </c>
      <c r="H9" s="34">
        <f>G9/$G$2</f>
        <v>0.0120274914089347</v>
      </c>
      <c r="I9" s="45">
        <f>$I$1*H9</f>
        <v>20.6872852233677</v>
      </c>
    </row>
    <row r="10" s="1" customFormat="1" ht="20.4" spans="1:9">
      <c r="A10" s="17" t="s">
        <v>30</v>
      </c>
      <c r="B10" s="18" t="s">
        <v>31</v>
      </c>
      <c r="C10" s="19" t="s">
        <v>32</v>
      </c>
      <c r="D10" s="20">
        <v>41871</v>
      </c>
      <c r="E10" s="36">
        <v>4.25</v>
      </c>
      <c r="F10" s="37">
        <v>5</v>
      </c>
      <c r="G10" s="33">
        <f t="shared" si="1"/>
        <v>21.25</v>
      </c>
      <c r="H10" s="34">
        <f>G10/$G$2</f>
        <v>0.00859106529209622</v>
      </c>
      <c r="I10" s="45">
        <f>$I$1*H10</f>
        <v>14.7766323024055</v>
      </c>
    </row>
    <row r="11" s="1" customFormat="1" ht="20.4" spans="1:9">
      <c r="A11" s="17" t="s">
        <v>33</v>
      </c>
      <c r="B11" s="18" t="s">
        <v>34</v>
      </c>
      <c r="C11" s="19" t="s">
        <v>35</v>
      </c>
      <c r="D11" s="20">
        <v>41873</v>
      </c>
      <c r="E11" s="36">
        <v>4.25</v>
      </c>
      <c r="F11" s="37">
        <v>4</v>
      </c>
      <c r="G11" s="33">
        <f t="shared" si="1"/>
        <v>17</v>
      </c>
      <c r="H11" s="34">
        <f>G11/$G$2</f>
        <v>0.00687285223367698</v>
      </c>
      <c r="I11" s="45">
        <f>$I$1*H11</f>
        <v>11.8213058419244</v>
      </c>
    </row>
    <row r="12" s="1" customFormat="1" ht="20.4" spans="1:9">
      <c r="A12" s="17" t="s">
        <v>36</v>
      </c>
      <c r="B12" s="18" t="s">
        <v>37</v>
      </c>
      <c r="C12" s="19" t="s">
        <v>38</v>
      </c>
      <c r="D12" s="20">
        <v>41874</v>
      </c>
      <c r="E12" s="36">
        <v>4.25</v>
      </c>
      <c r="F12" s="37">
        <v>6</v>
      </c>
      <c r="G12" s="33">
        <f t="shared" si="1"/>
        <v>25.5</v>
      </c>
      <c r="H12" s="34">
        <f>G12/$G$2</f>
        <v>0.0103092783505155</v>
      </c>
      <c r="I12" s="45">
        <f>$I$1*H12</f>
        <v>17.7319587628866</v>
      </c>
    </row>
    <row r="13" s="1" customFormat="1" ht="20.4" spans="1:9">
      <c r="A13" s="14" t="s">
        <v>39</v>
      </c>
      <c r="B13" s="11" t="s">
        <v>40</v>
      </c>
      <c r="C13" s="15" t="s">
        <v>41</v>
      </c>
      <c r="D13" s="16">
        <v>41894</v>
      </c>
      <c r="E13" s="36">
        <v>4.25</v>
      </c>
      <c r="F13" s="35">
        <v>4</v>
      </c>
      <c r="G13" s="33">
        <f t="shared" si="1"/>
        <v>17</v>
      </c>
      <c r="H13" s="34">
        <f>G13/$G$2</f>
        <v>0.00687285223367698</v>
      </c>
      <c r="I13" s="45">
        <f>$I$1*H13</f>
        <v>11.8213058419244</v>
      </c>
    </row>
    <row r="14" s="1" customFormat="1" ht="20.4" spans="1:9">
      <c r="A14" s="17" t="s">
        <v>42</v>
      </c>
      <c r="B14" s="18" t="s">
        <v>43</v>
      </c>
      <c r="C14" s="19" t="s">
        <v>44</v>
      </c>
      <c r="D14" s="20">
        <v>41898</v>
      </c>
      <c r="E14" s="36">
        <v>4.25</v>
      </c>
      <c r="F14" s="37">
        <v>4</v>
      </c>
      <c r="G14" s="33">
        <f t="shared" si="1"/>
        <v>17</v>
      </c>
      <c r="H14" s="34">
        <f>G14/$G$2</f>
        <v>0.00687285223367698</v>
      </c>
      <c r="I14" s="45">
        <f>$I$1*H14</f>
        <v>11.8213058419244</v>
      </c>
    </row>
    <row r="15" s="1" customFormat="1" ht="20.4" spans="1:9">
      <c r="A15" s="14" t="s">
        <v>45</v>
      </c>
      <c r="B15" s="11" t="s">
        <v>46</v>
      </c>
      <c r="C15" s="15" t="s">
        <v>47</v>
      </c>
      <c r="D15" s="16">
        <v>41904</v>
      </c>
      <c r="E15" s="36">
        <v>4.25</v>
      </c>
      <c r="F15" s="35">
        <v>4</v>
      </c>
      <c r="G15" s="33">
        <f t="shared" si="1"/>
        <v>17</v>
      </c>
      <c r="H15" s="34">
        <f>G15/$G$2</f>
        <v>0.00687285223367698</v>
      </c>
      <c r="I15" s="45">
        <f>$I$1*H15</f>
        <v>11.8213058419244</v>
      </c>
    </row>
    <row r="16" s="1" customFormat="1" ht="20.4" spans="1:9">
      <c r="A16" s="17" t="s">
        <v>48</v>
      </c>
      <c r="B16" s="18" t="s">
        <v>49</v>
      </c>
      <c r="C16" s="19" t="s">
        <v>35</v>
      </c>
      <c r="D16" s="20">
        <v>41918</v>
      </c>
      <c r="E16" s="36">
        <v>4.25</v>
      </c>
      <c r="F16" s="32">
        <v>4</v>
      </c>
      <c r="G16" s="33">
        <f t="shared" si="1"/>
        <v>17</v>
      </c>
      <c r="H16" s="34">
        <f>G16/$G$2</f>
        <v>0.00687285223367698</v>
      </c>
      <c r="I16" s="45">
        <f>$I$1*H16</f>
        <v>11.8213058419244</v>
      </c>
    </row>
    <row r="17" s="1" customFormat="1" ht="20.4" spans="1:9">
      <c r="A17" s="17" t="s">
        <v>50</v>
      </c>
      <c r="B17" s="21" t="s">
        <v>51</v>
      </c>
      <c r="C17" s="19" t="s">
        <v>35</v>
      </c>
      <c r="D17" s="20">
        <v>41921</v>
      </c>
      <c r="E17" s="36">
        <v>4.25</v>
      </c>
      <c r="F17" s="32">
        <v>4</v>
      </c>
      <c r="G17" s="33">
        <f t="shared" si="1"/>
        <v>17</v>
      </c>
      <c r="H17" s="34">
        <f>G17/$G$2</f>
        <v>0.00687285223367698</v>
      </c>
      <c r="I17" s="45">
        <f>$I$1*H17</f>
        <v>11.8213058419244</v>
      </c>
    </row>
    <row r="18" s="1" customFormat="1" ht="20.4" spans="1:9">
      <c r="A18" s="17" t="s">
        <v>52</v>
      </c>
      <c r="B18" s="21" t="s">
        <v>53</v>
      </c>
      <c r="C18" s="19" t="s">
        <v>44</v>
      </c>
      <c r="D18" s="20">
        <v>41923</v>
      </c>
      <c r="E18" s="36">
        <v>4.25</v>
      </c>
      <c r="F18" s="32">
        <v>4</v>
      </c>
      <c r="G18" s="33">
        <f t="shared" si="1"/>
        <v>17</v>
      </c>
      <c r="H18" s="34">
        <f>G18/$G$2</f>
        <v>0.00687285223367698</v>
      </c>
      <c r="I18" s="45">
        <f>$I$1*H18</f>
        <v>11.8213058419244</v>
      </c>
    </row>
    <row r="19" s="1" customFormat="1" ht="20.4" spans="1:9">
      <c r="A19" s="10" t="s">
        <v>54</v>
      </c>
      <c r="B19" s="11" t="s">
        <v>55</v>
      </c>
      <c r="C19" s="12" t="s">
        <v>56</v>
      </c>
      <c r="D19" s="13">
        <v>41930</v>
      </c>
      <c r="E19" s="36">
        <v>4.25</v>
      </c>
      <c r="F19" s="32">
        <v>4</v>
      </c>
      <c r="G19" s="33">
        <f t="shared" si="1"/>
        <v>17</v>
      </c>
      <c r="H19" s="34">
        <f>G19/$G$2</f>
        <v>0.00687285223367698</v>
      </c>
      <c r="I19" s="45">
        <f>$I$1*H19</f>
        <v>11.8213058419244</v>
      </c>
    </row>
    <row r="20" s="1" customFormat="1" ht="20.4" spans="1:9">
      <c r="A20" s="17" t="s">
        <v>57</v>
      </c>
      <c r="B20" s="21" t="s">
        <v>58</v>
      </c>
      <c r="C20" s="19" t="s">
        <v>47</v>
      </c>
      <c r="D20" s="20">
        <v>41934</v>
      </c>
      <c r="E20" s="36">
        <v>4.25</v>
      </c>
      <c r="F20" s="32">
        <v>4</v>
      </c>
      <c r="G20" s="33">
        <f t="shared" si="1"/>
        <v>17</v>
      </c>
      <c r="H20" s="34">
        <f>G20/$G$2</f>
        <v>0.00687285223367698</v>
      </c>
      <c r="I20" s="45">
        <f>$I$1*H20</f>
        <v>11.8213058419244</v>
      </c>
    </row>
    <row r="21" s="1" customFormat="1" ht="20.4" spans="1:9">
      <c r="A21" s="14" t="s">
        <v>59</v>
      </c>
      <c r="B21" s="11" t="s">
        <v>60</v>
      </c>
      <c r="C21" s="15" t="s">
        <v>44</v>
      </c>
      <c r="D21" s="16">
        <v>41938</v>
      </c>
      <c r="E21" s="36">
        <v>4.25</v>
      </c>
      <c r="F21" s="35">
        <v>4</v>
      </c>
      <c r="G21" s="33">
        <f t="shared" si="1"/>
        <v>17</v>
      </c>
      <c r="H21" s="34">
        <f>G21/$G$2</f>
        <v>0.00687285223367698</v>
      </c>
      <c r="I21" s="45">
        <f>$I$1*H21</f>
        <v>11.8213058419244</v>
      </c>
    </row>
    <row r="22" s="1" customFormat="1" ht="20.4" spans="1:9">
      <c r="A22" s="10" t="s">
        <v>61</v>
      </c>
      <c r="B22" s="11" t="s">
        <v>62</v>
      </c>
      <c r="C22" s="12" t="s">
        <v>47</v>
      </c>
      <c r="D22" s="13">
        <v>41940</v>
      </c>
      <c r="E22" s="36">
        <v>4.25</v>
      </c>
      <c r="F22" s="32">
        <v>4</v>
      </c>
      <c r="G22" s="33">
        <f t="shared" si="1"/>
        <v>17</v>
      </c>
      <c r="H22" s="34">
        <f>G22/$G$2</f>
        <v>0.00687285223367698</v>
      </c>
      <c r="I22" s="45">
        <f>$I$1*H22</f>
        <v>11.8213058419244</v>
      </c>
    </row>
    <row r="23" s="1" customFormat="1" ht="20.4" spans="1:9">
      <c r="A23" s="14" t="s">
        <v>63</v>
      </c>
      <c r="B23" s="11" t="s">
        <v>64</v>
      </c>
      <c r="C23" s="15" t="s">
        <v>23</v>
      </c>
      <c r="D23" s="16">
        <v>41850</v>
      </c>
      <c r="E23" s="36">
        <v>4.25</v>
      </c>
      <c r="F23" s="35">
        <v>4</v>
      </c>
      <c r="G23" s="33">
        <f t="shared" si="1"/>
        <v>17</v>
      </c>
      <c r="H23" s="34">
        <f>G23/$G$2</f>
        <v>0.00687285223367698</v>
      </c>
      <c r="I23" s="45">
        <f>$I$1*H23</f>
        <v>11.8213058419244</v>
      </c>
    </row>
    <row r="24" s="1" customFormat="1" ht="20.4" spans="1:9">
      <c r="A24" s="14" t="s">
        <v>65</v>
      </c>
      <c r="B24" s="11" t="s">
        <v>66</v>
      </c>
      <c r="C24" s="15" t="s">
        <v>23</v>
      </c>
      <c r="D24" s="16">
        <v>41867</v>
      </c>
      <c r="E24" s="36">
        <v>4.25</v>
      </c>
      <c r="F24" s="35">
        <v>4</v>
      </c>
      <c r="G24" s="33">
        <f t="shared" si="1"/>
        <v>17</v>
      </c>
      <c r="H24" s="34">
        <f>G24/$G$2</f>
        <v>0.00687285223367698</v>
      </c>
      <c r="I24" s="45">
        <f>$I$1*H24</f>
        <v>11.8213058419244</v>
      </c>
    </row>
    <row r="25" s="1" customFormat="1" ht="20.4" spans="1:9">
      <c r="A25" s="10" t="s">
        <v>67</v>
      </c>
      <c r="B25" s="11" t="s">
        <v>68</v>
      </c>
      <c r="C25" s="12" t="s">
        <v>23</v>
      </c>
      <c r="D25" s="13">
        <v>41895</v>
      </c>
      <c r="E25" s="36">
        <v>4.25</v>
      </c>
      <c r="F25" s="32">
        <v>4</v>
      </c>
      <c r="G25" s="33">
        <f t="shared" si="1"/>
        <v>17</v>
      </c>
      <c r="H25" s="34">
        <f>G25/$G$2</f>
        <v>0.00687285223367698</v>
      </c>
      <c r="I25" s="45">
        <f>$I$1*H25</f>
        <v>11.8213058419244</v>
      </c>
    </row>
    <row r="26" s="1" customFormat="1" ht="20.4" spans="1:9">
      <c r="A26" s="10" t="s">
        <v>69</v>
      </c>
      <c r="B26" s="11" t="s">
        <v>70</v>
      </c>
      <c r="C26" s="12" t="s">
        <v>23</v>
      </c>
      <c r="D26" s="13">
        <v>41897</v>
      </c>
      <c r="E26" s="36">
        <v>4.25</v>
      </c>
      <c r="F26" s="32">
        <v>4</v>
      </c>
      <c r="G26" s="33">
        <f t="shared" si="1"/>
        <v>17</v>
      </c>
      <c r="H26" s="34">
        <f>G26/$G$2</f>
        <v>0.00687285223367698</v>
      </c>
      <c r="I26" s="45">
        <f>$I$1*H26</f>
        <v>11.8213058419244</v>
      </c>
    </row>
    <row r="27" s="1" customFormat="1" ht="20.4" spans="1:9">
      <c r="A27" s="10" t="s">
        <v>71</v>
      </c>
      <c r="B27" s="11" t="s">
        <v>72</v>
      </c>
      <c r="C27" s="12" t="s">
        <v>23</v>
      </c>
      <c r="D27" s="13">
        <v>41903</v>
      </c>
      <c r="E27" s="36">
        <v>4.25</v>
      </c>
      <c r="F27" s="32">
        <v>4</v>
      </c>
      <c r="G27" s="33">
        <f t="shared" si="1"/>
        <v>17</v>
      </c>
      <c r="H27" s="34">
        <f>G27/$G$2</f>
        <v>0.00687285223367698</v>
      </c>
      <c r="I27" s="45">
        <f>$I$1*H27</f>
        <v>11.8213058419244</v>
      </c>
    </row>
    <row r="28" s="1" customFormat="1" ht="20.4" spans="1:9">
      <c r="A28" s="10" t="s">
        <v>73</v>
      </c>
      <c r="B28" s="11" t="s">
        <v>74</v>
      </c>
      <c r="C28" s="12" t="s">
        <v>23</v>
      </c>
      <c r="D28" s="13">
        <v>41914</v>
      </c>
      <c r="E28" s="36">
        <v>4.25</v>
      </c>
      <c r="F28" s="32">
        <v>6</v>
      </c>
      <c r="G28" s="33">
        <f t="shared" si="1"/>
        <v>25.5</v>
      </c>
      <c r="H28" s="34">
        <f>G28/$G$2</f>
        <v>0.0103092783505155</v>
      </c>
      <c r="I28" s="45">
        <f>$I$1*H28</f>
        <v>17.7319587628866</v>
      </c>
    </row>
    <row r="29" s="1" customFormat="1" ht="20.4" spans="1:9">
      <c r="A29" s="10" t="s">
        <v>75</v>
      </c>
      <c r="B29" s="11" t="s">
        <v>76</v>
      </c>
      <c r="C29" s="12" t="s">
        <v>23</v>
      </c>
      <c r="D29" s="13">
        <v>41916</v>
      </c>
      <c r="E29" s="36">
        <v>4.25</v>
      </c>
      <c r="F29" s="32">
        <v>4</v>
      </c>
      <c r="G29" s="33">
        <f t="shared" si="1"/>
        <v>17</v>
      </c>
      <c r="H29" s="34">
        <f>G29/$G$2</f>
        <v>0.00687285223367698</v>
      </c>
      <c r="I29" s="45">
        <f>$I$1*H29</f>
        <v>11.8213058419244</v>
      </c>
    </row>
    <row r="30" s="1" customFormat="1" ht="20.4" spans="1:9">
      <c r="A30" s="10" t="s">
        <v>77</v>
      </c>
      <c r="B30" s="11" t="s">
        <v>78</v>
      </c>
      <c r="C30" s="12" t="s">
        <v>23</v>
      </c>
      <c r="D30" s="13">
        <v>41921</v>
      </c>
      <c r="E30" s="36">
        <v>4.25</v>
      </c>
      <c r="F30" s="32">
        <v>4</v>
      </c>
      <c r="G30" s="33">
        <f t="shared" si="1"/>
        <v>17</v>
      </c>
      <c r="H30" s="34">
        <f>G30/$G$2</f>
        <v>0.00687285223367698</v>
      </c>
      <c r="I30" s="45">
        <f>$I$1*H30</f>
        <v>11.8213058419244</v>
      </c>
    </row>
    <row r="31" s="1" customFormat="1" ht="20.4" spans="1:9">
      <c r="A31" s="10" t="s">
        <v>79</v>
      </c>
      <c r="B31" s="11" t="s">
        <v>80</v>
      </c>
      <c r="C31" s="12" t="s">
        <v>23</v>
      </c>
      <c r="D31" s="13">
        <v>41922</v>
      </c>
      <c r="E31" s="36">
        <v>4.25</v>
      </c>
      <c r="F31" s="32">
        <v>4</v>
      </c>
      <c r="G31" s="33">
        <f t="shared" si="1"/>
        <v>17</v>
      </c>
      <c r="H31" s="34">
        <f>G31/$G$2</f>
        <v>0.00687285223367698</v>
      </c>
      <c r="I31" s="45">
        <f>$I$1*H31</f>
        <v>11.8213058419244</v>
      </c>
    </row>
    <row r="32" s="1" customFormat="1" ht="20.4" spans="1:9">
      <c r="A32" s="10" t="s">
        <v>81</v>
      </c>
      <c r="B32" s="11" t="s">
        <v>82</v>
      </c>
      <c r="C32" s="12" t="s">
        <v>23</v>
      </c>
      <c r="D32" s="13">
        <v>41928</v>
      </c>
      <c r="E32" s="36">
        <v>4.25</v>
      </c>
      <c r="F32" s="32">
        <v>3</v>
      </c>
      <c r="G32" s="33">
        <f t="shared" si="1"/>
        <v>12.75</v>
      </c>
      <c r="H32" s="34">
        <f>G32/$G$2</f>
        <v>0.00515463917525773</v>
      </c>
      <c r="I32" s="45">
        <f>$I$1*H32</f>
        <v>8.8659793814433</v>
      </c>
    </row>
    <row r="33" s="1" customFormat="1" ht="20.4" spans="1:9">
      <c r="A33" s="10" t="s">
        <v>83</v>
      </c>
      <c r="B33" s="11" t="s">
        <v>82</v>
      </c>
      <c r="C33" s="12" t="s">
        <v>23</v>
      </c>
      <c r="D33" s="13">
        <v>41929</v>
      </c>
      <c r="E33" s="36">
        <v>4.25</v>
      </c>
      <c r="F33" s="32">
        <v>3</v>
      </c>
      <c r="G33" s="33">
        <f t="shared" si="1"/>
        <v>12.75</v>
      </c>
      <c r="H33" s="34">
        <f>G33/$G$2</f>
        <v>0.00515463917525773</v>
      </c>
      <c r="I33" s="45">
        <f>$I$1*H33</f>
        <v>8.8659793814433</v>
      </c>
    </row>
    <row r="34" s="1" customFormat="1" ht="20.4" spans="1:9">
      <c r="A34" s="10" t="s">
        <v>84</v>
      </c>
      <c r="B34" s="11" t="s">
        <v>85</v>
      </c>
      <c r="C34" s="12" t="s">
        <v>23</v>
      </c>
      <c r="D34" s="13">
        <v>41949</v>
      </c>
      <c r="E34" s="36">
        <v>4.25</v>
      </c>
      <c r="F34" s="32">
        <v>4</v>
      </c>
      <c r="G34" s="33">
        <f t="shared" si="1"/>
        <v>17</v>
      </c>
      <c r="H34" s="34">
        <f>G34/$G$2</f>
        <v>0.00687285223367698</v>
      </c>
      <c r="I34" s="45">
        <f>$I$1*H34</f>
        <v>11.8213058419244</v>
      </c>
    </row>
    <row r="35" s="1" customFormat="1" ht="20.4" spans="1:9">
      <c r="A35" s="10" t="s">
        <v>86</v>
      </c>
      <c r="B35" s="11" t="s">
        <v>87</v>
      </c>
      <c r="C35" s="12" t="s">
        <v>23</v>
      </c>
      <c r="D35" s="13">
        <v>41950</v>
      </c>
      <c r="E35" s="36">
        <v>4.25</v>
      </c>
      <c r="F35" s="32">
        <v>4</v>
      </c>
      <c r="G35" s="33">
        <f t="shared" si="1"/>
        <v>17</v>
      </c>
      <c r="H35" s="34">
        <f>G35/$G$2</f>
        <v>0.00687285223367698</v>
      </c>
      <c r="I35" s="45">
        <f>$I$1*H35</f>
        <v>11.8213058419244</v>
      </c>
    </row>
    <row r="36" s="1" customFormat="1" ht="20.4" spans="1:9">
      <c r="A36" s="10" t="s">
        <v>88</v>
      </c>
      <c r="B36" s="11" t="s">
        <v>89</v>
      </c>
      <c r="C36" s="12" t="s">
        <v>23</v>
      </c>
      <c r="D36" s="13">
        <v>41954</v>
      </c>
      <c r="E36" s="36">
        <v>4.25</v>
      </c>
      <c r="F36" s="32">
        <v>4</v>
      </c>
      <c r="G36" s="33">
        <f t="shared" si="1"/>
        <v>17</v>
      </c>
      <c r="H36" s="34">
        <f>G36/$G$2</f>
        <v>0.00687285223367698</v>
      </c>
      <c r="I36" s="45">
        <f>$I$1*H36</f>
        <v>11.8213058419244</v>
      </c>
    </row>
    <row r="37" s="1" customFormat="1" ht="20.4" spans="1:9">
      <c r="A37" s="14" t="s">
        <v>90</v>
      </c>
      <c r="B37" s="11" t="s">
        <v>91</v>
      </c>
      <c r="C37" s="15" t="s">
        <v>23</v>
      </c>
      <c r="D37" s="16">
        <v>41962</v>
      </c>
      <c r="E37" s="36">
        <v>4.25</v>
      </c>
      <c r="F37" s="35">
        <v>4</v>
      </c>
      <c r="G37" s="33">
        <f t="shared" si="1"/>
        <v>17</v>
      </c>
      <c r="H37" s="34">
        <f>G37/$G$2</f>
        <v>0.00687285223367698</v>
      </c>
      <c r="I37" s="45">
        <f>$I$1*H37</f>
        <v>11.8213058419244</v>
      </c>
    </row>
    <row r="38" s="1" customFormat="1" ht="20.4" spans="1:9">
      <c r="A38" s="10" t="s">
        <v>92</v>
      </c>
      <c r="B38" s="11" t="s">
        <v>93</v>
      </c>
      <c r="C38" s="12" t="s">
        <v>23</v>
      </c>
      <c r="D38" s="13">
        <v>41964</v>
      </c>
      <c r="E38" s="36">
        <v>4.25</v>
      </c>
      <c r="F38" s="32">
        <v>4</v>
      </c>
      <c r="G38" s="33">
        <f t="shared" si="1"/>
        <v>17</v>
      </c>
      <c r="H38" s="34">
        <f>G38/$G$2</f>
        <v>0.00687285223367698</v>
      </c>
      <c r="I38" s="45">
        <f>$I$1*H38</f>
        <v>11.8213058419244</v>
      </c>
    </row>
    <row r="39" s="1" customFormat="1" ht="20.4" spans="1:9">
      <c r="A39" s="10" t="s">
        <v>94</v>
      </c>
      <c r="B39" s="11" t="s">
        <v>95</v>
      </c>
      <c r="C39" s="12" t="s">
        <v>41</v>
      </c>
      <c r="D39" s="13">
        <v>41845</v>
      </c>
      <c r="E39" s="36">
        <v>4.25</v>
      </c>
      <c r="F39" s="32">
        <v>4</v>
      </c>
      <c r="G39" s="33">
        <f t="shared" si="1"/>
        <v>17</v>
      </c>
      <c r="H39" s="34">
        <f>G39/$G$2</f>
        <v>0.00687285223367698</v>
      </c>
      <c r="I39" s="45">
        <f>$I$1*H39</f>
        <v>11.8213058419244</v>
      </c>
    </row>
    <row r="40" s="1" customFormat="1" ht="20.4" spans="1:9">
      <c r="A40" s="10" t="s">
        <v>96</v>
      </c>
      <c r="B40" s="11" t="s">
        <v>97</v>
      </c>
      <c r="C40" s="12" t="s">
        <v>41</v>
      </c>
      <c r="D40" s="13">
        <v>41846</v>
      </c>
      <c r="E40" s="36">
        <v>4.25</v>
      </c>
      <c r="F40" s="32">
        <v>4</v>
      </c>
      <c r="G40" s="33">
        <f t="shared" si="1"/>
        <v>17</v>
      </c>
      <c r="H40" s="34">
        <f>G40/$G$2</f>
        <v>0.00687285223367698</v>
      </c>
      <c r="I40" s="45">
        <f>$I$1*H40</f>
        <v>11.8213058419244</v>
      </c>
    </row>
    <row r="41" s="1" customFormat="1" ht="20.4" spans="1:9">
      <c r="A41" s="10" t="s">
        <v>98</v>
      </c>
      <c r="B41" s="11" t="s">
        <v>99</v>
      </c>
      <c r="C41" s="12" t="s">
        <v>41</v>
      </c>
      <c r="D41" s="13">
        <v>41852</v>
      </c>
      <c r="E41" s="36">
        <v>4.25</v>
      </c>
      <c r="F41" s="32">
        <v>4</v>
      </c>
      <c r="G41" s="33">
        <f t="shared" si="1"/>
        <v>17</v>
      </c>
      <c r="H41" s="34">
        <f>G41/$G$2</f>
        <v>0.00687285223367698</v>
      </c>
      <c r="I41" s="45">
        <f>$I$1*H41</f>
        <v>11.8213058419244</v>
      </c>
    </row>
    <row r="42" s="1" customFormat="1" ht="20.4" spans="1:9">
      <c r="A42" s="10" t="s">
        <v>100</v>
      </c>
      <c r="B42" s="11" t="s">
        <v>101</v>
      </c>
      <c r="C42" s="12" t="s">
        <v>41</v>
      </c>
      <c r="D42" s="13">
        <v>41853</v>
      </c>
      <c r="E42" s="36">
        <v>4.25</v>
      </c>
      <c r="F42" s="32">
        <v>4</v>
      </c>
      <c r="G42" s="33">
        <f t="shared" si="1"/>
        <v>17</v>
      </c>
      <c r="H42" s="34">
        <f>G42/$G$2</f>
        <v>0.00687285223367698</v>
      </c>
      <c r="I42" s="45">
        <f>$I$1*H42</f>
        <v>11.8213058419244</v>
      </c>
    </row>
    <row r="43" s="1" customFormat="1" ht="20.4" spans="1:9">
      <c r="A43" s="10" t="s">
        <v>102</v>
      </c>
      <c r="B43" s="11" t="s">
        <v>103</v>
      </c>
      <c r="C43" s="12" t="s">
        <v>41</v>
      </c>
      <c r="D43" s="13" t="s">
        <v>104</v>
      </c>
      <c r="E43" s="36">
        <v>4.25</v>
      </c>
      <c r="F43" s="32">
        <v>4</v>
      </c>
      <c r="G43" s="33">
        <f t="shared" si="1"/>
        <v>17</v>
      </c>
      <c r="H43" s="34">
        <f>G43/$G$2</f>
        <v>0.00687285223367698</v>
      </c>
      <c r="I43" s="45">
        <f>$I$1*H43</f>
        <v>11.8213058419244</v>
      </c>
    </row>
    <row r="44" s="1" customFormat="1" ht="20.4" spans="1:9">
      <c r="A44" s="10" t="s">
        <v>105</v>
      </c>
      <c r="B44" s="11" t="s">
        <v>106</v>
      </c>
      <c r="C44" s="12" t="s">
        <v>41</v>
      </c>
      <c r="D44" s="13">
        <v>41861</v>
      </c>
      <c r="E44" s="36">
        <v>4.25</v>
      </c>
      <c r="F44" s="32">
        <v>4</v>
      </c>
      <c r="G44" s="33">
        <f t="shared" si="1"/>
        <v>17</v>
      </c>
      <c r="H44" s="34">
        <f>G44/$G$2</f>
        <v>0.00687285223367698</v>
      </c>
      <c r="I44" s="45">
        <f>$I$1*H44</f>
        <v>11.8213058419244</v>
      </c>
    </row>
    <row r="45" s="1" customFormat="1" ht="20.4" spans="1:9">
      <c r="A45" s="10" t="s">
        <v>107</v>
      </c>
      <c r="B45" s="11" t="s">
        <v>108</v>
      </c>
      <c r="C45" s="12" t="s">
        <v>41</v>
      </c>
      <c r="D45" s="13">
        <v>41865</v>
      </c>
      <c r="E45" s="36">
        <v>4.25</v>
      </c>
      <c r="F45" s="32">
        <v>4</v>
      </c>
      <c r="G45" s="33">
        <f t="shared" si="1"/>
        <v>17</v>
      </c>
      <c r="H45" s="34">
        <f>G45/$G$2</f>
        <v>0.00687285223367698</v>
      </c>
      <c r="I45" s="45">
        <f>$I$1*H45</f>
        <v>11.8213058419244</v>
      </c>
    </row>
    <row r="46" s="1" customFormat="1" ht="20.4" spans="1:9">
      <c r="A46" s="10" t="s">
        <v>109</v>
      </c>
      <c r="B46" s="11" t="s">
        <v>110</v>
      </c>
      <c r="C46" s="12" t="s">
        <v>41</v>
      </c>
      <c r="D46" s="13">
        <v>41873</v>
      </c>
      <c r="E46" s="36">
        <v>4.25</v>
      </c>
      <c r="F46" s="32">
        <v>4</v>
      </c>
      <c r="G46" s="33">
        <f t="shared" si="1"/>
        <v>17</v>
      </c>
      <c r="H46" s="34">
        <f>G46/$G$2</f>
        <v>0.00687285223367698</v>
      </c>
      <c r="I46" s="45">
        <f>$I$1*H46</f>
        <v>11.8213058419244</v>
      </c>
    </row>
    <row r="47" s="1" customFormat="1" ht="20.4" spans="1:9">
      <c r="A47" s="22" t="s">
        <v>111</v>
      </c>
      <c r="B47" s="11" t="s">
        <v>112</v>
      </c>
      <c r="C47" s="12" t="s">
        <v>41</v>
      </c>
      <c r="D47" s="13">
        <v>41880</v>
      </c>
      <c r="E47" s="36">
        <v>4.25</v>
      </c>
      <c r="F47" s="32">
        <v>4</v>
      </c>
      <c r="G47" s="33">
        <f t="shared" si="1"/>
        <v>17</v>
      </c>
      <c r="H47" s="34">
        <f>G47/$G$2</f>
        <v>0.00687285223367698</v>
      </c>
      <c r="I47" s="45">
        <f>$I$1*H47</f>
        <v>11.8213058419244</v>
      </c>
    </row>
    <row r="48" s="1" customFormat="1" ht="20.4" spans="1:9">
      <c r="A48" s="22" t="s">
        <v>113</v>
      </c>
      <c r="B48" s="11" t="s">
        <v>114</v>
      </c>
      <c r="C48" s="12" t="s">
        <v>41</v>
      </c>
      <c r="D48" s="13">
        <v>41887</v>
      </c>
      <c r="E48" s="36">
        <v>4.25</v>
      </c>
      <c r="F48" s="32">
        <v>4</v>
      </c>
      <c r="G48" s="33">
        <f t="shared" si="1"/>
        <v>17</v>
      </c>
      <c r="H48" s="34">
        <f>G48/$G$2</f>
        <v>0.00687285223367698</v>
      </c>
      <c r="I48" s="45">
        <f>$I$1*H48</f>
        <v>11.8213058419244</v>
      </c>
    </row>
    <row r="49" s="1" customFormat="1" ht="20.4" spans="1:9">
      <c r="A49" s="22" t="s">
        <v>115</v>
      </c>
      <c r="B49" s="11" t="s">
        <v>116</v>
      </c>
      <c r="C49" s="12" t="s">
        <v>41</v>
      </c>
      <c r="D49" s="13">
        <v>41892</v>
      </c>
      <c r="E49" s="36">
        <v>4.25</v>
      </c>
      <c r="F49" s="32">
        <v>4</v>
      </c>
      <c r="G49" s="33">
        <f t="shared" si="1"/>
        <v>17</v>
      </c>
      <c r="H49" s="34">
        <f>G49/$G$2</f>
        <v>0.00687285223367698</v>
      </c>
      <c r="I49" s="45">
        <f>$I$1*H49</f>
        <v>11.8213058419244</v>
      </c>
    </row>
    <row r="50" s="1" customFormat="1" ht="20.4" spans="1:9">
      <c r="A50" s="22" t="s">
        <v>117</v>
      </c>
      <c r="B50" s="11" t="s">
        <v>118</v>
      </c>
      <c r="C50" s="12" t="s">
        <v>41</v>
      </c>
      <c r="D50" s="13">
        <v>41902</v>
      </c>
      <c r="E50" s="36">
        <v>4.25</v>
      </c>
      <c r="F50" s="32">
        <v>4</v>
      </c>
      <c r="G50" s="33">
        <f t="shared" si="1"/>
        <v>17</v>
      </c>
      <c r="H50" s="34">
        <f>G50/$G$2</f>
        <v>0.00687285223367698</v>
      </c>
      <c r="I50" s="45">
        <f>$I$1*H50</f>
        <v>11.8213058419244</v>
      </c>
    </row>
    <row r="51" s="1" customFormat="1" ht="20.4" spans="1:9">
      <c r="A51" s="22" t="s">
        <v>119</v>
      </c>
      <c r="B51" s="11" t="s">
        <v>120</v>
      </c>
      <c r="C51" s="12" t="s">
        <v>41</v>
      </c>
      <c r="D51" s="13">
        <v>41907</v>
      </c>
      <c r="E51" s="36">
        <v>4.25</v>
      </c>
      <c r="F51" s="32">
        <v>4</v>
      </c>
      <c r="G51" s="33">
        <f t="shared" si="1"/>
        <v>17</v>
      </c>
      <c r="H51" s="34">
        <f>G51/$G$2</f>
        <v>0.00687285223367698</v>
      </c>
      <c r="I51" s="45">
        <f>$I$1*H51</f>
        <v>11.8213058419244</v>
      </c>
    </row>
    <row r="52" s="1" customFormat="1" ht="20.4" spans="1:9">
      <c r="A52" s="22" t="s">
        <v>121</v>
      </c>
      <c r="B52" s="11" t="s">
        <v>122</v>
      </c>
      <c r="C52" s="12" t="s">
        <v>41</v>
      </c>
      <c r="D52" s="13">
        <v>41908</v>
      </c>
      <c r="E52" s="36">
        <v>4.25</v>
      </c>
      <c r="F52" s="32">
        <v>4</v>
      </c>
      <c r="G52" s="33">
        <f t="shared" si="1"/>
        <v>17</v>
      </c>
      <c r="H52" s="34">
        <f>G52/$G$2</f>
        <v>0.00687285223367698</v>
      </c>
      <c r="I52" s="45">
        <f>$I$1*H52</f>
        <v>11.8213058419244</v>
      </c>
    </row>
    <row r="53" s="1" customFormat="1" ht="20.4" spans="1:9">
      <c r="A53" s="10" t="s">
        <v>123</v>
      </c>
      <c r="B53" s="11" t="s">
        <v>124</v>
      </c>
      <c r="C53" s="12" t="s">
        <v>41</v>
      </c>
      <c r="D53" s="13">
        <v>41910</v>
      </c>
      <c r="E53" s="36">
        <v>4.25</v>
      </c>
      <c r="F53" s="32">
        <v>4</v>
      </c>
      <c r="G53" s="33">
        <f t="shared" si="1"/>
        <v>17</v>
      </c>
      <c r="H53" s="34">
        <f>G53/$G$2</f>
        <v>0.00687285223367698</v>
      </c>
      <c r="I53" s="45">
        <f>$I$1*H53</f>
        <v>11.8213058419244</v>
      </c>
    </row>
    <row r="54" s="1" customFormat="1" ht="20.4" spans="1:9">
      <c r="A54" s="22" t="s">
        <v>125</v>
      </c>
      <c r="B54" s="11" t="s">
        <v>126</v>
      </c>
      <c r="C54" s="12" t="s">
        <v>41</v>
      </c>
      <c r="D54" s="13">
        <v>41915</v>
      </c>
      <c r="E54" s="36">
        <v>4.25</v>
      </c>
      <c r="F54" s="32">
        <v>4</v>
      </c>
      <c r="G54" s="33">
        <f t="shared" si="1"/>
        <v>17</v>
      </c>
      <c r="H54" s="34">
        <f>G54/$G$2</f>
        <v>0.00687285223367698</v>
      </c>
      <c r="I54" s="45">
        <f>$I$1*H54</f>
        <v>11.8213058419244</v>
      </c>
    </row>
    <row r="55" s="1" customFormat="1" ht="20.4" spans="1:9">
      <c r="A55" s="22" t="s">
        <v>127</v>
      </c>
      <c r="B55" s="11" t="s">
        <v>128</v>
      </c>
      <c r="C55" s="12" t="s">
        <v>41</v>
      </c>
      <c r="D55" s="13">
        <v>41922</v>
      </c>
      <c r="E55" s="36">
        <v>4.25</v>
      </c>
      <c r="F55" s="32">
        <v>4</v>
      </c>
      <c r="G55" s="33">
        <f t="shared" si="1"/>
        <v>17</v>
      </c>
      <c r="H55" s="34">
        <f>G55/$G$2</f>
        <v>0.00687285223367698</v>
      </c>
      <c r="I55" s="45">
        <f>$I$1*H55</f>
        <v>11.8213058419244</v>
      </c>
    </row>
    <row r="56" s="1" customFormat="1" ht="20.4" spans="1:9">
      <c r="A56" s="22" t="s">
        <v>129</v>
      </c>
      <c r="B56" s="11" t="s">
        <v>130</v>
      </c>
      <c r="C56" s="12" t="s">
        <v>41</v>
      </c>
      <c r="D56" s="13">
        <v>41957</v>
      </c>
      <c r="E56" s="36">
        <v>4.25</v>
      </c>
      <c r="F56" s="32">
        <v>4</v>
      </c>
      <c r="G56" s="33">
        <f t="shared" si="1"/>
        <v>17</v>
      </c>
      <c r="H56" s="34">
        <f>G56/$G$2</f>
        <v>0.00687285223367698</v>
      </c>
      <c r="I56" s="45">
        <f>$I$1*H56</f>
        <v>11.8213058419244</v>
      </c>
    </row>
    <row r="57" s="1" customFormat="1" ht="20.4" spans="1:9">
      <c r="A57" s="14" t="s">
        <v>131</v>
      </c>
      <c r="B57" s="11" t="s">
        <v>132</v>
      </c>
      <c r="C57" s="15" t="s">
        <v>15</v>
      </c>
      <c r="D57" s="16">
        <v>41855</v>
      </c>
      <c r="E57" s="36">
        <v>4.25</v>
      </c>
      <c r="F57" s="35">
        <v>107</v>
      </c>
      <c r="G57" s="33">
        <f t="shared" si="1"/>
        <v>454.75</v>
      </c>
      <c r="H57" s="34">
        <f>G57/$G$2</f>
        <v>0.183848797250859</v>
      </c>
      <c r="I57" s="45">
        <f>$I$1*H57</f>
        <v>316.219931271478</v>
      </c>
    </row>
    <row r="58" s="1" customFormat="1" ht="20.4" spans="1:9">
      <c r="A58" s="22" t="s">
        <v>133</v>
      </c>
      <c r="B58" s="11" t="s">
        <v>134</v>
      </c>
      <c r="C58" s="12" t="s">
        <v>135</v>
      </c>
      <c r="D58" s="13">
        <v>41846</v>
      </c>
      <c r="E58" s="36">
        <v>4.25</v>
      </c>
      <c r="F58" s="32">
        <v>8</v>
      </c>
      <c r="G58" s="33">
        <f t="shared" si="1"/>
        <v>34</v>
      </c>
      <c r="H58" s="34">
        <f>G58/$G$2</f>
        <v>0.013745704467354</v>
      </c>
      <c r="I58" s="45">
        <f>$I$1*H58</f>
        <v>23.6426116838488</v>
      </c>
    </row>
    <row r="59" s="1" customFormat="1" ht="20.4" spans="1:9">
      <c r="A59" s="22" t="s">
        <v>136</v>
      </c>
      <c r="B59" s="11" t="s">
        <v>137</v>
      </c>
      <c r="C59" s="12" t="s">
        <v>135</v>
      </c>
      <c r="D59" s="13">
        <v>41873</v>
      </c>
      <c r="E59" s="36">
        <v>4.25</v>
      </c>
      <c r="F59" s="32">
        <v>4</v>
      </c>
      <c r="G59" s="33">
        <f t="shared" si="1"/>
        <v>17</v>
      </c>
      <c r="H59" s="34">
        <f>G59/$G$2</f>
        <v>0.00687285223367698</v>
      </c>
      <c r="I59" s="45">
        <f>$I$1*H59</f>
        <v>11.8213058419244</v>
      </c>
    </row>
    <row r="60" s="1" customFormat="1" ht="21.15" spans="1:9">
      <c r="A60" s="22" t="s">
        <v>138</v>
      </c>
      <c r="B60" s="11" t="s">
        <v>139</v>
      </c>
      <c r="C60" s="12" t="s">
        <v>135</v>
      </c>
      <c r="D60" s="13">
        <v>41900</v>
      </c>
      <c r="E60" s="36">
        <v>4.25</v>
      </c>
      <c r="F60" s="32">
        <v>6</v>
      </c>
      <c r="G60" s="33">
        <f t="shared" si="1"/>
        <v>25.5</v>
      </c>
      <c r="H60" s="34">
        <f>G60/$G$2</f>
        <v>0.0103092783505155</v>
      </c>
      <c r="I60" s="45">
        <f>$I$1*H60</f>
        <v>17.7319587628866</v>
      </c>
    </row>
    <row r="61" s="1" customFormat="1" ht="21.15" spans="1:9">
      <c r="A61" s="23"/>
      <c r="B61" s="24"/>
      <c r="C61" s="25"/>
      <c r="D61" s="26"/>
      <c r="E61" s="26"/>
      <c r="F61" s="26"/>
      <c r="G61" s="38" t="s">
        <v>140</v>
      </c>
      <c r="H61" s="39">
        <f>SUM(H4:H60)</f>
        <v>0.999999999999999</v>
      </c>
      <c r="I61" s="46">
        <f>SUM(I4:I60)</f>
        <v>1720</v>
      </c>
    </row>
    <row r="62" s="1" customFormat="1" ht="20.4" spans="5:5">
      <c r="E62" s="40"/>
    </row>
    <row r="63" s="1" customFormat="1" ht="20.4" spans="5:5">
      <c r="E63" s="41"/>
    </row>
    <row r="64" s="1" customFormat="1" ht="20.4" spans="5:5">
      <c r="E64" s="41"/>
    </row>
    <row r="65" s="1" customFormat="1" ht="20.4" spans="5:5">
      <c r="E65" s="4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2024-12-10T11:03:38Z</dcterms:created>
  <dcterms:modified xsi:type="dcterms:W3CDTF">2024-12-10T11:47:11Z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DA46E9960963DFF18AAF57672D7BABF8_41</vt:lpwstr>
  </property>
  <property fmtid="{D5CDD505-2E9C-101B-9397-08002B2CF9AE}" pid="3" name="KSOProductBuildVer">
    <vt:lpwstr>2052-6.8.2.8850</vt:lpwstr>
  </property>
</Properties>
</file>