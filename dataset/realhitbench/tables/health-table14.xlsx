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00" windowHeight="13060"/>
  </bookViews>
  <sheets>
    <sheet name="Sheet1" sheetId="1" r:id="rId1"/>
  </sheets>
  <externalReferences>
    <externalReference r:id="rId2"/>
  </externalReferences>
  <definedNames>
    <definedName name="ACTION">'[1]by Months'!$L$2:$L$7</definedName>
    <definedName name="TIME">'[1]by Months'!$K$2:$K$5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<sst xmlns="http://schemas.openxmlformats.org/spreadsheetml/2006/main" count="139" uniqueCount="73">
  <si>
    <t>DAILY TRACKER</t>
  </si>
  <si>
    <t>NUTRITION</t>
  </si>
  <si>
    <t>ACTIVITY</t>
  </si>
  <si>
    <t>WEIGHT</t>
  </si>
  <si>
    <t>DATE</t>
  </si>
  <si>
    <t>TIME</t>
  </si>
  <si>
    <t>ACTION</t>
  </si>
  <si>
    <t>DESCRIPTION</t>
  </si>
  <si>
    <t>SERVING</t>
  </si>
  <si>
    <t>KCAL</t>
  </si>
  <si>
    <t>FAT (g)</t>
  </si>
  <si>
    <t>CARB (g)</t>
  </si>
  <si>
    <t>PROT (g)</t>
  </si>
  <si>
    <t>MIN</t>
  </si>
  <si>
    <t>MILES</t>
  </si>
  <si>
    <t>LBS</t>
  </si>
  <si>
    <t>REPS</t>
  </si>
  <si>
    <t>SETS</t>
  </si>
  <si>
    <t>MORNING</t>
  </si>
  <si>
    <t>FOOD</t>
  </si>
  <si>
    <t>FRUITS</t>
  </si>
  <si>
    <t>Fruit Salad</t>
  </si>
  <si>
    <t>2 cups</t>
  </si>
  <si>
    <t>DRINK</t>
  </si>
  <si>
    <t>COFFEE</t>
  </si>
  <si>
    <t>2 Creamers</t>
  </si>
  <si>
    <t>20 oz</t>
  </si>
  <si>
    <t>AFTERNOON</t>
  </si>
  <si>
    <t>GRAINS</t>
  </si>
  <si>
    <t>Sub Roll</t>
  </si>
  <si>
    <t>MEATS &amp; POULTRY</t>
  </si>
  <si>
    <t>Roast Beef</t>
  </si>
  <si>
    <t>6 oz</t>
  </si>
  <si>
    <t>EVENING</t>
  </si>
  <si>
    <t>OILS &amp; FATS</t>
  </si>
  <si>
    <t>Mayonnaise</t>
  </si>
  <si>
    <t>1 tbsp</t>
  </si>
  <si>
    <t>BEER</t>
  </si>
  <si>
    <t>2 Lagers</t>
  </si>
  <si>
    <t>24 oz</t>
  </si>
  <si>
    <t>WEIGHTLIFTING</t>
  </si>
  <si>
    <t>Bicep Curls</t>
  </si>
  <si>
    <t>WEIGH-IN</t>
  </si>
  <si>
    <t>DAILY TOTALS</t>
  </si>
  <si>
    <t>RUNNING</t>
  </si>
  <si>
    <t>Morning run in park</t>
  </si>
  <si>
    <t>EGGS</t>
  </si>
  <si>
    <t>2 Scrambled</t>
  </si>
  <si>
    <t>Wheat Toast</t>
  </si>
  <si>
    <t>1 slice</t>
  </si>
  <si>
    <t>VEGETABLES</t>
  </si>
  <si>
    <t>Garden Salad</t>
  </si>
  <si>
    <t>Ranch Dressing</t>
  </si>
  <si>
    <t>WATER</t>
  </si>
  <si>
    <t>WALKING</t>
  </si>
  <si>
    <t>Walk around the block</t>
  </si>
  <si>
    <t>FISH &amp; SEAFOOD</t>
  </si>
  <si>
    <t>Salmon</t>
  </si>
  <si>
    <t>Hamburger Bun</t>
  </si>
  <si>
    <t>Lettuce &amp; Tomato</t>
  </si>
  <si>
    <t>2 oz</t>
  </si>
  <si>
    <t>WINE</t>
  </si>
  <si>
    <t>a nice Cabernet</t>
  </si>
  <si>
    <t>8 oz</t>
  </si>
  <si>
    <t>PUSH-UPS</t>
  </si>
  <si>
    <t>Buzzed Push-ups</t>
  </si>
  <si>
    <t>Springfield Marathon</t>
  </si>
  <si>
    <t>SUGARS &amp; EXTRAS</t>
  </si>
  <si>
    <t>1 Bacon Ranch Pizza</t>
  </si>
  <si>
    <t>1 Case of beer</t>
  </si>
  <si>
    <t>1 Jar of Olives</t>
  </si>
  <si>
    <t>YOGA</t>
  </si>
  <si>
    <t>Bikram Yoga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</si>
</sst>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ddd\,\ mmm\ dd"/>
  </numFmts>
  <fonts count="27">
    <font>
      <sz val="11"/>
      <color theme="1"/>
      <name val="宋体"/>
      <charset val="134"/>
      <scheme val="minor"/>
    </font>
    <font>
      <sz val="10"/>
      <color theme="9" tint="-0.499984740745262"/>
      <name val="宋体"/>
      <charset val="238"/>
      <scheme val="minor"/>
    </font>
    <font>
      <sz val="10"/>
      <color theme="1"/>
      <name val="宋体"/>
      <charset val="238"/>
      <scheme val="minor"/>
    </font>
    <font>
      <sz val="10"/>
      <color theme="3"/>
      <name val="宋体"/>
      <charset val="238"/>
      <scheme val="minor"/>
    </font>
    <font>
      <sz val="10"/>
      <color theme="6" tint="-0.499984740745262"/>
      <name val="宋体"/>
      <charset val="238"/>
      <scheme val="minor"/>
    </font>
    <font>
      <sz val="10"/>
      <color rgb="FF00B050"/>
      <name val="宋体"/>
      <charset val="238"/>
      <scheme val="minor"/>
    </font>
    <font>
      <sz val="10"/>
      <color rgb="FF7030A0"/>
      <name val="宋体"/>
      <charset val="238"/>
      <scheme val="minor"/>
    </font>
    <font>
      <sz val="10"/>
      <color rgb="FFC00000"/>
      <name val="宋体"/>
      <charset val="238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2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5" fillId="0" borderId="2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28" applyNumberFormat="0" applyAlignment="0" applyProtection="0">
      <alignment vertical="center"/>
    </xf>
    <xf numFmtId="0" fontId="17" fillId="10" borderId="29" applyNumberFormat="0" applyAlignment="0" applyProtection="0">
      <alignment vertical="center"/>
    </xf>
    <xf numFmtId="0" fontId="18" fillId="10" borderId="28" applyNumberFormat="0" applyAlignment="0" applyProtection="0">
      <alignment vertical="center"/>
    </xf>
    <xf numFmtId="0" fontId="19" fillId="11" borderId="30" applyNumberFormat="0" applyAlignment="0" applyProtection="0">
      <alignment vertical="center"/>
    </xf>
    <xf numFmtId="0" fontId="20" fillId="0" borderId="31" applyNumberFormat="0" applyFill="0" applyAlignment="0" applyProtection="0">
      <alignment vertical="center"/>
    </xf>
    <xf numFmtId="0" fontId="21" fillId="0" borderId="32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176" fontId="3" fillId="3" borderId="5" xfId="0" applyNumberFormat="1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176" fontId="3" fillId="3" borderId="8" xfId="0" applyNumberFormat="1" applyFont="1" applyFill="1" applyBorder="1" applyAlignment="1">
      <alignment horizontal="center" vertical="center"/>
    </xf>
    <xf numFmtId="176" fontId="3" fillId="3" borderId="9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6" fillId="6" borderId="15" xfId="0" applyFont="1" applyFill="1" applyBorder="1" applyAlignment="1">
      <alignment horizontal="center"/>
    </xf>
    <xf numFmtId="0" fontId="6" fillId="6" borderId="16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6" fillId="3" borderId="1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6" borderId="17" xfId="0" applyFont="1" applyFill="1" applyBorder="1" applyAlignment="1">
      <alignment horizontal="center"/>
    </xf>
    <xf numFmtId="0" fontId="7" fillId="7" borderId="18" xfId="0" applyFont="1" applyFill="1" applyBorder="1" applyAlignment="1">
      <alignment horizontal="center"/>
    </xf>
    <xf numFmtId="0" fontId="2" fillId="6" borderId="19" xfId="0" applyFont="1" applyFill="1" applyBorder="1" applyAlignment="1">
      <alignment horizontal="center"/>
    </xf>
    <xf numFmtId="0" fontId="2" fillId="7" borderId="20" xfId="0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/>
    </xf>
    <xf numFmtId="0" fontId="7" fillId="3" borderId="22" xfId="0" applyFont="1" applyFill="1" applyBorder="1" applyAlignment="1">
      <alignment horizontal="center"/>
    </xf>
    <xf numFmtId="0" fontId="6" fillId="3" borderId="23" xfId="0" applyFont="1" applyFill="1" applyBorder="1" applyAlignment="1">
      <alignment horizontal="center"/>
    </xf>
    <xf numFmtId="0" fontId="6" fillId="3" borderId="19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b val="1"/>
        <i val="1"/>
        <color auto="1"/>
      </font>
      <fill>
        <patternFill patternType="solid">
          <bgColor rgb="FFFFFF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ivate/var/folders/80/9c4yq3_x0q58sglmdwq5w2300000gn/T/MicrosoftEdgeDownloads/ea9a2403-32c0-4fb3-a0e2-702acbd716df/VBA%20question%20RE%20Populating%20a%20table%20based%20on%20Data%20Validation%20%20Excelguru%20Forum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y Months"/>
      <sheetName val="by Days"/>
      <sheetName val="JanTable"/>
      <sheetName val="FebTable"/>
      <sheetName val="MarTable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2"/>
  <sheetViews>
    <sheetView tabSelected="1" workbookViewId="0">
      <selection activeCell="N24" sqref="N24"/>
    </sheetView>
  </sheetViews>
  <sheetFormatPr defaultColWidth="9.23076923076923" defaultRowHeight="16.8"/>
  <cols>
    <col min="1" max="1" width="16.1826923076923" customWidth="1"/>
    <col min="2" max="2" width="14.8942307692308" customWidth="1"/>
    <col min="3" max="3" width="17.3076923076923" customWidth="1"/>
    <col min="4" max="4" width="21.3076923076923" customWidth="1"/>
    <col min="5" max="5" width="22.5961538461538" customWidth="1"/>
  </cols>
  <sheetData>
    <row r="1" spans="1:16">
      <c r="A1" s="1" t="s">
        <v>0</v>
      </c>
      <c r="B1" s="2"/>
      <c r="C1" s="2"/>
      <c r="D1" s="2"/>
      <c r="E1" s="11"/>
      <c r="F1" s="12" t="s">
        <v>1</v>
      </c>
      <c r="G1" s="13"/>
      <c r="H1" s="13"/>
      <c r="I1" s="13"/>
      <c r="J1" s="26"/>
      <c r="K1" s="27" t="s">
        <v>2</v>
      </c>
      <c r="L1" s="28"/>
      <c r="M1" s="28"/>
      <c r="N1" s="28"/>
      <c r="O1" s="41"/>
      <c r="P1" s="42" t="s">
        <v>3</v>
      </c>
    </row>
    <row r="2" spans="1:16">
      <c r="A2" s="3" t="s">
        <v>4</v>
      </c>
      <c r="B2" s="4" t="s">
        <v>5</v>
      </c>
      <c r="C2" s="4" t="s">
        <v>6</v>
      </c>
      <c r="D2" s="4" t="s">
        <v>2</v>
      </c>
      <c r="E2" s="14" t="s">
        <v>7</v>
      </c>
      <c r="F2" s="15" t="s">
        <v>8</v>
      </c>
      <c r="G2" s="16" t="s">
        <v>9</v>
      </c>
      <c r="H2" s="16" t="s">
        <v>10</v>
      </c>
      <c r="I2" s="16" t="s">
        <v>11</v>
      </c>
      <c r="J2" s="29" t="s">
        <v>12</v>
      </c>
      <c r="K2" s="30" t="s">
        <v>13</v>
      </c>
      <c r="L2" s="31" t="s">
        <v>14</v>
      </c>
      <c r="M2" s="31" t="s">
        <v>15</v>
      </c>
      <c r="N2" s="31" t="s">
        <v>16</v>
      </c>
      <c r="O2" s="43" t="s">
        <v>17</v>
      </c>
      <c r="P2" s="44" t="s">
        <v>15</v>
      </c>
    </row>
    <row r="3" spans="1:16">
      <c r="A3" s="5">
        <v>42796</v>
      </c>
      <c r="B3" s="6" t="s">
        <v>18</v>
      </c>
      <c r="C3" s="6" t="s">
        <v>19</v>
      </c>
      <c r="D3" s="6" t="s">
        <v>20</v>
      </c>
      <c r="E3" s="17" t="s">
        <v>21</v>
      </c>
      <c r="F3" s="18" t="s">
        <v>22</v>
      </c>
      <c r="G3" s="19">
        <v>100</v>
      </c>
      <c r="H3" s="19">
        <v>2</v>
      </c>
      <c r="I3" s="19">
        <v>15</v>
      </c>
      <c r="J3" s="32">
        <v>4</v>
      </c>
      <c r="K3" s="33"/>
      <c r="L3" s="34"/>
      <c r="M3" s="34"/>
      <c r="N3" s="34"/>
      <c r="O3" s="45"/>
      <c r="P3" s="46"/>
    </row>
    <row r="4" spans="1:16">
      <c r="A4" s="5"/>
      <c r="B4" s="7" t="s">
        <v>18</v>
      </c>
      <c r="C4" s="7" t="s">
        <v>23</v>
      </c>
      <c r="D4" s="7" t="s">
        <v>24</v>
      </c>
      <c r="E4" s="20" t="s">
        <v>25</v>
      </c>
      <c r="F4" s="21" t="s">
        <v>26</v>
      </c>
      <c r="G4" s="22">
        <v>200</v>
      </c>
      <c r="H4" s="22">
        <v>4</v>
      </c>
      <c r="I4" s="22">
        <v>2</v>
      </c>
      <c r="J4" s="35">
        <v>2</v>
      </c>
      <c r="K4" s="36"/>
      <c r="L4" s="37"/>
      <c r="M4" s="37"/>
      <c r="N4" s="37"/>
      <c r="O4" s="47"/>
      <c r="P4" s="46"/>
    </row>
    <row r="5" spans="1:16">
      <c r="A5" s="5"/>
      <c r="B5" s="7" t="s">
        <v>27</v>
      </c>
      <c r="C5" s="7" t="s">
        <v>19</v>
      </c>
      <c r="D5" s="7" t="s">
        <v>28</v>
      </c>
      <c r="E5" s="20" t="s">
        <v>29</v>
      </c>
      <c r="F5" s="21">
        <v>1</v>
      </c>
      <c r="G5" s="19">
        <v>300</v>
      </c>
      <c r="H5" s="22">
        <v>5</v>
      </c>
      <c r="I5" s="22">
        <v>20</v>
      </c>
      <c r="J5" s="35">
        <v>5</v>
      </c>
      <c r="K5" s="36"/>
      <c r="L5" s="37"/>
      <c r="M5" s="37"/>
      <c r="N5" s="37"/>
      <c r="O5" s="47"/>
      <c r="P5" s="46"/>
    </row>
    <row r="6" spans="1:16">
      <c r="A6" s="5"/>
      <c r="B6" s="7" t="s">
        <v>27</v>
      </c>
      <c r="C6" s="7" t="s">
        <v>19</v>
      </c>
      <c r="D6" s="7" t="s">
        <v>30</v>
      </c>
      <c r="E6" s="20" t="s">
        <v>31</v>
      </c>
      <c r="F6" s="21" t="s">
        <v>32</v>
      </c>
      <c r="G6" s="22">
        <v>400</v>
      </c>
      <c r="H6" s="22">
        <v>4</v>
      </c>
      <c r="I6" s="22">
        <v>2</v>
      </c>
      <c r="J6" s="35">
        <v>16</v>
      </c>
      <c r="K6" s="36"/>
      <c r="L6" s="37"/>
      <c r="M6" s="37"/>
      <c r="N6" s="37">
        <v>350</v>
      </c>
      <c r="O6" s="47"/>
      <c r="P6" s="46"/>
    </row>
    <row r="7" spans="1:16">
      <c r="A7" s="5"/>
      <c r="B7" s="7" t="s">
        <v>33</v>
      </c>
      <c r="C7" s="7" t="s">
        <v>19</v>
      </c>
      <c r="D7" s="7" t="s">
        <v>34</v>
      </c>
      <c r="E7" s="20" t="s">
        <v>35</v>
      </c>
      <c r="F7" s="21" t="s">
        <v>36</v>
      </c>
      <c r="G7" s="19">
        <v>500</v>
      </c>
      <c r="H7" s="22">
        <v>5</v>
      </c>
      <c r="I7" s="22">
        <v>4</v>
      </c>
      <c r="J7" s="35">
        <v>1</v>
      </c>
      <c r="K7" s="36"/>
      <c r="L7" s="37"/>
      <c r="M7" s="37"/>
      <c r="N7" s="37"/>
      <c r="O7" s="47"/>
      <c r="P7" s="46"/>
    </row>
    <row r="8" spans="1:16">
      <c r="A8" s="5"/>
      <c r="B8" s="7" t="s">
        <v>33</v>
      </c>
      <c r="C8" s="7" t="s">
        <v>23</v>
      </c>
      <c r="D8" s="7" t="s">
        <v>37</v>
      </c>
      <c r="E8" s="20" t="s">
        <v>38</v>
      </c>
      <c r="F8" s="21" t="s">
        <v>39</v>
      </c>
      <c r="G8" s="22">
        <v>600</v>
      </c>
      <c r="H8" s="22">
        <v>0</v>
      </c>
      <c r="I8" s="22">
        <v>36</v>
      </c>
      <c r="J8" s="35">
        <v>2</v>
      </c>
      <c r="K8" s="36"/>
      <c r="L8" s="37"/>
      <c r="M8" s="37"/>
      <c r="N8" s="37"/>
      <c r="O8" s="47"/>
      <c r="P8" s="46"/>
    </row>
    <row r="9" spans="1:16">
      <c r="A9" s="5"/>
      <c r="B9" s="7" t="s">
        <v>33</v>
      </c>
      <c r="C9" s="7" t="s">
        <v>2</v>
      </c>
      <c r="D9" s="7" t="s">
        <v>40</v>
      </c>
      <c r="E9" s="20" t="s">
        <v>41</v>
      </c>
      <c r="F9" s="21"/>
      <c r="G9" s="19">
        <v>700</v>
      </c>
      <c r="H9" s="22"/>
      <c r="I9" s="22"/>
      <c r="J9" s="35"/>
      <c r="K9" s="36"/>
      <c r="L9" s="37"/>
      <c r="M9" s="37">
        <v>200</v>
      </c>
      <c r="N9" s="37">
        <v>10</v>
      </c>
      <c r="O9" s="47">
        <v>3</v>
      </c>
      <c r="P9" s="46"/>
    </row>
    <row r="10" spans="1:16">
      <c r="A10" s="5"/>
      <c r="B10" s="7" t="s">
        <v>33</v>
      </c>
      <c r="C10" s="7" t="s">
        <v>42</v>
      </c>
      <c r="D10" s="7"/>
      <c r="E10" s="20"/>
      <c r="F10" s="21"/>
      <c r="G10" s="22"/>
      <c r="H10" s="22"/>
      <c r="I10" s="22"/>
      <c r="J10" s="35"/>
      <c r="K10" s="36"/>
      <c r="L10" s="37"/>
      <c r="M10" s="37"/>
      <c r="N10" s="37"/>
      <c r="O10" s="47"/>
      <c r="P10" s="46">
        <v>220</v>
      </c>
    </row>
    <row r="11" spans="1:16">
      <c r="A11" s="8"/>
      <c r="B11" s="7"/>
      <c r="C11" s="7" t="s">
        <v>43</v>
      </c>
      <c r="D11" s="7"/>
      <c r="E11" s="20"/>
      <c r="F11" s="21"/>
      <c r="G11" s="22">
        <f t="shared" ref="G11:P11" si="0">SUM(G3:G10)</f>
        <v>2800</v>
      </c>
      <c r="H11" s="22">
        <f t="shared" si="0"/>
        <v>20</v>
      </c>
      <c r="I11" s="22">
        <f t="shared" si="0"/>
        <v>79</v>
      </c>
      <c r="J11" s="22">
        <f t="shared" si="0"/>
        <v>30</v>
      </c>
      <c r="K11" s="22">
        <f t="shared" si="0"/>
        <v>0</v>
      </c>
      <c r="L11" s="22">
        <f t="shared" si="0"/>
        <v>0</v>
      </c>
      <c r="M11" s="22">
        <f t="shared" si="0"/>
        <v>200</v>
      </c>
      <c r="N11" s="22">
        <f t="shared" si="0"/>
        <v>360</v>
      </c>
      <c r="O11" s="22">
        <f t="shared" si="0"/>
        <v>3</v>
      </c>
      <c r="P11" s="22">
        <f t="shared" si="0"/>
        <v>220</v>
      </c>
    </row>
    <row r="12" spans="1:16">
      <c r="A12" s="9">
        <v>42797</v>
      </c>
      <c r="B12" s="7" t="s">
        <v>18</v>
      </c>
      <c r="C12" s="7" t="s">
        <v>2</v>
      </c>
      <c r="D12" s="7" t="s">
        <v>44</v>
      </c>
      <c r="E12" s="20" t="s">
        <v>45</v>
      </c>
      <c r="F12" s="21"/>
      <c r="G12" s="22"/>
      <c r="H12" s="22"/>
      <c r="I12" s="22"/>
      <c r="J12" s="35"/>
      <c r="K12" s="36">
        <v>30</v>
      </c>
      <c r="L12" s="37">
        <v>2</v>
      </c>
      <c r="M12" s="37"/>
      <c r="N12" s="37"/>
      <c r="O12" s="47"/>
      <c r="P12" s="46"/>
    </row>
    <row r="13" spans="1:16">
      <c r="A13" s="5"/>
      <c r="B13" s="7" t="s">
        <v>18</v>
      </c>
      <c r="C13" s="7" t="s">
        <v>19</v>
      </c>
      <c r="D13" s="7" t="s">
        <v>46</v>
      </c>
      <c r="E13" s="20" t="s">
        <v>47</v>
      </c>
      <c r="F13" s="21">
        <v>2</v>
      </c>
      <c r="G13" s="22">
        <v>120</v>
      </c>
      <c r="H13" s="22">
        <v>4</v>
      </c>
      <c r="I13" s="22">
        <v>2</v>
      </c>
      <c r="J13" s="35">
        <v>16</v>
      </c>
      <c r="K13" s="36"/>
      <c r="L13" s="37"/>
      <c r="M13" s="37"/>
      <c r="N13" s="37"/>
      <c r="O13" s="47"/>
      <c r="P13" s="46"/>
    </row>
    <row r="14" spans="1:16">
      <c r="A14" s="5"/>
      <c r="B14" s="7" t="s">
        <v>18</v>
      </c>
      <c r="C14" s="7" t="s">
        <v>19</v>
      </c>
      <c r="D14" s="7" t="s">
        <v>28</v>
      </c>
      <c r="E14" s="20" t="s">
        <v>48</v>
      </c>
      <c r="F14" s="21" t="s">
        <v>49</v>
      </c>
      <c r="G14" s="22">
        <v>100</v>
      </c>
      <c r="H14" s="22">
        <v>2</v>
      </c>
      <c r="I14" s="22">
        <v>24</v>
      </c>
      <c r="J14" s="35">
        <v>6</v>
      </c>
      <c r="K14" s="36"/>
      <c r="L14" s="37"/>
      <c r="M14" s="37"/>
      <c r="N14" s="37"/>
      <c r="O14" s="47"/>
      <c r="P14" s="46"/>
    </row>
    <row r="15" spans="1:16">
      <c r="A15" s="5"/>
      <c r="B15" s="7" t="s">
        <v>18</v>
      </c>
      <c r="C15" s="7" t="s">
        <v>23</v>
      </c>
      <c r="D15" s="7" t="s">
        <v>24</v>
      </c>
      <c r="E15" s="20" t="s">
        <v>25</v>
      </c>
      <c r="F15" s="21" t="s">
        <v>26</v>
      </c>
      <c r="G15" s="22">
        <v>90</v>
      </c>
      <c r="H15" s="22">
        <v>4</v>
      </c>
      <c r="I15" s="22">
        <v>2</v>
      </c>
      <c r="J15" s="35">
        <v>2</v>
      </c>
      <c r="K15" s="36"/>
      <c r="L15" s="37"/>
      <c r="M15" s="37"/>
      <c r="N15" s="37"/>
      <c r="O15" s="47"/>
      <c r="P15" s="46"/>
    </row>
    <row r="16" spans="1:16">
      <c r="A16" s="5"/>
      <c r="B16" s="7" t="s">
        <v>27</v>
      </c>
      <c r="C16" s="7" t="s">
        <v>19</v>
      </c>
      <c r="D16" s="7" t="s">
        <v>50</v>
      </c>
      <c r="E16" s="20" t="s">
        <v>51</v>
      </c>
      <c r="F16" s="21" t="s">
        <v>22</v>
      </c>
      <c r="G16" s="22">
        <v>45</v>
      </c>
      <c r="H16" s="22">
        <v>0</v>
      </c>
      <c r="I16" s="22">
        <v>100</v>
      </c>
      <c r="J16" s="35">
        <v>8</v>
      </c>
      <c r="K16" s="36"/>
      <c r="L16" s="37"/>
      <c r="M16" s="37"/>
      <c r="N16" s="37"/>
      <c r="O16" s="47"/>
      <c r="P16" s="46"/>
    </row>
    <row r="17" spans="1:16">
      <c r="A17" s="5"/>
      <c r="B17" s="7" t="s">
        <v>27</v>
      </c>
      <c r="C17" s="7" t="s">
        <v>19</v>
      </c>
      <c r="D17" s="7" t="s">
        <v>34</v>
      </c>
      <c r="E17" s="20" t="s">
        <v>52</v>
      </c>
      <c r="F17" s="21" t="s">
        <v>36</v>
      </c>
      <c r="G17" s="22">
        <v>80</v>
      </c>
      <c r="H17" s="22">
        <v>5</v>
      </c>
      <c r="I17" s="22">
        <v>100</v>
      </c>
      <c r="J17" s="35">
        <v>1</v>
      </c>
      <c r="K17" s="36"/>
      <c r="L17" s="37"/>
      <c r="M17" s="37"/>
      <c r="N17" s="37"/>
      <c r="O17" s="47"/>
      <c r="P17" s="46"/>
    </row>
    <row r="18" spans="1:16">
      <c r="A18" s="5"/>
      <c r="B18" s="7" t="s">
        <v>27</v>
      </c>
      <c r="C18" s="7" t="s">
        <v>23</v>
      </c>
      <c r="D18" s="7" t="s">
        <v>53</v>
      </c>
      <c r="E18" s="20"/>
      <c r="F18" s="21" t="s">
        <v>26</v>
      </c>
      <c r="G18" s="22">
        <v>0</v>
      </c>
      <c r="H18" s="22">
        <v>0</v>
      </c>
      <c r="I18" s="22">
        <v>0</v>
      </c>
      <c r="J18" s="35">
        <v>0</v>
      </c>
      <c r="K18" s="36"/>
      <c r="L18" s="37"/>
      <c r="M18" s="37"/>
      <c r="N18" s="37"/>
      <c r="O18" s="47"/>
      <c r="P18" s="46"/>
    </row>
    <row r="19" spans="1:16">
      <c r="A19" s="5"/>
      <c r="B19" s="7" t="s">
        <v>27</v>
      </c>
      <c r="C19" s="7" t="s">
        <v>2</v>
      </c>
      <c r="D19" s="7" t="s">
        <v>54</v>
      </c>
      <c r="E19" s="20" t="s">
        <v>55</v>
      </c>
      <c r="F19" s="21"/>
      <c r="G19" s="22"/>
      <c r="H19" s="22"/>
      <c r="I19" s="22"/>
      <c r="J19" s="35"/>
      <c r="K19" s="36">
        <v>30</v>
      </c>
      <c r="L19" s="37">
        <v>1</v>
      </c>
      <c r="M19" s="37"/>
      <c r="N19" s="37"/>
      <c r="O19" s="47"/>
      <c r="P19" s="46"/>
    </row>
    <row r="20" spans="1:16">
      <c r="A20" s="5"/>
      <c r="B20" s="7" t="s">
        <v>33</v>
      </c>
      <c r="C20" s="7" t="s">
        <v>19</v>
      </c>
      <c r="D20" s="7" t="s">
        <v>56</v>
      </c>
      <c r="E20" s="20" t="s">
        <v>57</v>
      </c>
      <c r="F20" s="21" t="s">
        <v>32</v>
      </c>
      <c r="G20" s="22">
        <v>110</v>
      </c>
      <c r="H20" s="22">
        <v>2</v>
      </c>
      <c r="I20" s="22">
        <v>4</v>
      </c>
      <c r="J20" s="35">
        <v>24</v>
      </c>
      <c r="K20" s="36"/>
      <c r="L20" s="37"/>
      <c r="M20" s="37"/>
      <c r="N20" s="37"/>
      <c r="O20" s="47"/>
      <c r="P20" s="46"/>
    </row>
    <row r="21" spans="1:16">
      <c r="A21" s="5"/>
      <c r="B21" s="7" t="s">
        <v>33</v>
      </c>
      <c r="C21" s="7" t="s">
        <v>19</v>
      </c>
      <c r="D21" s="7" t="s">
        <v>28</v>
      </c>
      <c r="E21" s="20" t="s">
        <v>58</v>
      </c>
      <c r="F21" s="21">
        <v>1</v>
      </c>
      <c r="G21" s="22">
        <v>125</v>
      </c>
      <c r="H21" s="22">
        <v>2</v>
      </c>
      <c r="I21" s="22">
        <v>28</v>
      </c>
      <c r="J21" s="35">
        <v>4</v>
      </c>
      <c r="K21" s="36"/>
      <c r="L21" s="37"/>
      <c r="M21" s="37"/>
      <c r="N21" s="37"/>
      <c r="O21" s="47"/>
      <c r="P21" s="46"/>
    </row>
    <row r="22" spans="1:16">
      <c r="A22" s="5"/>
      <c r="B22" s="7" t="s">
        <v>33</v>
      </c>
      <c r="C22" s="7" t="s">
        <v>19</v>
      </c>
      <c r="D22" s="7" t="s">
        <v>50</v>
      </c>
      <c r="E22" s="20" t="s">
        <v>59</v>
      </c>
      <c r="F22" s="21" t="s">
        <v>60</v>
      </c>
      <c r="G22" s="22">
        <v>15</v>
      </c>
      <c r="H22" s="22">
        <v>0</v>
      </c>
      <c r="I22" s="22">
        <v>2</v>
      </c>
      <c r="J22" s="35">
        <v>1</v>
      </c>
      <c r="K22" s="36"/>
      <c r="L22" s="37"/>
      <c r="M22" s="37"/>
      <c r="N22" s="37"/>
      <c r="O22" s="47"/>
      <c r="P22" s="46"/>
    </row>
    <row r="23" spans="1:16">
      <c r="A23" s="5"/>
      <c r="B23" s="7" t="s">
        <v>33</v>
      </c>
      <c r="C23" s="7" t="s">
        <v>23</v>
      </c>
      <c r="D23" s="7" t="s">
        <v>61</v>
      </c>
      <c r="E23" s="20" t="s">
        <v>62</v>
      </c>
      <c r="F23" s="21" t="s">
        <v>63</v>
      </c>
      <c r="G23" s="22">
        <v>125</v>
      </c>
      <c r="H23" s="22">
        <v>0</v>
      </c>
      <c r="I23" s="22">
        <v>0</v>
      </c>
      <c r="J23" s="35">
        <v>0</v>
      </c>
      <c r="K23" s="36"/>
      <c r="L23" s="37"/>
      <c r="M23" s="37"/>
      <c r="N23" s="37"/>
      <c r="O23" s="47"/>
      <c r="P23" s="46"/>
    </row>
    <row r="24" spans="1:16">
      <c r="A24" s="5"/>
      <c r="B24" s="7" t="s">
        <v>33</v>
      </c>
      <c r="C24" s="7" t="s">
        <v>2</v>
      </c>
      <c r="D24" s="7" t="s">
        <v>64</v>
      </c>
      <c r="E24" s="20" t="s">
        <v>65</v>
      </c>
      <c r="F24" s="21"/>
      <c r="G24" s="22"/>
      <c r="H24" s="22"/>
      <c r="I24" s="22"/>
      <c r="J24" s="35"/>
      <c r="K24" s="36"/>
      <c r="L24" s="37"/>
      <c r="M24" s="37"/>
      <c r="N24" s="37">
        <v>10</v>
      </c>
      <c r="O24" s="47">
        <v>3</v>
      </c>
      <c r="P24" s="46"/>
    </row>
    <row r="25" spans="1:16">
      <c r="A25" s="5"/>
      <c r="B25" s="7" t="s">
        <v>33</v>
      </c>
      <c r="C25" s="7" t="s">
        <v>42</v>
      </c>
      <c r="D25" s="7"/>
      <c r="E25" s="20"/>
      <c r="F25" s="21"/>
      <c r="G25" s="22"/>
      <c r="H25" s="22"/>
      <c r="I25" s="22"/>
      <c r="J25" s="35"/>
      <c r="K25" s="36"/>
      <c r="L25" s="37"/>
      <c r="M25" s="37"/>
      <c r="N25" s="37"/>
      <c r="O25" s="47"/>
      <c r="P25" s="46">
        <v>219</v>
      </c>
    </row>
    <row r="26" spans="1:16">
      <c r="A26" s="8"/>
      <c r="B26" s="7"/>
      <c r="C26" s="7" t="s">
        <v>43</v>
      </c>
      <c r="D26" s="7"/>
      <c r="E26" s="20"/>
      <c r="F26" s="21"/>
      <c r="G26" s="22">
        <f t="shared" ref="G26:P26" si="1">SUM(G12:G25)</f>
        <v>810</v>
      </c>
      <c r="H26" s="22">
        <f t="shared" si="1"/>
        <v>19</v>
      </c>
      <c r="I26" s="22">
        <f t="shared" si="1"/>
        <v>262</v>
      </c>
      <c r="J26" s="22">
        <f t="shared" si="1"/>
        <v>62</v>
      </c>
      <c r="K26" s="22">
        <f t="shared" si="1"/>
        <v>60</v>
      </c>
      <c r="L26" s="22">
        <f t="shared" si="1"/>
        <v>3</v>
      </c>
      <c r="M26" s="22">
        <f t="shared" si="1"/>
        <v>0</v>
      </c>
      <c r="N26" s="22">
        <f t="shared" si="1"/>
        <v>10</v>
      </c>
      <c r="O26" s="22">
        <f t="shared" si="1"/>
        <v>3</v>
      </c>
      <c r="P26" s="22">
        <f t="shared" si="1"/>
        <v>219</v>
      </c>
    </row>
    <row r="27" spans="1:16">
      <c r="A27" s="9">
        <v>42798</v>
      </c>
      <c r="B27" s="7" t="s">
        <v>18</v>
      </c>
      <c r="C27" s="7" t="s">
        <v>2</v>
      </c>
      <c r="D27" s="7" t="s">
        <v>44</v>
      </c>
      <c r="E27" s="20" t="s">
        <v>66</v>
      </c>
      <c r="F27" s="21"/>
      <c r="G27" s="22"/>
      <c r="H27" s="22"/>
      <c r="I27" s="22"/>
      <c r="J27" s="35"/>
      <c r="K27" s="36">
        <v>160</v>
      </c>
      <c r="L27" s="37">
        <v>26.2</v>
      </c>
      <c r="M27" s="37"/>
      <c r="N27" s="37"/>
      <c r="O27" s="47"/>
      <c r="P27" s="46"/>
    </row>
    <row r="28" spans="1:16">
      <c r="A28" s="5"/>
      <c r="B28" s="7" t="s">
        <v>18</v>
      </c>
      <c r="C28" s="7" t="s">
        <v>19</v>
      </c>
      <c r="D28" s="7" t="s">
        <v>67</v>
      </c>
      <c r="E28" s="20" t="s">
        <v>68</v>
      </c>
      <c r="F28" s="21">
        <v>8</v>
      </c>
      <c r="G28" s="22">
        <v>3000</v>
      </c>
      <c r="H28" s="22">
        <v>240</v>
      </c>
      <c r="I28" s="22">
        <v>200</v>
      </c>
      <c r="J28" s="35">
        <v>45</v>
      </c>
      <c r="K28" s="36"/>
      <c r="L28" s="37"/>
      <c r="M28" s="37"/>
      <c r="N28" s="37"/>
      <c r="O28" s="47"/>
      <c r="P28" s="46"/>
    </row>
    <row r="29" spans="1:16">
      <c r="A29" s="5"/>
      <c r="B29" s="7" t="s">
        <v>18</v>
      </c>
      <c r="C29" s="7" t="s">
        <v>23</v>
      </c>
      <c r="D29" s="7" t="s">
        <v>37</v>
      </c>
      <c r="E29" s="20" t="s">
        <v>69</v>
      </c>
      <c r="F29" s="21">
        <v>24</v>
      </c>
      <c r="G29" s="22">
        <v>2880</v>
      </c>
      <c r="H29" s="22">
        <v>0</v>
      </c>
      <c r="I29" s="22">
        <v>450</v>
      </c>
      <c r="J29" s="35">
        <v>24</v>
      </c>
      <c r="K29" s="36"/>
      <c r="L29" s="37"/>
      <c r="M29" s="37"/>
      <c r="N29" s="37"/>
      <c r="O29" s="47"/>
      <c r="P29" s="46"/>
    </row>
    <row r="30" spans="1:16">
      <c r="A30" s="5"/>
      <c r="B30" s="7" t="s">
        <v>27</v>
      </c>
      <c r="C30" s="7" t="s">
        <v>19</v>
      </c>
      <c r="D30" s="7" t="s">
        <v>50</v>
      </c>
      <c r="E30" s="20" t="s">
        <v>70</v>
      </c>
      <c r="F30" s="21">
        <v>10</v>
      </c>
      <c r="G30" s="22">
        <v>300</v>
      </c>
      <c r="H30" s="22">
        <v>30</v>
      </c>
      <c r="I30" s="22">
        <v>50</v>
      </c>
      <c r="J30" s="35">
        <v>4</v>
      </c>
      <c r="K30" s="36"/>
      <c r="L30" s="37"/>
      <c r="M30" s="37"/>
      <c r="N30" s="37"/>
      <c r="O30" s="47"/>
      <c r="P30" s="46"/>
    </row>
    <row r="31" spans="1:16">
      <c r="A31" s="5"/>
      <c r="B31" s="10" t="s">
        <v>27</v>
      </c>
      <c r="C31" s="10" t="s">
        <v>2</v>
      </c>
      <c r="D31" s="10" t="s">
        <v>71</v>
      </c>
      <c r="E31" s="23" t="s">
        <v>72</v>
      </c>
      <c r="F31" s="24"/>
      <c r="G31" s="25"/>
      <c r="H31" s="25"/>
      <c r="I31" s="25"/>
      <c r="J31" s="38"/>
      <c r="K31" s="39">
        <v>60</v>
      </c>
      <c r="L31" s="40"/>
      <c r="M31" s="40"/>
      <c r="N31" s="40"/>
      <c r="O31" s="48"/>
      <c r="P31" s="49"/>
    </row>
    <row r="32" spans="1:16">
      <c r="A32" s="8"/>
      <c r="B32" s="7"/>
      <c r="C32" s="7" t="s">
        <v>43</v>
      </c>
      <c r="D32" s="7"/>
      <c r="E32" s="20"/>
      <c r="F32" s="21"/>
      <c r="G32" s="22">
        <f t="shared" ref="G32:P32" si="2">SUM(G27:G31)</f>
        <v>6180</v>
      </c>
      <c r="H32" s="22">
        <f t="shared" si="2"/>
        <v>270</v>
      </c>
      <c r="I32" s="22">
        <f t="shared" si="2"/>
        <v>700</v>
      </c>
      <c r="J32" s="22">
        <f t="shared" si="2"/>
        <v>73</v>
      </c>
      <c r="K32" s="22">
        <f t="shared" si="2"/>
        <v>220</v>
      </c>
      <c r="L32" s="22">
        <f t="shared" si="2"/>
        <v>26.2</v>
      </c>
      <c r="M32" s="22">
        <f t="shared" si="2"/>
        <v>0</v>
      </c>
      <c r="N32" s="22">
        <f t="shared" si="2"/>
        <v>0</v>
      </c>
      <c r="O32" s="22">
        <f t="shared" si="2"/>
        <v>0</v>
      </c>
      <c r="P32" s="22">
        <f t="shared" si="2"/>
        <v>0</v>
      </c>
    </row>
  </sheetData>
  <mergeCells count="6">
    <mergeCell ref="A1:E1"/>
    <mergeCell ref="F1:J1"/>
    <mergeCell ref="K1:O1"/>
    <mergeCell ref="A3:A11"/>
    <mergeCell ref="A12:A26"/>
    <mergeCell ref="A27:A32"/>
  </mergeCells>
  <conditionalFormatting sqref="B32:P32">
    <cfRule type="expression" dxfId="0" priority="1">
      <formula>$D32:$D60='[1]by Months'!#REF!</formula>
    </cfRule>
  </conditionalFormatting>
  <conditionalFormatting sqref="A3:P3 B4:P11 A12:P12 B13:P26 A27:P27 B28:P31">
    <cfRule type="expression" dxfId="0" priority="2">
      <formula>$D3:$D31='[1]by Months'!#REF!</formula>
    </cfRule>
  </conditionalFormatting>
  <dataValidations count="3">
    <dataValidation type="list" allowBlank="1" showInputMessage="1" showErrorMessage="1" sqref="B3:B32">
      <formula1>TIME</formula1>
    </dataValidation>
    <dataValidation type="list" allowBlank="1" showInputMessage="1" showErrorMessage="1" sqref="C3:C32">
      <formula1>ACTION</formula1>
    </dataValidation>
    <dataValidation type="list" allowBlank="1" showInputMessage="1" showErrorMessage="1" sqref="D3:D32">
      <formula1>INDIRECT(C3)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2024-12-13T19:09:00Z</dcterms:created>
  <dcterms:modified xsi:type="dcterms:W3CDTF">2024-12-13T19:18:52Z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35A780D5FC70467DCC155C6750EAAE27_41</vt:lpwstr>
  </property>
  <property fmtid="{D5CDD505-2E9C-101B-9397-08002B2CF9AE}" pid="3" name="KSOProductBuildVer">
    <vt:lpwstr>2052-6.8.2.8850</vt:lpwstr>
  </property>
</Properties>
</file>