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<sst xmlns="http://schemas.openxmlformats.org/spreadsheetml/2006/main" count="16" uniqueCount="13">
  <si>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Source</t>
  </si>
  <si>
    <t>Device</t>
  </si>
  <si>
    <t>Activation Count</t>
  </si>
  <si>
    <t>Restart Count</t>
  </si>
  <si>
    <t>Crash Count</t>
  </si>
  <si>
    <t>% Crash</t>
  </si>
  <si>
    <t>% Restart</t>
  </si>
  <si>
    <t>Mobile Department</t>
  </si>
  <si>
    <t>Workstation</t>
  </si>
  <si>
    <t>Register</t>
  </si>
  <si>
    <t>Total</t>
  </si>
  <si>
    <t>Other Department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</si>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</sst>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Trebuchet MS"/>
      <charset val="134"/>
    </font>
    <font>
      <sz val="10"/>
      <color theme="1"/>
      <name val="Trebuchet MS"/>
      <charset val="134"/>
    </font>
    <font>
      <b/>
      <sz val="10"/>
      <name val="Trebuchet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0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6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0" fontId="2" fillId="0" borderId="6" xfId="0" applyNumberFormat="1" applyFont="1" applyFill="1" applyBorder="1" applyAlignment="1">
      <alignment horizontal="center"/>
    </xf>
    <xf numFmtId="10" fontId="2" fillId="0" borderId="15" xfId="0" applyNumberFormat="1" applyFont="1" applyFill="1" applyBorder="1" applyAlignment="1">
      <alignment horizontal="center"/>
    </xf>
    <xf numFmtId="10" fontId="2" fillId="0" borderId="9" xfId="0" applyNumberFormat="1" applyFont="1" applyFill="1" applyBorder="1" applyAlignment="1">
      <alignment horizontal="center"/>
    </xf>
    <xf numFmtId="10" fontId="2" fillId="0" borderId="16" xfId="0" applyNumberFormat="1" applyFont="1" applyFill="1" applyBorder="1" applyAlignment="1">
      <alignment horizontal="center"/>
    </xf>
    <xf numFmtId="10" fontId="1" fillId="2" borderId="3" xfId="0" applyNumberFormat="1" applyFont="1" applyFill="1" applyBorder="1" applyAlignment="1">
      <alignment horizontal="center"/>
    </xf>
    <xf numFmtId="10" fontId="1" fillId="2" borderId="14" xfId="0" applyNumberFormat="1" applyFont="1" applyFill="1" applyBorder="1" applyAlignment="1">
      <alignment horizontal="center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1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44" zoomScaleNormal="144" workbookViewId="0">
      <selection activeCell="D8" sqref="D8"/>
    </sheetView>
  </sheetViews>
  <sheetFormatPr defaultColWidth="9.23076923076923" defaultRowHeight="16.8" outlineLevelRow="7" outlineLevelCol="6"/>
  <cols>
    <col min="1" max="1" width="18.9038461538462" customWidth="1"/>
    <col min="2" max="2" width="13.6153846153846" customWidth="1"/>
    <col min="3" max="3" width="16.6923076923077" customWidth="1"/>
    <col min="4" max="4" width="18.1346153846154" customWidth="1"/>
    <col min="5" max="5" width="15.6923076923077" customWidth="1"/>
  </cols>
  <sheetData>
    <row r="1" ht="17.55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6" t="s">
        <v>6</v>
      </c>
    </row>
    <row r="2" spans="1:7">
      <c r="A2" s="4" t="s">
        <v>7</v>
      </c>
      <c r="B2" s="5" t="s">
        <v>8</v>
      </c>
      <c r="C2" s="6">
        <v>9635</v>
      </c>
      <c r="D2" s="6">
        <v>494</v>
      </c>
      <c r="E2" s="6">
        <v>14</v>
      </c>
      <c r="F2" s="17">
        <f t="shared" ref="F2:F8" si="0">E2/C2</f>
        <v>0.00145303580695381</v>
      </c>
      <c r="G2" s="18">
        <f t="shared" ref="G2:G8" si="1">D2/C2</f>
        <v>0.0512714063310846</v>
      </c>
    </row>
    <row r="3" ht="17.55" spans="1:7">
      <c r="A3" s="7"/>
      <c r="B3" s="8" t="s">
        <v>9</v>
      </c>
      <c r="C3" s="9">
        <v>3162</v>
      </c>
      <c r="D3" s="9">
        <v>712</v>
      </c>
      <c r="E3" s="9">
        <v>9</v>
      </c>
      <c r="F3" s="19">
        <f t="shared" si="0"/>
        <v>0.00284629981024668</v>
      </c>
      <c r="G3" s="20">
        <f t="shared" si="1"/>
        <v>0.22517394054396</v>
      </c>
    </row>
    <row r="4" ht="17.55" spans="1:7">
      <c r="A4" s="10"/>
      <c r="B4" s="11" t="s">
        <v>10</v>
      </c>
      <c r="C4" s="12">
        <f>SUM(C2:C3)</f>
        <v>12797</v>
      </c>
      <c r="D4" s="12">
        <f>SUM(D2:D3)</f>
        <v>1206</v>
      </c>
      <c r="E4" s="12">
        <f>SUM(E2:E3)</f>
        <v>23</v>
      </c>
      <c r="F4" s="21">
        <f t="shared" si="0"/>
        <v>0.00179729624130656</v>
      </c>
      <c r="G4" s="22">
        <f t="shared" si="1"/>
        <v>0.0942408376963351</v>
      </c>
    </row>
    <row r="5" spans="1:7">
      <c r="A5" s="13" t="s">
        <v>11</v>
      </c>
      <c r="B5" s="5" t="s">
        <v>8</v>
      </c>
      <c r="C5" s="6">
        <v>96</v>
      </c>
      <c r="D5" s="6">
        <v>68</v>
      </c>
      <c r="E5" s="6">
        <v>0</v>
      </c>
      <c r="F5" s="17">
        <f t="shared" si="0"/>
        <v>0</v>
      </c>
      <c r="G5" s="18">
        <f t="shared" si="1"/>
        <v>0.708333333333333</v>
      </c>
    </row>
    <row r="6" ht="17.55" spans="1:7">
      <c r="A6" s="7"/>
      <c r="B6" s="8" t="s">
        <v>9</v>
      </c>
      <c r="C6" s="9">
        <v>664</v>
      </c>
      <c r="D6" s="9">
        <v>997</v>
      </c>
      <c r="E6" s="9">
        <v>2</v>
      </c>
      <c r="F6" s="19">
        <f t="shared" si="0"/>
        <v>0.00301204819277108</v>
      </c>
      <c r="G6" s="18">
        <f t="shared" si="1"/>
        <v>1.50150602409639</v>
      </c>
    </row>
    <row r="7" ht="17.55" spans="1:7">
      <c r="A7" s="14"/>
      <c r="B7" s="11" t="s">
        <v>10</v>
      </c>
      <c r="C7" s="12">
        <f>SUM(C5:C6)</f>
        <v>760</v>
      </c>
      <c r="D7" s="12">
        <f>SUM(D5:D6)</f>
        <v>1065</v>
      </c>
      <c r="E7" s="12">
        <f>SUM(E5:E6)</f>
        <v>2</v>
      </c>
      <c r="F7" s="21">
        <f t="shared" si="0"/>
        <v>0.00263157894736842</v>
      </c>
      <c r="G7" s="22">
        <f t="shared" si="1"/>
        <v>1.40131578947368</v>
      </c>
    </row>
    <row r="8" ht="17.55" spans="1:7">
      <c r="A8" s="15" t="s">
        <v>12</v>
      </c>
      <c r="B8" s="3"/>
      <c r="C8" s="3">
        <f>C4+C7</f>
        <v>13557</v>
      </c>
      <c r="D8" s="3">
        <f>D4+D7</f>
        <v>2271</v>
      </c>
      <c r="E8" s="3">
        <f>E4+E7</f>
        <v>25</v>
      </c>
      <c r="F8" s="23">
        <f t="shared" si="0"/>
        <v>0.00184406579626761</v>
      </c>
      <c r="G8" s="24">
        <f t="shared" si="1"/>
        <v>0.16751493693295</v>
      </c>
    </row>
  </sheetData>
  <mergeCells count="3">
    <mergeCell ref="A8:B8"/>
    <mergeCell ref="A2:A4"/>
    <mergeCell ref="A5:A7"/>
  </mergeCells>
  <conditionalFormatting sqref="E8">
    <cfRule type="expression" dxfId="0" priority="1">
      <formula>$E$8&lt;&gt;'/private/var/folders/80/9c4yq3_x0q58sglmdwq5w2300000gn/T/MicrosoftEdgeDownloads/da95b168-ae2f-4f2b-96de-e07d0d9f1106/[Restart Report-DD MTH YYYY.xlsx]Exception Report'!#REF!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2024-12-10T20:16:57Z</dcterms:created>
  <dcterms:modified xsi:type="dcterms:W3CDTF">2024-12-10T20:36:29Z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A70BDD3E6B4404E539315867E50DE0B0_41</vt:lpwstr>
  </property>
  <property fmtid="{D5CDD505-2E9C-101B-9397-08002B2CF9AE}" pid="3" name="KSOProductBuildVer">
    <vt:lpwstr>2052-6.8.2.8850</vt:lpwstr>
  </property>
</Properties>
</file>