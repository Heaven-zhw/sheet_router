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<sst xmlns="http://schemas.openxmlformats.org/spreadsheetml/2006/main" count="185" uniqueCount="120">
  <si>
    <t>Excess COVID Death Associated with Maintaining Essential Services</t>
  </si>
  <si>
    <t>CALCULATION SHEET - HIDDEN</t>
  </si>
  <si>
    <t>(Px (1-Θ))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</si>
  <si>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</si>
  <si>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THESE ARE THE CALCULATIONS USED FOR THE FINAL RESULTS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</si>
  <si>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</si>
  <si>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</si>
  <si>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</si>
  <si>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</si>
  <si>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</si>
  <si>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</si>
  <si>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</si>
  <si>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</si>
  <si>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</si>
  <si>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</si>
  <si>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</si>
  <si>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</si>
  <si>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</si>
  <si>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</si>
  <si>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</si>
  <si>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</si>
  <si>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</si>
  <si>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</si>
  <si>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</si>
  <si>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</si>
  <si>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</si>
  <si>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</si>
  <si>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</t>
  </si>
  <si>
    <t>Antenatal Care</t>
  </si>
  <si>
    <t>Delivery Care</t>
  </si>
  <si>
    <t>H</t>
  </si>
  <si>
    <t>Newborn Care</t>
  </si>
  <si>
    <t>Breastfeeding</t>
  </si>
  <si>
    <t>Vaccines</t>
  </si>
  <si>
    <t>C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</si>
  <si>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</si>
  <si>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</si>
  <si>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</si>
  <si>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</si>
  <si>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</si>
  <si>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</si>
  <si>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</si>
  <si>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</si>
  <si>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</si>
  <si>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</si>
  <si>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</si>
  <si>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</si>
  <si>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</si>
  <si>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</si>
  <si>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</si>
  <si>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</si>
  <si>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</si>
  <si>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</si>
  <si>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</si>
  <si>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</si>
  <si>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</si>
  <si>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</si>
  <si>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</si>
  <si>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</si>
  <si>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</si>
  <si>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</si>
  <si>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Hospitalization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</si>
  <si>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</si>
  <si>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</si>
  <si>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</si>
  <si>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</si>
  <si>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</si>
  <si>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</si>
  <si>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</si>
  <si>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</si>
  <si>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</si>
  <si>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</si>
  <si>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</si>
  <si>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</si>
  <si>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</si>
  <si>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</si>
  <si>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</si>
  <si>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</si>
  <si>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</si>
  <si>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</si>
  <si>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</si>
  <si>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</si>
  <si>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</si>
  <si>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</si>
  <si>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</si>
  <si>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</si>
  <si>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</si>
  <si>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</si>
  <si>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</si>
  <si>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</si>
  <si>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</si>
  <si>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</si>
  <si>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</si>
  <si>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</si>
  <si>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</si>
  <si>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</si>
  <si>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</si>
  <si>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</si>
  <si>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Child + Caretaker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</si>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</sst>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%"/>
    <numFmt numFmtId="178" formatCode="0.000%"/>
  </numFmts>
  <fonts count="45">
    <font>
      <sz val="11"/>
      <color theme="1"/>
      <name val="宋体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宋体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宋体"/>
      <charset val="134"/>
      <scheme val="minor"/>
    </font>
    <font>
      <b/>
      <sz val="8"/>
      <color theme="0"/>
      <name val="Century Gothic"/>
      <charset val="134"/>
    </font>
    <font>
      <b/>
      <sz val="9"/>
      <color theme="0"/>
      <name val="Century Gothic"/>
      <charset val="134"/>
    </font>
    <font>
      <b/>
      <sz val="8"/>
      <color theme="0"/>
      <name val="Arial Narrow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宋体"/>
      <charset val="134"/>
      <scheme val="minor"/>
    </font>
    <font>
      <sz val="8"/>
      <color rgb="FFFF0000"/>
      <name val="Century Gothic"/>
      <charset val="134"/>
    </font>
    <font>
      <sz val="8"/>
      <color rgb="FFC00000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0" borderId="1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21" borderId="17" applyNumberFormat="0" applyAlignment="0" applyProtection="0">
      <alignment vertical="center"/>
    </xf>
    <xf numFmtId="0" fontId="32" fillId="22" borderId="18" applyNumberFormat="0" applyAlignment="0" applyProtection="0">
      <alignment vertical="center"/>
    </xf>
    <xf numFmtId="0" fontId="33" fillId="22" borderId="17" applyNumberFormat="0" applyAlignment="0" applyProtection="0">
      <alignment vertical="center"/>
    </xf>
    <xf numFmtId="0" fontId="34" fillId="23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0" fillId="0" borderId="0"/>
    <xf numFmtId="0" fontId="12" fillId="0" borderId="0"/>
  </cellStyleXfs>
  <cellXfs count="13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wrapText="1"/>
    </xf>
    <xf numFmtId="0" fontId="9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Continuous" wrapText="1"/>
    </xf>
    <xf numFmtId="0" fontId="11" fillId="5" borderId="3" xfId="50" applyFont="1" applyFill="1" applyBorder="1" applyAlignment="1">
      <alignment vertical="center"/>
    </xf>
    <xf numFmtId="0" fontId="12" fillId="5" borderId="3" xfId="50" applyFont="1" applyFill="1" applyBorder="1" applyAlignment="1">
      <alignment vertical="center"/>
    </xf>
    <xf numFmtId="3" fontId="13" fillId="0" borderId="4" xfId="0" applyNumberFormat="1" applyFont="1" applyFill="1" applyBorder="1" applyAlignment="1"/>
    <xf numFmtId="176" fontId="13" fillId="0" borderId="4" xfId="0" applyNumberFormat="1" applyFont="1" applyFill="1" applyBorder="1" applyAlignment="1"/>
    <xf numFmtId="0" fontId="11" fillId="6" borderId="3" xfId="50" applyFont="1" applyFill="1" applyBorder="1" applyAlignment="1">
      <alignment vertical="center"/>
    </xf>
    <xf numFmtId="0" fontId="14" fillId="6" borderId="3" xfId="50" applyFont="1" applyFill="1" applyBorder="1" applyAlignment="1">
      <alignment vertical="center"/>
    </xf>
    <xf numFmtId="0" fontId="11" fillId="7" borderId="3" xfId="50" applyFont="1" applyFill="1" applyBorder="1" applyAlignment="1">
      <alignment vertical="center"/>
    </xf>
    <xf numFmtId="0" fontId="14" fillId="7" borderId="3" xfId="50" applyFont="1" applyFill="1" applyBorder="1" applyAlignment="1">
      <alignment vertical="center"/>
    </xf>
    <xf numFmtId="0" fontId="14" fillId="5" borderId="3" xfId="5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4" fillId="8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0" fontId="11" fillId="10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1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 wrapText="1"/>
    </xf>
    <xf numFmtId="0" fontId="11" fillId="12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vertical="center"/>
    </xf>
    <xf numFmtId="0" fontId="12" fillId="5" borderId="4" xfId="0" applyFont="1" applyFill="1" applyBorder="1" applyAlignment="1">
      <alignment vertical="center"/>
    </xf>
    <xf numFmtId="0" fontId="11" fillId="5" borderId="4" xfId="5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11" fillId="5" borderId="5" xfId="50" applyFont="1" applyFill="1" applyBorder="1" applyAlignment="1">
      <alignment horizontal="center" vertical="center"/>
    </xf>
    <xf numFmtId="0" fontId="15" fillId="6" borderId="5" xfId="49" applyFont="1" applyFill="1" applyBorder="1"/>
    <xf numFmtId="0" fontId="11" fillId="6" borderId="7" xfId="50" applyFont="1" applyFill="1" applyBorder="1" applyAlignment="1">
      <alignment horizontal="center" vertical="center"/>
    </xf>
    <xf numFmtId="0" fontId="11" fillId="6" borderId="8" xfId="50" applyFont="1" applyFill="1" applyBorder="1" applyAlignment="1">
      <alignment horizontal="center" vertical="center"/>
    </xf>
    <xf numFmtId="0" fontId="11" fillId="6" borderId="4" xfId="50" applyFont="1" applyFill="1" applyBorder="1" applyAlignment="1">
      <alignment horizontal="center" vertical="center"/>
    </xf>
    <xf numFmtId="3" fontId="13" fillId="13" borderId="4" xfId="0" applyNumberFormat="1" applyFont="1" applyFill="1" applyBorder="1" applyAlignment="1"/>
    <xf numFmtId="3" fontId="13" fillId="14" borderId="4" xfId="0" applyNumberFormat="1" applyFont="1" applyFill="1" applyBorder="1" applyAlignment="1"/>
    <xf numFmtId="176" fontId="13" fillId="13" borderId="4" xfId="0" applyNumberFormat="1" applyFont="1" applyFill="1" applyBorder="1" applyAlignment="1"/>
    <xf numFmtId="0" fontId="15" fillId="14" borderId="5" xfId="49" applyFont="1" applyFill="1" applyBorder="1"/>
    <xf numFmtId="0" fontId="11" fillId="14" borderId="7" xfId="50" applyFont="1" applyFill="1" applyBorder="1" applyAlignment="1">
      <alignment horizontal="left" vertical="center"/>
    </xf>
    <xf numFmtId="0" fontId="12" fillId="14" borderId="9" xfId="0" applyFont="1" applyFill="1" applyBorder="1" applyAlignment="1"/>
    <xf numFmtId="0" fontId="11" fillId="14" borderId="8" xfId="50" applyFont="1" applyFill="1" applyBorder="1" applyAlignment="1">
      <alignment horizontal="left" vertical="center"/>
    </xf>
    <xf numFmtId="0" fontId="15" fillId="14" borderId="9" xfId="49" applyFont="1" applyFill="1" applyBorder="1"/>
    <xf numFmtId="0" fontId="12" fillId="14" borderId="5" xfId="0" applyFont="1" applyFill="1" applyBorder="1" applyAlignment="1"/>
    <xf numFmtId="0" fontId="11" fillId="14" borderId="4" xfId="50" applyFont="1" applyFill="1" applyBorder="1" applyAlignment="1">
      <alignment horizontal="left" vertical="center"/>
    </xf>
    <xf numFmtId="0" fontId="12" fillId="5" borderId="9" xfId="0" applyFont="1" applyFill="1" applyBorder="1" applyAlignment="1"/>
    <xf numFmtId="0" fontId="15" fillId="5" borderId="9" xfId="49" applyFont="1" applyFill="1" applyBorder="1"/>
    <xf numFmtId="0" fontId="11" fillId="5" borderId="7" xfId="5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/>
    </xf>
    <xf numFmtId="0" fontId="11" fillId="5" borderId="8" xfId="50" applyFont="1" applyFill="1" applyBorder="1" applyAlignment="1">
      <alignment horizontal="center" vertical="center"/>
    </xf>
    <xf numFmtId="0" fontId="16" fillId="5" borderId="9" xfId="0" applyFont="1" applyFill="1" applyBorder="1" applyAlignment="1"/>
    <xf numFmtId="0" fontId="16" fillId="5" borderId="5" xfId="0" applyFont="1" applyFill="1" applyBorder="1" applyAlignment="1"/>
    <xf numFmtId="0" fontId="12" fillId="5" borderId="5" xfId="0" applyFont="1" applyFill="1" applyBorder="1" applyAlignment="1"/>
    <xf numFmtId="0" fontId="15" fillId="8" borderId="10" xfId="49" applyFont="1" applyFill="1" applyBorder="1"/>
    <xf numFmtId="0" fontId="11" fillId="8" borderId="5" xfId="0" applyFont="1" applyFill="1" applyBorder="1" applyAlignment="1">
      <alignment horizontal="center" vertical="center"/>
    </xf>
    <xf numFmtId="0" fontId="15" fillId="8" borderId="5" xfId="49" applyFont="1" applyFill="1" applyBorder="1"/>
    <xf numFmtId="0" fontId="17" fillId="0" borderId="5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7" fillId="3" borderId="11" xfId="0" applyFont="1" applyFill="1" applyBorder="1" applyAlignment="1">
      <alignment horizontal="center" wrapText="1"/>
    </xf>
    <xf numFmtId="0" fontId="18" fillId="3" borderId="12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/>
    </xf>
    <xf numFmtId="0" fontId="18" fillId="15" borderId="13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 wrapText="1"/>
    </xf>
    <xf numFmtId="9" fontId="13" fillId="0" borderId="4" xfId="3" applyFont="1" applyBorder="1" applyAlignment="1"/>
    <xf numFmtId="177" fontId="19" fillId="16" borderId="4" xfId="3" applyNumberFormat="1" applyFont="1" applyFill="1" applyBorder="1" applyAlignment="1">
      <alignment vertical="center"/>
    </xf>
    <xf numFmtId="177" fontId="13" fillId="0" borderId="4" xfId="3" applyNumberFormat="1" applyFont="1" applyFill="1" applyBorder="1" applyAlignment="1">
      <alignment vertical="center"/>
    </xf>
    <xf numFmtId="10" fontId="19" fillId="16" borderId="4" xfId="3" applyNumberFormat="1" applyFont="1" applyFill="1" applyBorder="1" applyAlignment="1">
      <alignment vertical="center"/>
    </xf>
    <xf numFmtId="177" fontId="19" fillId="13" borderId="4" xfId="3" applyNumberFormat="1" applyFont="1" applyFill="1" applyBorder="1" applyAlignment="1">
      <alignment vertical="center"/>
    </xf>
    <xf numFmtId="10" fontId="19" fillId="13" borderId="4" xfId="3" applyNumberFormat="1" applyFont="1" applyFill="1" applyBorder="1" applyAlignment="1">
      <alignment vertical="center"/>
    </xf>
    <xf numFmtId="177" fontId="19" fillId="9" borderId="4" xfId="3" applyNumberFormat="1" applyFont="1" applyFill="1" applyBorder="1" applyAlignment="1">
      <alignment vertical="center"/>
    </xf>
    <xf numFmtId="3" fontId="13" fillId="9" borderId="4" xfId="0" applyNumberFormat="1" applyFont="1" applyFill="1" applyBorder="1" applyAlignment="1"/>
    <xf numFmtId="176" fontId="13" fillId="9" borderId="4" xfId="0" applyNumberFormat="1" applyFont="1" applyFill="1" applyBorder="1" applyAlignment="1"/>
    <xf numFmtId="10" fontId="19" fillId="9" borderId="4" xfId="3" applyNumberFormat="1" applyFont="1" applyFill="1" applyBorder="1" applyAlignment="1">
      <alignment vertical="center"/>
    </xf>
    <xf numFmtId="9" fontId="6" fillId="4" borderId="0" xfId="3" applyFont="1" applyFill="1" applyAlignment="1">
      <alignment horizontal="center" wrapText="1"/>
    </xf>
    <xf numFmtId="178" fontId="19" fillId="16" borderId="4" xfId="3" applyNumberFormat="1" applyFont="1" applyFill="1" applyBorder="1" applyAlignment="1">
      <alignment vertical="center"/>
    </xf>
    <xf numFmtId="9" fontId="13" fillId="13" borderId="4" xfId="3" applyFont="1" applyFill="1" applyBorder="1" applyAlignment="1"/>
    <xf numFmtId="0" fontId="18" fillId="17" borderId="13" xfId="0" applyFont="1" applyFill="1" applyBorder="1" applyAlignment="1">
      <alignment horizontal="center"/>
    </xf>
    <xf numFmtId="0" fontId="18" fillId="18" borderId="13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center" wrapText="1"/>
    </xf>
    <xf numFmtId="0" fontId="6" fillId="18" borderId="1" xfId="0" applyFont="1" applyFill="1" applyBorder="1" applyAlignment="1">
      <alignment horizontal="center" wrapText="1"/>
    </xf>
    <xf numFmtId="0" fontId="20" fillId="0" borderId="0" xfId="0" applyFont="1" applyFill="1" applyAlignment="1"/>
    <xf numFmtId="0" fontId="21" fillId="0" borderId="0" xfId="0" applyFont="1" applyFill="1" applyAlignment="1"/>
    <xf numFmtId="0" fontId="18" fillId="2" borderId="13" xfId="0" applyFont="1" applyFill="1" applyBorder="1" applyAlignment="1">
      <alignment horizontal="center" wrapText="1"/>
    </xf>
    <xf numFmtId="10" fontId="19" fillId="7" borderId="4" xfId="3" applyNumberFormat="1" applyFont="1" applyFill="1" applyBorder="1" applyAlignment="1">
      <alignment vertical="center"/>
    </xf>
    <xf numFmtId="0" fontId="21" fillId="16" borderId="0" xfId="0" applyFont="1" applyFill="1" applyAlignment="1"/>
    <xf numFmtId="0" fontId="22" fillId="0" borderId="0" xfId="0" applyFont="1" applyFill="1" applyAlignment="1"/>
    <xf numFmtId="0" fontId="12" fillId="8" borderId="9" xfId="0" applyFont="1" applyFill="1" applyBorder="1" applyAlignment="1"/>
    <xf numFmtId="0" fontId="12" fillId="8" borderId="5" xfId="0" applyFont="1" applyFill="1" applyBorder="1" applyAlignment="1"/>
    <xf numFmtId="0" fontId="12" fillId="9" borderId="9" xfId="0" applyFont="1" applyFill="1" applyBorder="1" applyAlignment="1"/>
    <xf numFmtId="0" fontId="11" fillId="9" borderId="5" xfId="0" applyFont="1" applyFill="1" applyBorder="1" applyAlignment="1">
      <alignment horizontal="center" vertical="center"/>
    </xf>
    <xf numFmtId="0" fontId="12" fillId="9" borderId="5" xfId="0" applyFont="1" applyFill="1" applyBorder="1" applyAlignment="1"/>
    <xf numFmtId="0" fontId="16" fillId="9" borderId="5" xfId="0" applyFont="1" applyFill="1" applyBorder="1" applyAlignment="1"/>
    <xf numFmtId="0" fontId="12" fillId="10" borderId="9" xfId="0" applyFont="1" applyFill="1" applyBorder="1" applyAlignment="1"/>
    <xf numFmtId="0" fontId="11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/>
    <xf numFmtId="3" fontId="13" fillId="10" borderId="4" xfId="0" applyNumberFormat="1" applyFont="1" applyFill="1" applyBorder="1" applyAlignment="1"/>
    <xf numFmtId="176" fontId="13" fillId="10" borderId="4" xfId="0" applyNumberFormat="1" applyFont="1" applyFill="1" applyBorder="1" applyAlignment="1"/>
    <xf numFmtId="0" fontId="12" fillId="10" borderId="5" xfId="0" applyFont="1" applyFill="1" applyBorder="1" applyAlignment="1">
      <alignment horizontal="left"/>
    </xf>
    <xf numFmtId="0" fontId="12" fillId="11" borderId="9" xfId="0" applyFont="1" applyFill="1" applyBorder="1" applyAlignment="1"/>
    <xf numFmtId="0" fontId="11" fillId="11" borderId="5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left"/>
    </xf>
    <xf numFmtId="3" fontId="13" fillId="11" borderId="4" xfId="0" applyNumberFormat="1" applyFont="1" applyFill="1" applyBorder="1" applyAlignment="1"/>
    <xf numFmtId="176" fontId="13" fillId="11" borderId="4" xfId="0" applyNumberFormat="1" applyFont="1" applyFill="1" applyBorder="1" applyAlignment="1"/>
    <xf numFmtId="0" fontId="15" fillId="19" borderId="9" xfId="49" applyFont="1" applyFill="1" applyBorder="1"/>
    <xf numFmtId="0" fontId="12" fillId="19" borderId="9" xfId="0" applyFont="1" applyFill="1" applyBorder="1" applyAlignment="1"/>
    <xf numFmtId="0" fontId="11" fillId="12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/>
    <xf numFmtId="3" fontId="13" fillId="12" borderId="4" xfId="0" applyNumberFormat="1" applyFont="1" applyFill="1" applyBorder="1" applyAlignment="1"/>
    <xf numFmtId="176" fontId="13" fillId="12" borderId="4" xfId="0" applyNumberFormat="1" applyFont="1" applyFill="1" applyBorder="1" applyAlignment="1"/>
    <xf numFmtId="9" fontId="13" fillId="9" borderId="4" xfId="3" applyFont="1" applyFill="1" applyBorder="1" applyAlignment="1"/>
    <xf numFmtId="9" fontId="13" fillId="10" borderId="4" xfId="3" applyFont="1" applyFill="1" applyBorder="1" applyAlignment="1"/>
    <xf numFmtId="177" fontId="19" fillId="10" borderId="4" xfId="3" applyNumberFormat="1" applyFont="1" applyFill="1" applyBorder="1" applyAlignment="1">
      <alignment vertical="center"/>
    </xf>
    <xf numFmtId="10" fontId="19" fillId="10" borderId="4" xfId="3" applyNumberFormat="1" applyFont="1" applyFill="1" applyBorder="1" applyAlignment="1">
      <alignment vertical="center"/>
    </xf>
    <xf numFmtId="9" fontId="13" fillId="11" borderId="4" xfId="3" applyFont="1" applyFill="1" applyBorder="1" applyAlignment="1"/>
    <xf numFmtId="177" fontId="19" fillId="11" borderId="4" xfId="3" applyNumberFormat="1" applyFont="1" applyFill="1" applyBorder="1" applyAlignment="1">
      <alignment vertical="center"/>
    </xf>
    <xf numFmtId="10" fontId="19" fillId="11" borderId="4" xfId="3" applyNumberFormat="1" applyFont="1" applyFill="1" applyBorder="1" applyAlignment="1">
      <alignment vertical="center"/>
    </xf>
    <xf numFmtId="9" fontId="13" fillId="12" borderId="4" xfId="3" applyFont="1" applyFill="1" applyBorder="1" applyAlignment="1"/>
    <xf numFmtId="177" fontId="19" fillId="12" borderId="4" xfId="3" applyNumberFormat="1" applyFont="1" applyFill="1" applyBorder="1" applyAlignment="1">
      <alignment vertical="center"/>
    </xf>
    <xf numFmtId="10" fontId="19" fillId="12" borderId="4" xfId="3" applyNumberFormat="1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</row>
        <row r="5"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</row>
        <row r="6"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</row>
        <row r="7">
          <cell r="DH7">
            <v>0</v>
          </cell>
        </row>
        <row r="7"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</row>
        <row r="7"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</row>
        <row r="5">
          <cell r="E5" t="str">
            <v>FP - Pills</v>
          </cell>
          <cell r="F5">
            <v>0.166351625</v>
          </cell>
          <cell r="G5">
            <v>0.13141778375</v>
          </cell>
          <cell r="H5">
            <v>0.13141778375</v>
          </cell>
          <cell r="I5">
            <v>0.1696786575</v>
          </cell>
          <cell r="J5">
            <v>0.1497164625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</row>
        <row r="6">
          <cell r="E6" t="str">
            <v>FP - Condoms</v>
          </cell>
          <cell r="F6">
            <v>0.033270325</v>
          </cell>
          <cell r="G6">
            <v>0.02628355675</v>
          </cell>
          <cell r="H6">
            <v>0.02628355675</v>
          </cell>
          <cell r="I6">
            <v>0.0339357315</v>
          </cell>
          <cell r="J6">
            <v>0.0299432925</v>
          </cell>
          <cell r="K6">
            <v>0.045813237525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</row>
        <row r="7">
          <cell r="E7" t="str">
            <v>FP - Injectables</v>
          </cell>
          <cell r="F7">
            <v>0.0405482</v>
          </cell>
          <cell r="G7">
            <v>0.032033078</v>
          </cell>
          <cell r="H7">
            <v>0.032033078</v>
          </cell>
          <cell r="I7">
            <v>0.041359164</v>
          </cell>
          <cell r="J7">
            <v>0.03649338</v>
          </cell>
          <cell r="K7">
            <v>0.0558348714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</row>
        <row r="8">
          <cell r="E8" t="str">
            <v>FP - Implants</v>
          </cell>
          <cell r="F8">
            <v>0.002079385</v>
          </cell>
          <cell r="G8">
            <v>0.00164271415</v>
          </cell>
          <cell r="H8">
            <v>0.00164271415</v>
          </cell>
          <cell r="I8">
            <v>0.0021209727</v>
          </cell>
          <cell r="J8">
            <v>0.0018714465</v>
          </cell>
          <cell r="K8">
            <v>0.002863313145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</row>
        <row r="9">
          <cell r="E9" t="str">
            <v>FP - IUD</v>
          </cell>
          <cell r="F9">
            <v>0.09149338</v>
          </cell>
          <cell r="G9">
            <v>0.0722797702</v>
          </cell>
          <cell r="H9">
            <v>0.0722797702</v>
          </cell>
          <cell r="I9">
            <v>0.0933232476</v>
          </cell>
          <cell r="J9">
            <v>0.082344042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</row>
        <row r="10">
          <cell r="E10" t="str">
            <v>FP - Female Sterilization</v>
          </cell>
          <cell r="F10">
            <v>0.03119094</v>
          </cell>
          <cell r="G10">
            <v>0.0246408426</v>
          </cell>
          <cell r="H10">
            <v>0.0246408426</v>
          </cell>
          <cell r="I10">
            <v>0.0318147588</v>
          </cell>
          <cell r="J10">
            <v>0.028071846</v>
          </cell>
          <cell r="K10">
            <v>0.04294992438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</row>
        <row r="11">
          <cell r="E11" t="str">
            <v>FP - Male Sterilization</v>
          </cell>
          <cell r="F11">
            <v>0.00103972</v>
          </cell>
          <cell r="G11">
            <v>0.0008213788</v>
          </cell>
          <cell r="H11">
            <v>0.0008213788</v>
          </cell>
          <cell r="I11">
            <v>0.0010605144</v>
          </cell>
          <cell r="J11">
            <v>0.000935748</v>
          </cell>
          <cell r="K11">
            <v>0.00143169444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</row>
        <row r="12">
          <cell r="E12" t="str">
            <v>FP - Traditional Methods + Other</v>
          </cell>
          <cell r="F12">
            <v>0.1736295</v>
          </cell>
          <cell r="G12">
            <v>0.137167305</v>
          </cell>
          <cell r="H12">
            <v>0.137167305</v>
          </cell>
          <cell r="I12">
            <v>0.17710209</v>
          </cell>
          <cell r="J12">
            <v>0.15626655</v>
          </cell>
          <cell r="K12">
            <v>0.2390878215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</v>
          </cell>
          <cell r="H13">
            <v>0.54312</v>
          </cell>
          <cell r="I13">
            <v>0.7766616</v>
          </cell>
          <cell r="J13">
            <v>0.7884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</row>
        <row r="14">
          <cell r="E14" t="str">
            <v>Antenatal care (at least 4 visits)</v>
          </cell>
          <cell r="F14">
            <v>0.679</v>
          </cell>
          <cell r="G14">
            <v>0.42098</v>
          </cell>
          <cell r="H14">
            <v>0.42098</v>
          </cell>
          <cell r="I14">
            <v>0.6020014</v>
          </cell>
          <cell r="J14">
            <v>0.6111</v>
          </cell>
          <cell r="K14">
            <v>0.873873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</row>
        <row r="15">
          <cell r="E15" t="str">
            <v>TT - Tetanus toxoid vaccination</v>
          </cell>
          <cell r="F15">
            <v>0.75</v>
          </cell>
          <cell r="G15">
            <v>0.465</v>
          </cell>
          <cell r="H15">
            <v>0.465</v>
          </cell>
          <cell r="I15">
            <v>0.66495</v>
          </cell>
          <cell r="J15">
            <v>0.675</v>
          </cell>
          <cell r="K15">
            <v>0.96525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</row>
        <row r="16"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</row>
        <row r="17">
          <cell r="E17" t="str">
            <v>Syphilis detection and treatment</v>
          </cell>
          <cell r="F17">
            <v>0.217</v>
          </cell>
          <cell r="G17">
            <v>0.13454</v>
          </cell>
          <cell r="H17">
            <v>0.13454</v>
          </cell>
          <cell r="I17">
            <v>0.1923922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</row>
        <row r="18"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</row>
        <row r="19"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</row>
        <row r="20"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</row>
        <row r="21"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</row>
        <row r="22">
          <cell r="E22" t="str">
            <v>Hypertensive disorder case management</v>
          </cell>
          <cell r="F22">
            <v>0.163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</row>
        <row r="23">
          <cell r="E23" t="str">
            <v>Diabetes case management</v>
          </cell>
          <cell r="F23">
            <v>0.127</v>
          </cell>
          <cell r="G23">
            <v>0.07874</v>
          </cell>
          <cell r="H23">
            <v>0.07874</v>
          </cell>
          <cell r="I23">
            <v>0.1086612</v>
          </cell>
          <cell r="J23">
            <v>0.1143</v>
          </cell>
          <cell r="K23">
            <v>0.157734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</row>
        <row r="24">
          <cell r="E24" t="str">
            <v>Malaria case management</v>
          </cell>
          <cell r="F24">
            <v>0.527</v>
          </cell>
          <cell r="G24">
            <v>0.32674</v>
          </cell>
          <cell r="H24">
            <v>0.32674</v>
          </cell>
          <cell r="I24">
            <v>0.4509012</v>
          </cell>
          <cell r="J24">
            <v>0.4743</v>
          </cell>
          <cell r="K24">
            <v>0.654534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</row>
        <row r="25">
          <cell r="E25" t="str">
            <v>MgSO4 management of pre-eclampsia</v>
          </cell>
          <cell r="F25">
            <v>0.323</v>
          </cell>
          <cell r="G25">
            <v>0.20026</v>
          </cell>
          <cell r="H25">
            <v>0.20026</v>
          </cell>
          <cell r="I25">
            <v>0.2863718</v>
          </cell>
          <cell r="J25">
            <v>0.2907</v>
          </cell>
          <cell r="K25">
            <v>0.415701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0.866</v>
          </cell>
          <cell r="G26">
            <v>0.83136</v>
          </cell>
          <cell r="H26">
            <v>0.83136</v>
          </cell>
          <cell r="I26">
            <v>0.88332</v>
          </cell>
          <cell r="J26">
            <v>0.7794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</row>
        <row r="27">
          <cell r="E27" t="str">
            <v>Clean birth environment</v>
          </cell>
          <cell r="F27">
            <v>0.71</v>
          </cell>
          <cell r="G27">
            <v>0.6816</v>
          </cell>
          <cell r="H27">
            <v>0.6816</v>
          </cell>
          <cell r="I27">
            <v>0.7242</v>
          </cell>
          <cell r="J27">
            <v>0.639</v>
          </cell>
          <cell r="K27">
            <v>0.84987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</row>
        <row r="28">
          <cell r="E28" t="str">
            <v>Manual removal of placenta</v>
          </cell>
          <cell r="F28">
            <v>0.324</v>
          </cell>
          <cell r="G28">
            <v>0.31104</v>
          </cell>
          <cell r="H28">
            <v>0.31104</v>
          </cell>
          <cell r="I28">
            <v>0.33048</v>
          </cell>
          <cell r="J28">
            <v>0.2916</v>
          </cell>
          <cell r="K28">
            <v>0.387828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</row>
        <row r="29">
          <cell r="E29" t="str">
            <v>MgSO4 management of eclampsia</v>
          </cell>
          <cell r="F29">
            <v>0.619</v>
          </cell>
          <cell r="G29">
            <v>0.59424</v>
          </cell>
          <cell r="H29">
            <v>0.59424</v>
          </cell>
          <cell r="I29">
            <v>0.63138</v>
          </cell>
          <cell r="J29">
            <v>0.5571</v>
          </cell>
          <cell r="K29">
            <v>0.740943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</row>
        <row r="30">
          <cell r="E30" t="str">
            <v>Antibiotics for preterm or prolonged PROM</v>
          </cell>
          <cell r="F30">
            <v>0.648</v>
          </cell>
          <cell r="G30">
            <v>0.62208</v>
          </cell>
          <cell r="H30">
            <v>0.62208</v>
          </cell>
          <cell r="I30">
            <v>0.66096</v>
          </cell>
          <cell r="J30">
            <v>0.5832</v>
          </cell>
          <cell r="K30">
            <v>0.804816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</row>
        <row r="31">
          <cell r="E31" t="str">
            <v>Parenteral administration of antibiotics</v>
          </cell>
          <cell r="F31">
            <v>0.648</v>
          </cell>
          <cell r="G31">
            <v>0.62208</v>
          </cell>
          <cell r="H31">
            <v>0.62208</v>
          </cell>
          <cell r="I31">
            <v>0.66096</v>
          </cell>
          <cell r="J31">
            <v>0.5832</v>
          </cell>
          <cell r="K31">
            <v>0.804816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</row>
        <row r="32">
          <cell r="E32" t="str">
            <v>Assisted vaginal delivery</v>
          </cell>
          <cell r="F32">
            <v>0.219</v>
          </cell>
          <cell r="G32">
            <v>0.21024</v>
          </cell>
          <cell r="H32">
            <v>0.21024</v>
          </cell>
          <cell r="I32">
            <v>0.22338</v>
          </cell>
          <cell r="J32">
            <v>0.1971</v>
          </cell>
          <cell r="K32">
            <v>0.271998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</row>
        <row r="33">
          <cell r="E33" t="str">
            <v>Active management of third stage of labor (AMTSL)</v>
          </cell>
          <cell r="F33">
            <v>0.774</v>
          </cell>
          <cell r="G33">
            <v>0.74304</v>
          </cell>
          <cell r="H33">
            <v>0.74304</v>
          </cell>
          <cell r="I33">
            <v>0.78948</v>
          </cell>
          <cell r="J33">
            <v>0.6966</v>
          </cell>
          <cell r="K33">
            <v>0.926478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</row>
        <row r="34">
          <cell r="E34" t="str">
            <v>Removal of retained products of conception</v>
          </cell>
          <cell r="F34">
            <v>0.287</v>
          </cell>
          <cell r="G34">
            <v>0.27552</v>
          </cell>
          <cell r="H34">
            <v>0.27552</v>
          </cell>
          <cell r="I34">
            <v>0.29274</v>
          </cell>
          <cell r="J34">
            <v>0.2583</v>
          </cell>
          <cell r="K34">
            <v>0.356454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</row>
        <row r="35">
          <cell r="E35" t="str">
            <v>Induction of labor for pregnancies lasting 41+ weeks</v>
          </cell>
          <cell r="F35">
            <v>0.015</v>
          </cell>
          <cell r="G35">
            <v>0.0144</v>
          </cell>
          <cell r="H35">
            <v>0.0144</v>
          </cell>
          <cell r="I35">
            <v>0.0153</v>
          </cell>
          <cell r="J35">
            <v>0.0135</v>
          </cell>
          <cell r="K35">
            <v>0.01863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</row>
        <row r="36"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</row>
        <row r="37"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</row>
        <row r="38">
          <cell r="E38" t="str">
            <v>Safe abortion services</v>
          </cell>
          <cell r="F38">
            <v>0.4</v>
          </cell>
          <cell r="G38">
            <v>0.384</v>
          </cell>
          <cell r="H38">
            <v>0.384</v>
          </cell>
          <cell r="I38">
            <v>0.384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</row>
        <row r="39"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</row>
        <row r="40">
          <cell r="E40" t="str">
            <v>Cesarean delivery</v>
          </cell>
          <cell r="F40">
            <v>0.332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</v>
          </cell>
          <cell r="K40">
            <v>0.412344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</row>
        <row r="40"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</row>
        <row r="41"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0.0981</v>
          </cell>
          <cell r="K41">
            <v>0.0981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</row>
        <row r="42"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</v>
          </cell>
          <cell r="G43">
            <v>0.64233</v>
          </cell>
          <cell r="H43">
            <v>0.64233</v>
          </cell>
          <cell r="I43">
            <v>0.80886</v>
          </cell>
          <cell r="J43">
            <v>0.7137</v>
          </cell>
          <cell r="K43">
            <v>0.984906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</row>
        <row r="44">
          <cell r="E44" t="str">
            <v>Thermal protection</v>
          </cell>
          <cell r="F44">
            <v>0.856</v>
          </cell>
          <cell r="G44">
            <v>0.69336</v>
          </cell>
          <cell r="H44">
            <v>0.69336</v>
          </cell>
          <cell r="I44">
            <v>0.87312</v>
          </cell>
          <cell r="J44">
            <v>0.7704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</row>
        <row r="45">
          <cell r="E45" t="str">
            <v>Clean cord care</v>
          </cell>
          <cell r="F45">
            <v>0.826</v>
          </cell>
          <cell r="G45">
            <v>0.66906</v>
          </cell>
          <cell r="H45">
            <v>0.66906</v>
          </cell>
          <cell r="I45">
            <v>0.84252</v>
          </cell>
          <cell r="J45">
            <v>0.7434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</row>
        <row r="46">
          <cell r="E46" t="str">
            <v>Neonatal resuscitation</v>
          </cell>
          <cell r="F46">
            <v>0.476</v>
          </cell>
          <cell r="G46">
            <v>0.38556</v>
          </cell>
          <cell r="H46">
            <v>0.38556</v>
          </cell>
          <cell r="I46">
            <v>0.48552</v>
          </cell>
          <cell r="J46">
            <v>0.4284</v>
          </cell>
          <cell r="K46">
            <v>0.591192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</row>
        <row r="48"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</row>
        <row r="49"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</row>
        <row r="51"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</row>
        <row r="52">
          <cell r="E52" t="str">
            <v>Injectable antibiotics for neonatal sepsis</v>
          </cell>
          <cell r="F52">
            <v>0.866</v>
          </cell>
          <cell r="G52">
            <v>0.70146</v>
          </cell>
          <cell r="H52">
            <v>0.70146</v>
          </cell>
          <cell r="I52">
            <v>0.88332</v>
          </cell>
          <cell r="J52">
            <v>0.7794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</row>
        <row r="53"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</v>
          </cell>
          <cell r="G54">
            <v>0.31428</v>
          </cell>
          <cell r="H54">
            <v>0.31428</v>
          </cell>
          <cell r="I54">
            <v>0.33048</v>
          </cell>
          <cell r="J54">
            <v>0.2916</v>
          </cell>
          <cell r="K54">
            <v>0.402408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</row>
        <row r="55">
          <cell r="E55" t="str">
            <v>Complementary feeding - Education only</v>
          </cell>
          <cell r="F55">
            <v>0.601</v>
          </cell>
          <cell r="G55">
            <v>0.58297</v>
          </cell>
          <cell r="H55">
            <v>0.58297</v>
          </cell>
          <cell r="I55">
            <v>0.61302</v>
          </cell>
          <cell r="J55">
            <v>0.5409</v>
          </cell>
          <cell r="K55">
            <v>0.746442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</row>
        <row r="56">
          <cell r="E56" t="str">
            <v>Complementary feeding - Supplementary feeding + Education</v>
          </cell>
          <cell r="F56">
            <v>0.601</v>
          </cell>
          <cell r="G56">
            <v>0.48681</v>
          </cell>
          <cell r="H56">
            <v>0.48681</v>
          </cell>
          <cell r="I56">
            <v>0.61302</v>
          </cell>
          <cell r="J56">
            <v>0.5409</v>
          </cell>
          <cell r="K56">
            <v>0.746442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</v>
          </cell>
          <cell r="H57">
            <v>0.7546</v>
          </cell>
          <cell r="I57">
            <v>0.9996</v>
          </cell>
          <cell r="J57">
            <v>0.882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</row>
        <row r="58">
          <cell r="E58" t="str">
            <v>Polio - Three doses</v>
          </cell>
          <cell r="F58">
            <v>0.85</v>
          </cell>
          <cell r="G58">
            <v>0.6545</v>
          </cell>
          <cell r="H58">
            <v>0.6545</v>
          </cell>
          <cell r="I58">
            <v>0.867</v>
          </cell>
          <cell r="J58">
            <v>0.765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</row>
        <row r="60">
          <cell r="E60" t="str">
            <v>DPT - Three doses</v>
          </cell>
          <cell r="F60">
            <v>0.84</v>
          </cell>
          <cell r="G60">
            <v>0.6468</v>
          </cell>
          <cell r="H60">
            <v>0.6468</v>
          </cell>
          <cell r="I60">
            <v>0.8568</v>
          </cell>
          <cell r="J60">
            <v>0.756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</row>
        <row r="61">
          <cell r="E61" t="str">
            <v>Hib - Three doses</v>
          </cell>
          <cell r="F61">
            <v>0.84</v>
          </cell>
          <cell r="G61">
            <v>0.6468</v>
          </cell>
          <cell r="H61">
            <v>0.6468</v>
          </cell>
          <cell r="I61">
            <v>0.8568</v>
          </cell>
          <cell r="J61">
            <v>0.756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</row>
        <row r="62">
          <cell r="E62" t="str">
            <v>HepB - Three doses</v>
          </cell>
          <cell r="F62">
            <v>0.84</v>
          </cell>
          <cell r="G62">
            <v>0.6468</v>
          </cell>
          <cell r="H62">
            <v>0.6468</v>
          </cell>
          <cell r="I62">
            <v>0.8568</v>
          </cell>
          <cell r="J62">
            <v>0.756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</row>
        <row r="63">
          <cell r="E63" t="str">
            <v>Pneumococcal - Three doses</v>
          </cell>
          <cell r="F63">
            <v>0.37</v>
          </cell>
          <cell r="G63">
            <v>0.2849</v>
          </cell>
          <cell r="H63">
            <v>0.2849</v>
          </cell>
          <cell r="I63">
            <v>0.3774</v>
          </cell>
          <cell r="J63">
            <v>0.333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</row>
        <row r="64">
          <cell r="E64" t="str">
            <v>Rotavirus - Two doses</v>
          </cell>
          <cell r="F64">
            <v>0.05</v>
          </cell>
          <cell r="G64">
            <v>0.0385</v>
          </cell>
          <cell r="H64">
            <v>0.0385</v>
          </cell>
          <cell r="I64">
            <v>0.051</v>
          </cell>
          <cell r="J64">
            <v>0.045</v>
          </cell>
          <cell r="K64">
            <v>0.06525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</row>
        <row r="65"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</row>
        <row r="66"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</row>
        <row r="67">
          <cell r="E67" t="str">
            <v>Measles - Single dose</v>
          </cell>
          <cell r="F67">
            <v>0.82</v>
          </cell>
          <cell r="G67">
            <v>0.6314</v>
          </cell>
          <cell r="H67">
            <v>0.6314</v>
          </cell>
          <cell r="I67">
            <v>0.8364</v>
          </cell>
          <cell r="J67">
            <v>0.738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</row>
        <row r="69"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</row>
        <row r="70">
          <cell r="E70" t="str">
            <v>ORS - Oral Rehydration Solution</v>
          </cell>
          <cell r="F70">
            <v>0.254</v>
          </cell>
          <cell r="G70">
            <v>0.20574</v>
          </cell>
          <cell r="H70">
            <v>0.20574</v>
          </cell>
          <cell r="I70">
            <v>0.25908</v>
          </cell>
          <cell r="J70">
            <v>0.2286</v>
          </cell>
          <cell r="K70">
            <v>0.33147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</row>
        <row r="71"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</row>
        <row r="72">
          <cell r="E72" t="str">
            <v>Zinc for treatment of diarrhea</v>
          </cell>
          <cell r="F72">
            <v>0.074</v>
          </cell>
          <cell r="G72">
            <v>0.05994</v>
          </cell>
          <cell r="H72">
            <v>0.05994</v>
          </cell>
          <cell r="I72">
            <v>0.07548</v>
          </cell>
          <cell r="J72">
            <v>0.0666</v>
          </cell>
          <cell r="K72">
            <v>0.09657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</row>
        <row r="73">
          <cell r="E73" t="str">
            <v>Oral antibiotics for pneumonia</v>
          </cell>
          <cell r="F73">
            <v>0.403</v>
          </cell>
          <cell r="G73">
            <v>0.32643</v>
          </cell>
          <cell r="H73">
            <v>0.32643</v>
          </cell>
          <cell r="I73">
            <v>0.41106</v>
          </cell>
          <cell r="J73">
            <v>0.3627</v>
          </cell>
          <cell r="K73">
            <v>0.525915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</row>
        <row r="74"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</row>
        <row r="75">
          <cell r="E75" t="str">
            <v>ACTs - Artemisinin compounds for treatment of malaria</v>
          </cell>
          <cell r="F75">
            <v>0.5</v>
          </cell>
          <cell r="G75">
            <v>0.405</v>
          </cell>
          <cell r="H75">
            <v>0.405</v>
          </cell>
          <cell r="I75">
            <v>0.51</v>
          </cell>
          <cell r="J75">
            <v>0.45</v>
          </cell>
          <cell r="K75">
            <v>0.6525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</row>
        <row r="77"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</row>
        <row r="4"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</row>
        <row r="5"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</row>
        <row r="6"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</row>
        <row r="7"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</row>
        <row r="8"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</row>
        <row r="9"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</row>
        <row r="10"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</row>
        <row r="11"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</row>
        <row r="12"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</row>
        <row r="13"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</row>
        <row r="14"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</row>
        <row r="15"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</row>
        <row r="16"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</row>
        <row r="17"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</row>
        <row r="18"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</row>
        <row r="19"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</row>
        <row r="20"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</row>
        <row r="21"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</row>
        <row r="22"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</row>
        <row r="23"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</row>
        <row r="24"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</row>
        <row r="25"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</row>
        <row r="26">
          <cell r="I26">
            <v>2</v>
          </cell>
        </row>
        <row r="26"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</row>
        <row r="28"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</row>
        <row r="29"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</row>
        <row r="30"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</row>
        <row r="31"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</row>
        <row r="32"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</row>
        <row r="33">
          <cell r="F33">
            <v>2</v>
          </cell>
          <cell r="G33">
            <v>2</v>
          </cell>
        </row>
        <row r="33"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</row>
        <row r="34"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</row>
        <row r="35"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</row>
        <row r="36"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</row>
        <row r="37"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</row>
        <row r="38"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</row>
        <row r="39"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</row>
        <row r="40"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</row>
        <row r="41"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</row>
        <row r="42"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</row>
        <row r="43">
          <cell r="F43">
            <v>2</v>
          </cell>
          <cell r="G43">
            <v>2</v>
          </cell>
        </row>
        <row r="43">
          <cell r="I43">
            <v>0</v>
          </cell>
        </row>
        <row r="43"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</row>
        <row r="44">
          <cell r="F44">
            <v>2</v>
          </cell>
          <cell r="G44">
            <v>2</v>
          </cell>
        </row>
        <row r="44"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</row>
        <row r="45">
          <cell r="F45">
            <v>1</v>
          </cell>
          <cell r="G45">
            <v>1</v>
          </cell>
        </row>
        <row r="45"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</row>
        <row r="48">
          <cell r="F48">
            <v>1</v>
          </cell>
          <cell r="G48">
            <v>1</v>
          </cell>
        </row>
        <row r="48"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</row>
        <row r="49"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</row>
        <row r="51">
          <cell r="F51">
            <v>1</v>
          </cell>
          <cell r="G51">
            <v>1</v>
          </cell>
        </row>
        <row r="51"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</row>
        <row r="52">
          <cell r="F52">
            <v>1</v>
          </cell>
          <cell r="G52">
            <v>1</v>
          </cell>
        </row>
        <row r="52"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</row>
        <row r="53"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</row>
        <row r="54"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</row>
        <row r="55"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</row>
        <row r="56"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</row>
        <row r="57"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 </v>
          </cell>
          <cell r="F58" t="str">
            <v>Number of Health Workers involved in each Visit</v>
          </cell>
          <cell r="G58" t="str">
            <v>Number of Health Worker Contacts per Case/Episode</v>
          </cell>
        </row>
        <row r="58"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</row>
        <row r="59"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</row>
        <row r="60"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</row>
        <row r="61"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</row>
        <row r="63"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</row>
        <row r="64"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</row>
        <row r="65"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</row>
        <row r="66"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</row>
        <row r="67"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</row>
        <row r="68"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</row>
        <row r="69"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</row>
        <row r="70"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</row>
        <row r="71"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</row>
        <row r="72"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</row>
        <row r="73"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</row>
        <row r="74"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</row>
        <row r="75"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</row>
        <row r="76"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</row>
        <row r="77"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</row>
        <row r="78"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</row>
        <row r="79"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</row>
        <row r="80"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</row>
        <row r="81"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</row>
        <row r="82"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</row>
        <row r="83"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</row>
        <row r="84"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0.333333333333333</v>
          </cell>
        </row>
        <row r="16">
          <cell r="C16">
            <v>5.5</v>
          </cell>
        </row>
        <row r="17">
          <cell r="C17">
            <v>0.00671232876712329</v>
          </cell>
        </row>
        <row r="18">
          <cell r="C18">
            <v>0.0167808219178082</v>
          </cell>
        </row>
        <row r="19">
          <cell r="C19">
            <v>0.0357142857142857</v>
          </cell>
        </row>
        <row r="20">
          <cell r="C20">
            <v>0.0221428571428571</v>
          </cell>
        </row>
        <row r="21">
          <cell r="C21">
            <v>0.0664285714285714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1.61e-5</v>
          </cell>
        </row>
        <row r="52">
          <cell r="C52">
            <v>0.0008464</v>
          </cell>
        </row>
        <row r="53">
          <cell r="C53">
            <v>0.0328379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8"/>
  <sheetViews>
    <sheetView tabSelected="1" topLeftCell="J1" workbookViewId="0">
      <selection activeCell="A1" sqref="A$1:AE$1048576"/>
    </sheetView>
  </sheetViews>
  <sheetFormatPr defaultColWidth="8.72727272727273" defaultRowHeight="14"/>
  <cols>
    <col min="1" max="1" width="5.27272727272727" customWidth="1"/>
    <col min="2" max="2" width="6.36363636363636" customWidth="1"/>
    <col min="3" max="3" width="7.54545454545455" customWidth="1"/>
    <col min="4" max="4" width="98.3636363636364" customWidth="1"/>
    <col min="5" max="5" width="69.2727272727273" customWidth="1"/>
    <col min="6" max="6" width="8.81818181818182" customWidth="1"/>
    <col min="7" max="7" width="32.3636363636364" customWidth="1"/>
    <col min="8" max="8" width="6.81818181818182" customWidth="1"/>
    <col min="9" max="10" width="8.36363636363636" customWidth="1"/>
    <col min="11" max="11" width="8.90909090909091" customWidth="1"/>
    <col min="12" max="12" width="7.18181818181818" customWidth="1"/>
    <col min="13" max="13" width="5.63636363636364" customWidth="1"/>
    <col min="14" max="14" width="37.6363636363636" customWidth="1"/>
    <col min="15" max="15" width="8" customWidth="1"/>
    <col min="16" max="16" width="7.45454545454545" customWidth="1"/>
    <col min="17" max="17" width="5.63636363636364" customWidth="1"/>
    <col min="18" max="18" width="8.36363636363636" customWidth="1"/>
    <col min="19" max="19" width="8" customWidth="1"/>
    <col min="20" max="20" width="7.45454545454545" customWidth="1"/>
    <col min="21" max="21" width="5.63636363636364" customWidth="1"/>
    <col min="22" max="22" width="8.36363636363636" customWidth="1"/>
    <col min="23" max="23" width="8" customWidth="1"/>
    <col min="24" max="24" width="7.18181818181818" customWidth="1"/>
    <col min="25" max="25" width="5.81818181818182" customWidth="1"/>
    <col min="26" max="26" width="60.1818181818182" customWidth="1"/>
    <col min="27" max="27" width="8" customWidth="1"/>
    <col min="28" max="28" width="7.18181818181818" customWidth="1"/>
    <col min="29" max="29" width="5.81818181818182" customWidth="1"/>
    <col min="30" max="30" width="14.5454545454545" customWidth="1"/>
  </cols>
  <sheetData>
    <row r="1" ht="20" spans="1:30">
      <c r="A1" s="1"/>
      <c r="B1" s="2"/>
      <c r="C1" s="3"/>
      <c r="D1" s="2" t="s">
        <v>0</v>
      </c>
      <c r="E1" s="4"/>
      <c r="F1" s="3"/>
      <c r="G1" s="5" t="s">
        <v>1</v>
      </c>
      <c r="H1" s="3"/>
      <c r="I1" s="3"/>
      <c r="J1" s="3"/>
      <c r="K1" s="69" t="s">
        <v>2</v>
      </c>
      <c r="L1" s="3"/>
      <c r="M1" s="3"/>
      <c r="N1" s="69" t="s">
        <v>3</v>
      </c>
      <c r="O1" s="70"/>
      <c r="P1" s="3"/>
      <c r="Q1" s="3"/>
      <c r="R1" s="3"/>
      <c r="S1" s="3"/>
      <c r="T1" s="3"/>
      <c r="U1" s="3"/>
      <c r="V1" s="3"/>
      <c r="W1" s="3"/>
      <c r="X1" s="3"/>
      <c r="Y1" s="3"/>
      <c r="Z1" s="93" t="s">
        <v>4</v>
      </c>
      <c r="AA1" s="3"/>
      <c r="AB1" s="3"/>
      <c r="AC1" s="3"/>
      <c r="AD1" s="94"/>
    </row>
    <row r="2" spans="1:30">
      <c r="A2" s="6" t="s">
        <v>5</v>
      </c>
      <c r="B2" s="6"/>
      <c r="C2" s="6"/>
      <c r="D2" s="3"/>
      <c r="E2" s="4"/>
      <c r="F2" s="7"/>
      <c r="G2" s="8" t="s">
        <v>6</v>
      </c>
      <c r="H2" s="9" t="s">
        <v>7</v>
      </c>
      <c r="I2" s="71"/>
      <c r="J2" s="72" t="s">
        <v>8</v>
      </c>
      <c r="K2" s="73"/>
      <c r="L2" s="73"/>
      <c r="M2" s="73"/>
      <c r="N2" s="74" t="s">
        <v>9</v>
      </c>
      <c r="O2" s="74"/>
      <c r="P2" s="74"/>
      <c r="Q2" s="74"/>
      <c r="R2" s="89" t="s">
        <v>10</v>
      </c>
      <c r="S2" s="89"/>
      <c r="T2" s="89"/>
      <c r="U2" s="89"/>
      <c r="V2" s="90" t="s">
        <v>11</v>
      </c>
      <c r="W2" s="90"/>
      <c r="X2" s="90"/>
      <c r="Y2" s="90"/>
      <c r="Z2" s="95" t="s">
        <v>12</v>
      </c>
      <c r="AA2" s="95"/>
      <c r="AB2" s="95"/>
      <c r="AC2" s="95"/>
      <c r="AD2" s="94"/>
    </row>
    <row r="3" ht="70" spans="1:30">
      <c r="A3" s="10" t="s">
        <v>13</v>
      </c>
      <c r="B3" s="11" t="s">
        <v>14</v>
      </c>
      <c r="C3" s="11" t="s">
        <v>15</v>
      </c>
      <c r="D3" s="12"/>
      <c r="E3" s="13"/>
      <c r="F3" s="7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75" t="s">
        <v>20</v>
      </c>
      <c r="O3" s="75" t="s">
        <v>21</v>
      </c>
      <c r="P3" s="75" t="s">
        <v>22</v>
      </c>
      <c r="Q3" s="75" t="s">
        <v>23</v>
      </c>
      <c r="R3" s="91" t="s">
        <v>20</v>
      </c>
      <c r="S3" s="91" t="s">
        <v>21</v>
      </c>
      <c r="T3" s="91" t="s">
        <v>22</v>
      </c>
      <c r="U3" s="91" t="s">
        <v>23</v>
      </c>
      <c r="V3" s="92" t="s">
        <v>20</v>
      </c>
      <c r="W3" s="92" t="s">
        <v>21</v>
      </c>
      <c r="X3" s="92" t="s">
        <v>22</v>
      </c>
      <c r="Y3" s="92" t="s">
        <v>23</v>
      </c>
      <c r="Z3" s="7" t="s">
        <v>20</v>
      </c>
      <c r="AA3" s="7" t="s">
        <v>21</v>
      </c>
      <c r="AB3" s="7" t="s">
        <v>22</v>
      </c>
      <c r="AC3" s="7" t="s">
        <v>23</v>
      </c>
      <c r="AD3" s="94"/>
    </row>
    <row r="4" ht="42" spans="1:30">
      <c r="A4" s="15"/>
      <c r="B4" s="15" t="str">
        <f>IF('[1]1. Select Services'!$E$13="x","x","")</f>
        <v/>
      </c>
      <c r="C4" s="15"/>
      <c r="D4" s="16" t="s">
        <v>24</v>
      </c>
      <c r="E4" s="17"/>
      <c r="F4" s="18"/>
      <c r="G4" s="19" t="s">
        <v>25</v>
      </c>
      <c r="H4" s="19"/>
      <c r="I4" s="19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94"/>
    </row>
    <row r="5" spans="1:30">
      <c r="A5" s="20"/>
      <c r="B5" s="21">
        <v>0</v>
      </c>
      <c r="C5" s="21">
        <v>0</v>
      </c>
      <c r="D5" s="20" t="s">
        <v>26</v>
      </c>
      <c r="E5" s="20"/>
      <c r="F5" s="22">
        <f>SUM(F$15:F$22)</f>
        <v>106900</v>
      </c>
      <c r="G5" s="23">
        <f>SUMPRODUCT($F$15:$F$22,$G$15:$G$22)/$F$5</f>
        <v>5.18054256314312</v>
      </c>
      <c r="H5" s="23">
        <f>SUMPRODUCT($F$15:$F$22,$H$15:$H$22)/$F5</f>
        <v>5.18054256314312</v>
      </c>
      <c r="I5" s="76">
        <f>SUMPRODUCT($F$15:$F$22,$I$15:$I$22)/SUM($F$15:$F$22)</f>
        <v>0.89</v>
      </c>
      <c r="J5" s="77">
        <f>1-((1-Risk_of_Provider_Being_Infected*_xlfn.SINGLE(Transmission_Risk_Contact_Health_Care_Provider))^(G5)*(1-Risk_of_Community_Member_being_Infected*Transmission_Risk_in_Community)^(G5*Contacts_During_Travel_to_Facility))</f>
        <v>0.00871842056125827</v>
      </c>
      <c r="K5" s="78">
        <f>J5*(1-(Percent_Prevalence_at_End_of_Projection_Period-Percent_Prevalence_at_Beginning_of_Projection_Period))</f>
        <v>0.006684122430298</v>
      </c>
      <c r="L5" s="22">
        <f>$F5*$K5*HH_Size</f>
        <v>4501.5559331328</v>
      </c>
      <c r="M5" s="23">
        <f>$F5*$J5*(HH_Children*Fatality_Rate_Child+HH_Adults*Fatality_Rate_Adult+HH_Over_60*Fatality_Rate_Over_60)</f>
        <v>11.4382485862757</v>
      </c>
      <c r="N5" s="79">
        <f>1-((1-Risk_of_Provider_Being_Infected*_xlfn.SINGLE(Transmission_Risk_Contact_Health_Care_Provider)*(1-Reduction_in_Risk_PPE))^($G5)*(1-Risk_of_Community_Member_being_Infected*Transmission_Risk_in_Community)^($G5*Contacts_During_Travel_to_Facility))</f>
        <v>0.00852751687437714</v>
      </c>
      <c r="O5" s="77">
        <f>N5*(1-(Percent_Prevalence_at_End_of_Projection_Period-Percent_Prevalence_at_Beginning_of_Projection_Period))</f>
        <v>0.00653776293702247</v>
      </c>
      <c r="P5" s="22">
        <f>$F5*$O5*HH_Size</f>
        <v>4402.98720519652</v>
      </c>
      <c r="Q5" s="23">
        <f>$F5*$O5*(HH_Children*Fatality_Rate_Child+HH_Adults*Fatality_Rate_Adult+HH_Over_60*Fatality_Rate_Over_60)</f>
        <v>8.5773056193346</v>
      </c>
      <c r="R5" s="79">
        <f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0.00835570405568642</v>
      </c>
      <c r="S5" s="77">
        <f>R5*(1-(Percent_Prevalence_at_End_of_Projection_Period-Percent_Prevalence_at_Beginning_of_Projection_Period))</f>
        <v>0.00640603977602625</v>
      </c>
      <c r="T5" s="22">
        <f>$F5*$S5*HH_Size</f>
        <v>4314.2756079604</v>
      </c>
      <c r="U5" s="23">
        <f>$F5*$S5*(HH_Children*Fatality_Rate_Child+HH_Adults*Fatality_Rate_Adult+HH_Over_60*Fatality_Rate_Over_60)</f>
        <v>8.4044896546242</v>
      </c>
      <c r="V5" s="79">
        <f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0.00835570405568642</v>
      </c>
      <c r="W5" s="77">
        <f>V5*(1-(Percent_Prevalence_at_End_of_Projection_Period-Percent_Prevalence_at_Beginning_of_Projection_Period))</f>
        <v>0.00640603977602625</v>
      </c>
      <c r="X5" s="22">
        <f>$F5*$W5*HH_Size</f>
        <v>4314.2756079604</v>
      </c>
      <c r="Y5" s="23">
        <f>$F5*$W5*(HH_Children*Fatality_Rate_Child+HH_Adults*Fatality_Rate_Adult+HH_Over_60*Fatality_Rate_Over_60)</f>
        <v>8.4044896546242</v>
      </c>
      <c r="Z5" s="79">
        <f>1-((1-Risk_of_Provider_Being_Infected*Transmission_Risk_Contact_Health_Care_Provider*(1-$I5))^($H5)*(1-Risk_of_Community_Member_being_Infected*Transmission_Risk_in_Community)^($H5*Contacts_During_Travel_to_Facility))</f>
        <v>0.00701833452286849</v>
      </c>
      <c r="AA5" s="78">
        <f>Z5*(1-(Percent_Prevalence_at_End_of_Projection_Period-Percent_Prevalence_at_Beginning_of_Projection_Period))</f>
        <v>0.00538072313419917</v>
      </c>
      <c r="AB5" s="22">
        <f>$F5*$AA5*HH_Size*Infection_Rate_within_HH</f>
        <v>3261.3800482702</v>
      </c>
      <c r="AC5" s="23">
        <f>$F5*$AA5*Infection_Rate_within_HH*(HH_Children*Fatality_Rate_Child+HH_Adults*Fatality_Rate_Adult+HH_Over_60*Fatality_Rate_Over_60)</f>
        <v>6.35338058257318</v>
      </c>
      <c r="AD5" s="94" t="s">
        <v>27</v>
      </c>
    </row>
    <row r="6" spans="1:30">
      <c r="A6" s="24"/>
      <c r="B6" s="25">
        <v>100</v>
      </c>
      <c r="C6" s="25">
        <v>100</v>
      </c>
      <c r="D6" s="24" t="s">
        <v>28</v>
      </c>
      <c r="E6" s="24"/>
      <c r="F6" s="22">
        <f>F24</f>
        <v>152700</v>
      </c>
      <c r="G6" s="23">
        <f>'[1]7. Number of HW Contacts'!$E$13*'[1]7. Number of HW Contacts'!$F$13</f>
        <v>8</v>
      </c>
      <c r="H6" s="23" t="e">
        <f>G6*#REF!/#REF!</f>
        <v>#REF!</v>
      </c>
      <c r="I6" s="76">
        <f>SUMPRODUCT($F$23:$F$35,$I$23:$I$35)/SUM($F$23:$F$35)</f>
        <v>0.87</v>
      </c>
      <c r="J6" s="77">
        <f>1-((1-Risk_of_Provider_Being_Infected*_xlfn.SINGLE(Transmission_Risk_Contact_Health_Care_Provider))^(G6)*(1-Risk_of_Community_Member_being_Infected*Transmission_Risk_in_Community)^(G6*Contacts_During_Travel_to_Facility))</f>
        <v>0.0134313484042911</v>
      </c>
      <c r="K6" s="77">
        <f>J6*(1-(Percent_Prevalence_at_End_of_Projection_Period-Percent_Prevalence_at_Beginning_of_Projection_Period)-Percent_Prevalence_at_Beginning_of_Projection_Period-Percent_Prevalence_at_Beginning_of_Projection_Period)</f>
        <v>0.00761109742909826</v>
      </c>
      <c r="L6" s="22">
        <f>$F6*$K6*HH_Size</f>
        <v>7321.95183776682</v>
      </c>
      <c r="M6" s="23">
        <f>$F6*$J6*(HH_Children*Fatality_Rate_Child+HH_Adults*Fatality_Rate_Adult+HH_Over_60*Fatality_Rate_Over_60)</f>
        <v>25.1711270963762</v>
      </c>
      <c r="N6" s="79">
        <f>1-((1-Risk_of_Provider_Being_Infected*_xlfn.SINGLE(Transmission_Risk_Contact_Health_Care_Provider)*(1-Reduction_in_Risk_PPE))^($G6)*(1-Risk_of_Community_Member_being_Infected*Transmission_Risk_in_Community)^($G6*Contacts_During_Travel_to_Facility))</f>
        <v>0.0131379335540256</v>
      </c>
      <c r="O6" s="77">
        <f>N6*(1-(Percent_Prevalence_at_End_of_Projection_Period-Percent_Prevalence_at_Beginning_of_Projection_Period))</f>
        <v>0.010072415724753</v>
      </c>
      <c r="P6" s="22">
        <f>$F6*$O6*HH_Size</f>
        <v>9689.76465136959</v>
      </c>
      <c r="Q6" s="23">
        <f>$F6*$O6*(HH_Children*Fatality_Rate_Child+HH_Adults*Fatality_Rate_Adult+HH_Over_60*Fatality_Rate_Over_60)</f>
        <v>18.8762921445992</v>
      </c>
      <c r="R6" s="79">
        <f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0.0128738346662849</v>
      </c>
      <c r="S6" s="77">
        <f>R6*(1-(Percent_Prevalence_at_End_of_Projection_Period-Percent_Prevalence_at_Beginning_of_Projection_Period))</f>
        <v>0.00986993991081841</v>
      </c>
      <c r="T6" s="22">
        <f>$F6*$S6*HH_Size</f>
        <v>9494.98089360642</v>
      </c>
      <c r="U6" s="23">
        <f>$F6*$S6*(HH_Children*Fatality_Rate_Child+HH_Adults*Fatality_Rate_Adult+HH_Over_60*Fatality_Rate_Over_60)</f>
        <v>18.4968407080733</v>
      </c>
      <c r="V6" s="79" t="e">
        <f>1-((1-Risk_of_Provider_Being_Infected*_xlfn.SINGLE(Transmission_Risk_Contact_Health_Care_Provider)*(1-$I6)))*(1-Risk_of_Community_Member_being_Infected*Transmission_Risk_in_Community)^($H6*Contacts_During_Travel_to_Facility)</f>
        <v>#REF!</v>
      </c>
      <c r="W6" s="77" t="e">
        <f>V6*(1-(Percent_Prevalence_at_End_of_Projection_Period-Percent_Prevalence_at_Beginning_of_Projection_Period))</f>
        <v>#REF!</v>
      </c>
      <c r="X6" s="22" t="e">
        <f>$F6*$W6*HH_Size</f>
        <v>#REF!</v>
      </c>
      <c r="Y6" s="23" t="e">
        <f>$F6*$W6*(HH_Children*Fatality_Rate_Child+HH_Adults*Fatality_Rate_Adult+HH_Over_60*Fatality_Rate_Over_60)</f>
        <v>#REF!</v>
      </c>
      <c r="Z6" s="79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77" t="e">
        <f>Z6*(1-(Percent_Prevalence_at_End_of_Projection_Period-Percent_Prevalence_at_Beginning_of_Projection_Period))</f>
        <v>#REF!</v>
      </c>
      <c r="AB6" s="22" t="e">
        <f>IF($F6*$AA6*HH_Size&lt;0,0,$F6*$AA6*HH_Size*Infection_Rate_within_HH)</f>
        <v>#REF!</v>
      </c>
      <c r="AC6" s="23" t="e">
        <f>IF(AB6=0,0,$F6*$AA6*(HH_Children*Fatality_Rate_Child+HH_Adults*Fatality_Rate_Adult+HH_Over_60*Fatality_Rate_Over_60))</f>
        <v>#REF!</v>
      </c>
      <c r="AD6" s="94" t="s">
        <v>27</v>
      </c>
    </row>
    <row r="7" spans="1:30">
      <c r="A7" s="26"/>
      <c r="B7" s="27">
        <v>200</v>
      </c>
      <c r="C7" s="27">
        <v>200</v>
      </c>
      <c r="D7" s="26" t="s">
        <v>29</v>
      </c>
      <c r="E7" s="26"/>
      <c r="F7" s="22">
        <f>$F$36</f>
        <v>56100</v>
      </c>
      <c r="G7" s="23">
        <f>'[1]7. Number of HW Contacts'!N26/'[1]Detailed COVID Calculations - 2'!F7</f>
        <v>5.11764705882353</v>
      </c>
      <c r="H7" s="23" t="e">
        <f>G7*#REF!/#REF!</f>
        <v>#REF!</v>
      </c>
      <c r="I7" s="76">
        <f>SUMPRODUCT($F$36:$F$52,$I$36:$I$52)/SUM($F$36:$F$52)</f>
        <v>0.77</v>
      </c>
      <c r="J7" s="80">
        <f>1-((1-Risk_of_Provider_Being_Infected*_xlfn.SINGLE(Transmission_Risk_Hospital_Stay))^(G7)*(1-Risk_of_Community_Member_being_Infected*Transmission_Risk_in_Community)^(G7*Contacts_During_Travel_to_Facility))</f>
        <v>0.01237908870074</v>
      </c>
      <c r="K7" s="80">
        <f>J7*(1-(Percent_Prevalence_at_End_of_Projection_Period-Percent_Prevalence_at_Beginning_of_Projection_Period)-Percent_Prevalence_at_Beginning_of_Projection_Period-Percent_Prevalence_at_Beginning_of_Projection_Period)</f>
        <v>0.00701481693041934</v>
      </c>
      <c r="L7" s="48">
        <f>$F7*$K7*HH_Size</f>
        <v>2479.24674771811</v>
      </c>
      <c r="M7" s="50">
        <f>$F7*$J7*(HH_Children*Fatality_Rate_Child+HH_Adults*Fatality_Rate_Adult+HH_Over_60*Fatality_Rate_Over_60)</f>
        <v>8.52306002181015</v>
      </c>
      <c r="N7" s="81">
        <f>1-((1-Risk_of_Provider_Being_Infected*_xlfn.SINGLE(Transmission_Risk_Hospital_Stay)*(1-Reduction_in_Risk_PPE))^(G7)*(1-Risk_of_Community_Member_being_Infected*Transmission_Risk_in_Community)^($G7*Contacts_During_Travel_to_Facility))</f>
        <v>0.0118149148902391</v>
      </c>
      <c r="O7" s="80">
        <f>N7*(1-(Percent_Prevalence_at_End_of_Projection_Period-Percent_Prevalence_at_Beginning_of_Projection_Period))</f>
        <v>0.00905810141584999</v>
      </c>
      <c r="P7" s="48">
        <f>$F7*$O7*HH_Size</f>
        <v>3201.40478340386</v>
      </c>
      <c r="Q7" s="50">
        <f>$F7*$O7*(HH_Children*Fatality_Rate_Child+HH_Adults*Fatality_Rate_Adult+HH_Over_60*Fatality_Rate_Over_60)</f>
        <v>6.23654486346139</v>
      </c>
      <c r="R7" s="81">
        <f>1-((1-Risk_of_Provider_Being_Infected*_xlfn.SINGLE(Transmission_Risk_Hospital_Stay)*(1-Reduction_in_Risk_PPE))^(G7*(1-Reduction_in_Risk_TS)))*(1-Risk_of_Community_Member_being_Infected*Transmission_Risk_in_Community)^($G7*Contacts_During_Travel_to_Facility)</f>
        <v>0.0113071662462297</v>
      </c>
      <c r="S7" s="80">
        <f>R7*(1-(Percent_Prevalence_at_End_of_Projection_Period-Percent_Prevalence_at_Beginning_of_Projection_Period))</f>
        <v>0.0086688274554428</v>
      </c>
      <c r="T7" s="48">
        <f>$F7*$S7*HH_Size</f>
        <v>3063.82368757715</v>
      </c>
      <c r="U7" s="50">
        <f>$F7*$S7*(HH_Children*Fatality_Rate_Child+HH_Adults*Fatality_Rate_Adult+HH_Over_60*Fatality_Rate_Over_60)</f>
        <v>5.96852793510059</v>
      </c>
      <c r="V7" s="81" t="e">
        <f>1-((1-Risk_of_Provider_Being_Infected*_xlfn.SINGLE(Transmission_Risk_Hospital_Stay)*(1-Reduction_in_Risk_PPE))^(H7*(1-Reduction_in_Risk_TS)))*(1-Risk_of_Community_Member_being_Infected*Transmission_Risk_in_Community)^($H7*Contacts_During_Travel_to_Facility)</f>
        <v>#REF!</v>
      </c>
      <c r="W7" s="80" t="e">
        <f>V7*(1-(Percent_Prevalence_at_End_of_Projection_Period-Percent_Prevalence_at_Beginning_of_Projection_Period))</f>
        <v>#REF!</v>
      </c>
      <c r="X7" s="48" t="e">
        <f>$F7*$W7*HH_Size</f>
        <v>#REF!</v>
      </c>
      <c r="Y7" s="50" t="e">
        <f>$F7*$W7*(HH_Children*Fatality_Rate_Child+HH_Adults*Fatality_Rate_Adult+HH_Over_60*Fatality_Rate_Over_60)</f>
        <v>#REF!</v>
      </c>
      <c r="Z7" s="81" t="e">
        <f>1-((1-Risk_of_Provider_Being_Infected*Transmission_Risk_Hospital_Stay*(1-$I7))^($H7)*(1-Risk_of_Community_Member_being_Infected*Transmission_Risk_in_Community)^($G7*Contacts_During_Travel_to_Facility))</f>
        <v>#REF!</v>
      </c>
      <c r="AA7" s="80" t="e">
        <f>Z7*(1-(Percent_Prevalence_at_End_of_Projection_Period-Percent_Prevalence_at_Beginning_of_Projection_Period))</f>
        <v>#REF!</v>
      </c>
      <c r="AB7" s="48" t="e">
        <f>$F7*$AA7*HH_Size*Infection_Rate_within_HH</f>
        <v>#REF!</v>
      </c>
      <c r="AC7" s="50" t="e">
        <f>$F7*$AA7*Infection_Rate_within_HH*(HH_Children*Fatality_Rate_Child+HH_Adults*Fatality_Rate_Adult+HH_Over_60*Fatality_Rate_Over_60)</f>
        <v>#REF!</v>
      </c>
      <c r="AD7" s="94" t="s">
        <v>30</v>
      </c>
    </row>
    <row r="8" spans="1:30">
      <c r="A8" s="20"/>
      <c r="B8" s="28">
        <v>200</v>
      </c>
      <c r="C8" s="28">
        <v>200</v>
      </c>
      <c r="D8" s="20" t="s">
        <v>31</v>
      </c>
      <c r="E8" s="20"/>
      <c r="F8" s="22">
        <f>$F$36</f>
        <v>56100</v>
      </c>
      <c r="G8" s="23">
        <f>'[1]7. Number of HW Contacts'!$N$43/'[1]Detailed COVID Calculations - 2'!F8</f>
        <v>4</v>
      </c>
      <c r="H8" s="23" t="e">
        <f>G8*#REF!/#REF!</f>
        <v>#REF!</v>
      </c>
      <c r="I8" s="76">
        <f>SUMPRODUCT($F$53:$F$63,$I$53:$I$63)/SUM($F$53:$F$63)</f>
        <v>0.79</v>
      </c>
      <c r="J8" s="80">
        <f>1-((1-Risk_of_Provider_Being_Infected*_xlfn.SINGLE(Transmission_Risk_Hospital_Stay))^(G8)*(1-Risk_of_Community_Member_being_Infected*Transmission_Risk_in_Community)^(G8*Contacts_During_Travel_to_Facility))</f>
        <v>0.0096887546730593</v>
      </c>
      <c r="K8" s="80">
        <f>J8*(1-(Percent_Prevalence_at_End_of_Projection_Period-Percent_Prevalence_at_Beginning_of_Projection_Period)-Percent_Prevalence_at_Beginning_of_Projection_Period-Percent_Prevalence_at_Beginning_of_Projection_Period)</f>
        <v>0.0054902943147336</v>
      </c>
      <c r="L8" s="48">
        <f>$F8*$K8*HH_Size</f>
        <v>1940.4347196563</v>
      </c>
      <c r="M8" s="50">
        <f>$F8*$J8*(HH_Children*Fatality_Rate_Child+HH_Adults*Fatality_Rate_Adult+HH_Over_60*Fatality_Rate_Over_60)</f>
        <v>6.67075255791176</v>
      </c>
      <c r="N8" s="81">
        <f>1-((1-Risk_of_Provider_Being_Infected*_xlfn.SINGLE(Transmission_Risk_Hospital_Stay)*(1-Reduction_in_Risk_PPE))^(G8)*(1-Risk_of_Community_Member_being_Infected*Transmission_Risk_in_Community)^($G8*Contacts_During_Travel_to_Facility))</f>
        <v>0.00924661760082079</v>
      </c>
      <c r="O8" s="80">
        <f>N8*(1-(Percent_Prevalence_at_End_of_Projection_Period-Percent_Prevalence_at_Beginning_of_Projection_Period))</f>
        <v>0.00708907349396261</v>
      </c>
      <c r="P8" s="48">
        <f>$F8*$O8*HH_Size</f>
        <v>2505.4912449712</v>
      </c>
      <c r="Q8" s="50">
        <f>$F8*$O8*(HH_Children*Fatality_Rate_Child+HH_Adults*Fatality_Rate_Adult+HH_Over_60*Fatality_Rate_Over_60)</f>
        <v>4.88086000098334</v>
      </c>
      <c r="R8" s="81">
        <f>1-((1-Risk_of_Provider_Being_Infected*_xlfn.SINGLE(Transmission_Risk_Hospital_Stay)*(1-Reduction_in_Risk_PPE))^(G8*(1-Reduction_in_Risk_TS)))*(1-Risk_of_Community_Member_being_Infected*Transmission_Risk_in_Community)^($G8*Contacts_During_Travel_to_Facility)</f>
        <v>0.00884874746801978</v>
      </c>
      <c r="S8" s="80">
        <f>R8*(1-(Percent_Prevalence_at_End_of_Projection_Period-Percent_Prevalence_at_Beginning_of_Projection_Period))</f>
        <v>0.00678403972548183</v>
      </c>
      <c r="T8" s="48">
        <f>$F8*$S8*HH_Size</f>
        <v>2397.68316017704</v>
      </c>
      <c r="U8" s="50">
        <f>$F8*$S8*(HH_Children*Fatality_Rate_Child+HH_Adults*Fatality_Rate_Adult+HH_Over_60*Fatality_Rate_Over_60)</f>
        <v>4.67084283572261</v>
      </c>
      <c r="V8" s="81" t="e">
        <f>1-((1-Risk_of_Provider_Being_Infected*_xlfn.SINGLE(Transmission_Risk_Hospital_Stay)*(1-Reduction_in_Risk_PPE))^(H8*(1-Reduction_in_Risk_TS)))*(1-Risk_of_Community_Member_being_Infected*Transmission_Risk_in_Community)^($H8*Contacts_During_Travel_to_Facility)</f>
        <v>#REF!</v>
      </c>
      <c r="W8" s="80" t="e">
        <f>V8*(1-(Percent_Prevalence_at_End_of_Projection_Period-Percent_Prevalence_at_Beginning_of_Projection_Period))</f>
        <v>#REF!</v>
      </c>
      <c r="X8" s="48" t="e">
        <f>$F8*$W8*HH_Size</f>
        <v>#REF!</v>
      </c>
      <c r="Y8" s="50" t="e">
        <f>$F8*$W8*(HH_Children*Fatality_Rate_Child+HH_Adults*Fatality_Rate_Adult+HH_Over_60*Fatality_Rate_Over_60)</f>
        <v>#REF!</v>
      </c>
      <c r="Z8" s="81" t="e">
        <f>1-((1-Risk_of_Provider_Being_Infected*Transmission_Risk_Hospital_Stay*(1-$I8))^($H8)*(1-Risk_of_Community_Member_being_Infected*Transmission_Risk_in_Community)^($G8*Contacts_During_Travel_to_Facility))</f>
        <v>#REF!</v>
      </c>
      <c r="AA8" s="80" t="e">
        <f>Z8*(1-(Percent_Prevalence_at_End_of_Projection_Period-Percent_Prevalence_at_Beginning_of_Projection_Period))</f>
        <v>#REF!</v>
      </c>
      <c r="AB8" s="48" t="e">
        <f>$F8*$AA8*HH_Size*Infection_Rate_within_HH</f>
        <v>#REF!</v>
      </c>
      <c r="AC8" s="50" t="e">
        <f>$F8*$AA8*Infection_Rate_within_HH*(HH_Children*Fatality_Rate_Child+HH_Adults*Fatality_Rate_Adult+HH_Over_60*Fatality_Rate_Over_60)</f>
        <v>#REF!</v>
      </c>
      <c r="AD8" s="94" t="s">
        <v>30</v>
      </c>
    </row>
    <row r="9" spans="1:30">
      <c r="A9" s="29"/>
      <c r="B9" s="30"/>
      <c r="C9" s="30"/>
      <c r="D9" s="29" t="s">
        <v>32</v>
      </c>
      <c r="E9" s="29"/>
      <c r="F9" s="22">
        <f>SUM($F$64:$F$66)</f>
        <v>120200</v>
      </c>
      <c r="G9" s="23">
        <f>IFERROR(SUMPRODUCT($F$64:$F$66,$G$64:$G$66)/SUM($F$64:$F$66),0)</f>
        <v>3.71214642262895</v>
      </c>
      <c r="H9" s="23">
        <f>IFERROR(SUMPRODUCT($F$64:$F$66,$H$64:$H$66)/SUM($F$64:$F$66),0)</f>
        <v>3.71214642262895</v>
      </c>
      <c r="I9" s="76">
        <f>SUMPRODUCT($F$64:$F$66,$I$64:$I$66)/SUM($F$64:$F$66)</f>
        <v>0.87</v>
      </c>
      <c r="J9" s="77">
        <f>1-((1-Risk_of_Provider_Being_Infected*_xlfn.SINGLE(Transmission_Risk_Contact_Health_Care_Provider))^(G9)*(1-Risk_of_Community_Member_being_Infected*Transmission_Risk_in_Community)^(G9*Contacts_During_Travel_to_Facility))</f>
        <v>0.00625498044544937</v>
      </c>
      <c r="K9" s="77">
        <f>J9*(1-(Percent_Prevalence_at_End_of_Projection_Period-Percent_Prevalence_at_Beginning_of_Projection_Period)-Percent_Prevalence_at_Beginning_of_Projection_Period-Percent_Prevalence_at_Beginning_of_Projection_Period)</f>
        <v>0.00354448891908797</v>
      </c>
      <c r="L9" s="22">
        <f>$F9*$K9*HH_Size</f>
        <v>2684.09967886856</v>
      </c>
      <c r="M9" s="23">
        <f>$F9*$J9*(HH_Children*Fatality_Rate_Child+HH_Adults*Fatality_Rate_Adult+HH_Over_60*Fatality_Rate_Over_60)</f>
        <v>9.22729562459799</v>
      </c>
      <c r="N9" s="79">
        <f>1-((1-Risk_of_Provider_Being_Infected*_xlfn.SINGLE(Transmission_Risk_Contact_Health_Care_Provider)*(1-Reduction_in_Risk_PPE))^($G9)*(1-Risk_of_Community_Member_being_Infected*Transmission_Risk_in_Community)^($G9*Contacts_During_Travel_to_Facility))</f>
        <v>0.00611785115001451</v>
      </c>
      <c r="O9" s="77">
        <f>N9*(1-(Percent_Prevalence_at_End_of_Projection_Period-Percent_Prevalence_at_Beginning_of_Projection_Period))</f>
        <v>0.00469035254834446</v>
      </c>
      <c r="P9" s="22">
        <f>$F9*$O9*HH_Size</f>
        <v>3551.81637075932</v>
      </c>
      <c r="Q9" s="23">
        <f>$F9*$O9*(HH_Children*Fatality_Rate_Child+HH_Adults*Fatality_Rate_Adult+HH_Over_60*Fatality_Rate_Over_60)</f>
        <v>6.91916944019345</v>
      </c>
      <c r="R9" s="79">
        <f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0.0059944415415667</v>
      </c>
      <c r="S9" s="77">
        <f>R9*(1-(Percent_Prevalence_at_End_of_Projection_Period-Percent_Prevalence_at_Beginning_of_Projection_Period))</f>
        <v>0.00459573851520113</v>
      </c>
      <c r="T9" s="22">
        <f>$F9*$S9*HH_Size</f>
        <v>3480.16894802121</v>
      </c>
      <c r="U9" s="23">
        <f>$F9*$S9*(HH_Children*Fatality_Rate_Child+HH_Adults*Fatality_Rate_Adult+HH_Over_60*Fatality_Rate_Over_60)</f>
        <v>6.77959559793082</v>
      </c>
      <c r="V9" s="79">
        <f>1-((1-Risk_of_Provider_Being_Infected*_xlfn.SINGLE(Transmission_Risk_Contact_Health_Care_Provider)*(1-$I9)))*(1-Risk_of_Community_Member_being_Infected*Transmission_Risk_in_Community)^($H9*Contacts_During_Travel_to_Facility)</f>
        <v>0.00493113419064017</v>
      </c>
      <c r="W9" s="77">
        <f>V9*(1-(Percent_Prevalence_at_End_of_Projection_Period-Percent_Prevalence_at_Beginning_of_Projection_Period))</f>
        <v>0.00378053621282413</v>
      </c>
      <c r="X9" s="22">
        <f>$F9*$W9*HH_Size</f>
        <v>2862.8488525232</v>
      </c>
      <c r="Y9" s="23">
        <f>$F9*$W9*(HH_Children*Fatality_Rate_Child+HH_Adults*Fatality_Rate_Adult+HH_Over_60*Fatality_Rate_Over_60)</f>
        <v>5.57701587710084</v>
      </c>
      <c r="Z9" s="79">
        <f>1-((1-Risk_of_Provider_Being_Infected*Transmission_Risk_Contact_Health_Care_Provider*(1-$I9))^($H9)*(1-Risk_of_Community_Member_being_Infected*Transmission_Risk_in_Community)^($H9*Contacts_During_Travel_to_Facility))</f>
        <v>0.00506149244921072</v>
      </c>
      <c r="AA9" s="77">
        <f>Z9*(1-(Percent_Prevalence_at_End_of_Projection_Period-Percent_Prevalence_at_Beginning_of_Projection_Period))</f>
        <v>0.00388047754439489</v>
      </c>
      <c r="AB9" s="22">
        <f>$F9*$AA9*HH_Size*Infection_Rate_within_HH</f>
        <v>2644.67738274163</v>
      </c>
      <c r="AC9" s="23">
        <f>$F9*$AA9*Infection_Rate_within_HH*(HH_Children*Fatality_Rate_Child+HH_Adults*Fatality_Rate_Adult+HH_Over_60*Fatality_Rate_Over_60)</f>
        <v>5.1520036555056</v>
      </c>
      <c r="AD9" s="94" t="s">
        <v>27</v>
      </c>
    </row>
    <row r="10" spans="1:30">
      <c r="A10" s="31"/>
      <c r="B10" s="32">
        <v>300</v>
      </c>
      <c r="C10" s="32">
        <v>300</v>
      </c>
      <c r="D10" s="31" t="s">
        <v>33</v>
      </c>
      <c r="E10" s="31"/>
      <c r="F10" s="22">
        <f>SUM($F$67:$F$77)/3</f>
        <v>523933.333333333</v>
      </c>
      <c r="G10" s="23">
        <f>'[1]7. Number of HW Contacts'!$E$59*'[1]7. Number of HW Contacts'!$F$59</f>
        <v>6</v>
      </c>
      <c r="H10" s="23">
        <f>'[1]7. Number of HW Contacts'!$E$59*'[1]7. Number of HW Contacts'!$F$59</f>
        <v>6</v>
      </c>
      <c r="I10" s="76">
        <f>SUMPRODUCT($F$67:$F$77,$I$67:$I$77)/SUM($F$67:$F$77)</f>
        <v>0.87</v>
      </c>
      <c r="J10" s="82">
        <f>1-((1-Risk_of_Provider_Being_Infected*_xlfn.SINGLE(Transmission_Risk_Contact_Health_Care_Provider))^(2*$G10)*(1-Risk_of_Community_Member_being_Infected*Transmission_Risk_in_Community)^(2*$G10*Contacts_During_Travel_to_Facility))</f>
        <v>0.0200792199791329</v>
      </c>
      <c r="K10" s="82">
        <f>J10*(1-(Percent_Prevalence_at_End_of_Projection_Period-Percent_Prevalence_at_Beginning_of_Projection_Period)-Percent_Prevalence_at_Beginning_of_Projection_Period-Percent_Prevalence_at_Beginning_of_Projection_Period)</f>
        <v>0.011378224654842</v>
      </c>
      <c r="L10" s="83">
        <f>$F10*$K10*HH_Size</f>
        <v>37557.0163762092</v>
      </c>
      <c r="M10" s="84">
        <f>$F10*$J10*(HH_Children*Fatality_Rate_Child+HH_Adults*Fatality_Rate_Adult+HH_Over_60*Fatality_Rate_Over_60)</f>
        <v>129.112080154651</v>
      </c>
      <c r="N10" s="85">
        <f>1-((1-Risk_of_Provider_Being_Infected*_xlfn.SINGLE(Transmission_Risk_Contact_Health_Care_Provider)*(1-Reduction_in_Risk_PPE))^(2*$G10)*(1-Risk_of_Community_Member_being_Infected*Transmission_Risk_in_Community)^(2*$G10*Contacts_During_Travel_to_Facility))</f>
        <v>0.0196420309115675</v>
      </c>
      <c r="O10" s="82">
        <f>N10*(1-(Percent_Prevalence_at_End_of_Projection_Period-Percent_Prevalence_at_Beginning_of_Projection_Period))</f>
        <v>0.0150588903655351</v>
      </c>
      <c r="P10" s="83">
        <f>$F10*$O10*HH_Size</f>
        <v>49706.0841407508</v>
      </c>
      <c r="Q10" s="84">
        <f>$F10*$O10*(HH_Children*Fatality_Rate_Child+HH_Adults*Fatality_Rate_Adult+HH_Over_60*Fatality_Rate_Over_60)</f>
        <v>96.830686746579</v>
      </c>
      <c r="R10" s="85">
        <f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0.0192484671410232</v>
      </c>
      <c r="S10" s="82">
        <f>R10*(1-(Percent_Prevalence_at_End_of_Projection_Period-Percent_Prevalence_at_Beginning_of_Projection_Period))</f>
        <v>0.0147571581414511</v>
      </c>
      <c r="T10" s="83">
        <f>$F10*$S10*HH_Size</f>
        <v>48710.1324501391</v>
      </c>
      <c r="U10" s="84">
        <f>$F10*$S10*(HH_Children*Fatality_Rate_Child+HH_Adults*Fatality_Rate_Adult+HH_Over_60*Fatality_Rate_Over_60)</f>
        <v>94.8905080373638</v>
      </c>
      <c r="V10" s="85">
        <f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0.0192484671410232</v>
      </c>
      <c r="W10" s="82">
        <f>V10*(1-(Percent_Prevalence_at_End_of_Projection_Period-Percent_Prevalence_at_Beginning_of_Projection_Period))</f>
        <v>0.0147571581414511</v>
      </c>
      <c r="X10" s="83">
        <f>$F10*$W10*HH_Size</f>
        <v>48710.1324501391</v>
      </c>
      <c r="Y10" s="84">
        <f>$F10*$W10*(HH_Children*Fatality_Rate_Child+HH_Adults*Fatality_Rate_Adult+HH_Over_60*Fatality_Rate_Over_60)</f>
        <v>94.8905080373638</v>
      </c>
      <c r="Z10" s="85">
        <f>1-((1-Risk_of_Provider_Being_Infected*Transmission_Risk_Contact_Health_Care_Provider*(1-$I10))^(2*$H10)*(1-Risk_of_Community_Member_being_Infected*Transmission_Risk_in_Community)^(2*$H10*Contacts_During_Travel_to_Facility))</f>
        <v>0.0162696815500748</v>
      </c>
      <c r="AA10" s="82">
        <f>Z10*(1-(Percent_Prevalence_at_End_of_Projection_Period-Percent_Prevalence_at_Beginning_of_Projection_Period))</f>
        <v>0.012473422521724</v>
      </c>
      <c r="AB10" s="83">
        <f>$F10*$AA10*HH_Size*Infection_Rate_within_HH</f>
        <v>37054.8212321306</v>
      </c>
      <c r="AC10" s="84">
        <f>$F10*$AA10*Infection_Rate_within_HH*(HH_Children*Fatality_Rate_Child+HH_Adults*Fatality_Rate_Adult+HH_Over_60*Fatality_Rate_Over_60)</f>
        <v>72.1852032644292</v>
      </c>
      <c r="AD10" s="94" t="s">
        <v>34</v>
      </c>
    </row>
    <row r="11" spans="1:30">
      <c r="A11" s="33"/>
      <c r="B11" s="34">
        <v>400</v>
      </c>
      <c r="C11" s="34">
        <v>400</v>
      </c>
      <c r="D11" s="33" t="s">
        <v>35</v>
      </c>
      <c r="E11" s="33"/>
      <c r="F11" s="22">
        <f>F78+F79+F83+F84+F85+AVERAGE(F80:F82)</f>
        <v>3764200</v>
      </c>
      <c r="G11" s="23">
        <f>($F$78*$G$78+$F$79*$G$79+$F$80*$G$80+$F$83*$G$83+$F$84*$G$84+$F$85*$G$85)/$F$11</f>
        <v>1.72326125073057</v>
      </c>
      <c r="H11" s="23">
        <f>($F$78*$H$78+$F$79*$H$79+$F$80*$H$80+$F$83*$H$83+$F$84*$H$84+$F$85*$H$85)/$F$11</f>
        <v>1.55093512565751</v>
      </c>
      <c r="I11" s="76">
        <f>SUMPRODUCT($F$78:$F$85,$I$78:$I$85)/SUM($F$78:$F$85)</f>
        <v>0.89</v>
      </c>
      <c r="J11" s="82">
        <f>1-((1-Risk_of_Provider_Being_Infected*_xlfn.SINGLE(Transmission_Risk_Contact_Health_Care_Provider))^(2*$G11)*(1-Risk_of_Community_Member_being_Infected*Transmission_Risk_in_Community)^(2*$G11*Contacts_During_Travel_to_Facility))</f>
        <v>0.00580870570024472</v>
      </c>
      <c r="K11" s="82">
        <f>J11*(1-(Percent_Prevalence_at_End_of_Projection_Period-Percent_Prevalence_at_Beginning_of_Projection_Period)-Percent_Prevalence_at_Beginning_of_Projection_Period-Percent_Prevalence_at_Beginning_of_Projection_Period)</f>
        <v>0.00329159989680534</v>
      </c>
      <c r="L11" s="83">
        <f>$F11*$K11*HH_Size</f>
        <v>78058.5140887944</v>
      </c>
      <c r="M11" s="84">
        <f>$F11*$J11*(HH_Children*Fatality_Rate_Child+HH_Adults*Fatality_Rate_Adult+HH_Over_60*Fatality_Rate_Over_60)</f>
        <v>268.346586076778</v>
      </c>
      <c r="N11" s="85">
        <f>1-((1-Risk_of_Provider_Being_Infected*_xlfn.SINGLE(Transmission_Risk_Contact_Health_Care_Provider)*(1-Reduction_in_Risk_PPE))^(2*$G11)*(1-Risk_of_Community_Member_being_Infected*Transmission_Risk_in_Community)^(2*$G11*Contacts_During_Travel_to_Facility))</f>
        <v>0.00568133219181499</v>
      </c>
      <c r="O11" s="82">
        <f>N11*(1-(Percent_Prevalence_at_End_of_Projection_Period-Percent_Prevalence_at_Beginning_of_Projection_Period))</f>
        <v>0.00435568801372483</v>
      </c>
      <c r="P11" s="83">
        <f>$F11*$O11*HH_Size</f>
        <v>103292.789173957</v>
      </c>
      <c r="Q11" s="84">
        <f>$F11*$O11*(HH_Children*Fatality_Rate_Child+HH_Adults*Fatality_Rate_Adult+HH_Over_60*Fatality_Rate_Over_60)</f>
        <v>201.221075540005</v>
      </c>
      <c r="R11" s="85">
        <f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0.00556670338602394</v>
      </c>
      <c r="S11" s="82">
        <f>R11*(1-(Percent_Prevalence_at_End_of_Projection_Period-Percent_Prevalence_at_Beginning_of_Projection_Period))</f>
        <v>0.00426780592928502</v>
      </c>
      <c r="T11" s="83">
        <f>$F11*$S11*HH_Size</f>
        <v>101208.712997792</v>
      </c>
      <c r="U11" s="84">
        <f>$F11*$S11*(HH_Children*Fatality_Rate_Child+HH_Adults*Fatality_Rate_Adult+HH_Over_60*Fatality_Rate_Over_60)</f>
        <v>197.161159518482</v>
      </c>
      <c r="V11" s="85">
        <f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0.00501143037044893</v>
      </c>
      <c r="W11" s="82">
        <f>V11*(1-(Percent_Prevalence_at_End_of_Projection_Period-Percent_Prevalence_at_Beginning_of_Projection_Period))</f>
        <v>0.00384209661734418</v>
      </c>
      <c r="X11" s="83">
        <f>$F11*$W11*HH_Size</f>
        <v>91113.2465481439</v>
      </c>
      <c r="Y11" s="84">
        <f>$F11*$W11*(HH_Children*Fatality_Rate_Child+HH_Adults*Fatality_Rate_Adult+HH_Over_60*Fatality_Rate_Over_60)</f>
        <v>177.49453386802</v>
      </c>
      <c r="Z11" s="85">
        <f>1-((1-Risk_of_Provider_Being_Infected*Transmission_Risk_Contact_Health_Care_Provider*(1-$I11))^(2*$H11)*(1-Risk_of_Community_Member_being_Infected*Transmission_Risk_in_Community)^(2*$H11*Contacts_During_Travel_to_Facility))</f>
        <v>0.00420819184161125</v>
      </c>
      <c r="AA11" s="82">
        <f>Z11*(1-(Percent_Prevalence_at_End_of_Projection_Period-Percent_Prevalence_at_Beginning_of_Projection_Period))</f>
        <v>0.00322628041190196</v>
      </c>
      <c r="AB11" s="83">
        <f>$F11*$AA11*HH_Size*Infection_Rate_within_HH</f>
        <v>68858.5479991493</v>
      </c>
      <c r="AC11" s="84">
        <f>$F11*$AA11*Infection_Rate_within_HH*(HH_Children*Fatality_Rate_Child+HH_Adults*Fatality_Rate_Adult+HH_Over_60*Fatality_Rate_Over_60)</f>
        <v>134.140932772927</v>
      </c>
      <c r="AD11" s="94" t="s">
        <v>34</v>
      </c>
    </row>
    <row r="12" ht="25" spans="1:30">
      <c r="A12" s="35"/>
      <c r="B12" s="36"/>
      <c r="C12" s="36"/>
      <c r="D12" s="35" t="s">
        <v>36</v>
      </c>
      <c r="E12" s="35"/>
      <c r="F12" s="22">
        <f>SUM(F$86:F$87)</f>
        <v>0</v>
      </c>
      <c r="G12" s="23">
        <f>IFERROR(SUMPRODUCT($F$86:$F$86,$G$87:$G$87)/SUM($F$86:$F$86),0)</f>
        <v>0</v>
      </c>
      <c r="H12" s="23">
        <f>IFERROR(SUMPRODUCT($F$86:$F$86,$H$87:$H$87)/SUM($F$86:$F$86),0)</f>
        <v>0</v>
      </c>
      <c r="I12" s="76">
        <f>IFERROR(SUMPRODUCT(F86:F87,I86:I87)/SUM(F86:F87),0)</f>
        <v>0</v>
      </c>
      <c r="J12" s="82">
        <f>1-((1-Risk_of_Provider_Being_Infected*_xlfn.SINGLE(Transmission_Risk_Contact_Health_Care_Provider))^(2*$G12)*(1-Risk_of_Community_Member_being_Infected*Transmission_Risk_in_Community)^(2*$G12*Contacts_During_Travel_to_Facility))</f>
        <v>0</v>
      </c>
      <c r="K12" s="82">
        <f>J12*(1-(Percent_Prevalence_at_End_of_Projection_Period-Percent_Prevalence_at_Beginning_of_Projection_Period)-Percent_Prevalence_at_Beginning_of_Projection_Period-Percent_Prevalence_at_Beginning_of_Projection_Period)</f>
        <v>0</v>
      </c>
      <c r="L12" s="83">
        <f>$F12*$K12*HH_Size</f>
        <v>0</v>
      </c>
      <c r="M12" s="84">
        <f>$F12*$J12*(HH_Children*Fatality_Rate_Child+HH_Adults*Fatality_Rate_Adult+HH_Over_60*Fatality_Rate_Over_60)</f>
        <v>0</v>
      </c>
      <c r="N12" s="85">
        <f>1-((1-Risk_of_Provider_Being_Infected*_xlfn.SINGLE(Transmission_Risk_Contact_Health_Care_Provider)*(1-Reduction_in_Risk_PPE))^(2*$G12)*(1-Risk_of_Community_Member_being_Infected*Transmission_Risk_in_Community)^(2*$G12*Contacts_During_Travel_to_Facility))</f>
        <v>0</v>
      </c>
      <c r="O12" s="82">
        <f>N12*(1-(Percent_Prevalence_at_End_of_Projection_Period-Percent_Prevalence_at_Beginning_of_Projection_Period))</f>
        <v>0</v>
      </c>
      <c r="P12" s="83">
        <f>$F12*$O12*HH_Size</f>
        <v>0</v>
      </c>
      <c r="Q12" s="84">
        <f>$F12*$O12*(HH_Children*Fatality_Rate_Child+HH_Adults*Fatality_Rate_Adult+HH_Over_60*Fatality_Rate_Over_60)</f>
        <v>0</v>
      </c>
      <c r="R12" s="85">
        <f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0</v>
      </c>
      <c r="S12" s="82">
        <f>R12*(1-(Percent_Prevalence_at_End_of_Projection_Period-Percent_Prevalence_at_Beginning_of_Projection_Period))</f>
        <v>0</v>
      </c>
      <c r="T12" s="83">
        <f>$F12*$S12*HH_Size</f>
        <v>0</v>
      </c>
      <c r="U12" s="84">
        <f>$F12*$S12*(HH_Children*Fatality_Rate_Child+HH_Adults*Fatality_Rate_Adult+HH_Over_60*Fatality_Rate_Over_60)</f>
        <v>0</v>
      </c>
      <c r="V12" s="85">
        <f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0</v>
      </c>
      <c r="W12" s="82">
        <f>V12*(1-(Percent_Prevalence_at_End_of_Projection_Period-Percent_Prevalence_at_Beginning_of_Projection_Period))</f>
        <v>0</v>
      </c>
      <c r="X12" s="83">
        <f>$F12*$W12*HH_Size</f>
        <v>0</v>
      </c>
      <c r="Y12" s="84">
        <f>$F12*$W12*(HH_Children*Fatality_Rate_Child+HH_Adults*Fatality_Rate_Adult+HH_Over_60*Fatality_Rate_Over_60)</f>
        <v>0</v>
      </c>
      <c r="Z12" s="85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82">
        <f>Z12*(1-(Percent_Prevalence_at_End_of_Projection_Period-Percent_Prevalence_at_Beginning_of_Projection_Period))</f>
        <v>0</v>
      </c>
      <c r="AB12" s="83">
        <f>$F12*$AA12*HH_Size*Infection_Rate_within_HH</f>
        <v>0</v>
      </c>
      <c r="AC12" s="84">
        <f>$F12*$AA12*Infection_Rate_within_HH*(HH_Children*Fatality_Rate_Child+HH_Adults*Fatality_Rate_Adult+HH_Over_60*Fatality_Rate_Over_60)</f>
        <v>0</v>
      </c>
      <c r="AD12" s="94" t="s">
        <v>34</v>
      </c>
    </row>
    <row r="13" spans="1:30">
      <c r="A13" s="37"/>
      <c r="B13" s="37"/>
      <c r="C13" s="37"/>
      <c r="D13" s="37" t="s">
        <v>37</v>
      </c>
      <c r="E13" s="37"/>
      <c r="F13" s="22">
        <f>SUM(F$88:F$88)</f>
        <v>0</v>
      </c>
      <c r="G13" s="23">
        <f t="shared" ref="G13:I13" si="0">G88</f>
        <v>4</v>
      </c>
      <c r="H13" s="23">
        <f t="shared" si="0"/>
        <v>4</v>
      </c>
      <c r="I13" s="76">
        <f t="shared" si="0"/>
        <v>0</v>
      </c>
      <c r="J13" s="77">
        <f>1-((1-Risk_of_Provider_Being_Infected*_xlfn.SINGLE(Transmission_Risk_Contact_Health_Care_Provider))^(G13)*(1-Risk_of_Community_Member_being_Infected*Transmission_Risk_in_Community)^(G13*Contacts_During_Travel_to_Facility))</f>
        <v>0.00673837706487967</v>
      </c>
      <c r="K13" s="77">
        <f>J13*(1-(Percent_Prevalence_at_End_of_Projection_Period-Percent_Prevalence_at_Beginning_of_Projection_Period)-Percent_Prevalence_at_Beginning_of_Projection_Period-Percent_Prevalence_at_Beginning_of_Projection_Period)</f>
        <v>0.00381841367009848</v>
      </c>
      <c r="L13" s="22">
        <f>$F13*$K13*HH_Size</f>
        <v>0</v>
      </c>
      <c r="M13" s="23">
        <f>$F13*$J13*(HH_Children*Fatality_Rate_Child+HH_Adults*Fatality_Rate_Adult+HH_Over_60*Fatality_Rate_Over_60)</f>
        <v>0</v>
      </c>
      <c r="N13" s="79">
        <f>1-((1-Risk_of_Provider_Being_Infected*_xlfn.SINGLE(Transmission_Risk_Contact_Health_Care_Provider)*(1-Reduction_in_Risk_PPE))^($G13)*(1-Risk_of_Community_Member_being_Infected*Transmission_Risk_in_Community)^($G13*Contacts_During_Travel_to_Facility))</f>
        <v>0.00659068534366247</v>
      </c>
      <c r="O13" s="77">
        <f>N13*(1-(Percent_Prevalence_at_End_of_Projection_Period-Percent_Prevalence_at_Beginning_of_Projection_Period))</f>
        <v>0.00505285876347456</v>
      </c>
      <c r="P13" s="22">
        <f>$F13*$O13*HH_Size</f>
        <v>0</v>
      </c>
      <c r="Q13" s="23">
        <f>$F13*$O13*(HH_Children*Fatality_Rate_Child+HH_Adults*Fatality_Rate_Adult+HH_Over_60*Fatality_Rate_Over_60)</f>
        <v>0</v>
      </c>
      <c r="R13" s="79">
        <f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0.00645776872157322</v>
      </c>
      <c r="S13" s="77">
        <f>R13*(1-(Percent_Prevalence_at_End_of_Projection_Period-Percent_Prevalence_at_Beginning_of_Projection_Period))</f>
        <v>0.0049509560198728</v>
      </c>
      <c r="T13" s="22">
        <f>$F13*$S13*HH_Size</f>
        <v>0</v>
      </c>
      <c r="U13" s="23">
        <f>$F13*$S13*(HH_Children*Fatality_Rate_Child+HH_Adults*Fatality_Rate_Adult+HH_Over_60*Fatality_Rate_Over_60)</f>
        <v>0</v>
      </c>
      <c r="V13" s="79">
        <f>1-((1-Risk_of_Provider_Being_Infected*_xlfn.SINGLE(Transmission_Risk_Contact_Health_Care_Provider)*(1-$I13)))*(1-Risk_of_Community_Member_being_Infected*Transmission_Risk_in_Community)^($H13*Contacts_During_Travel_to_Facility)</f>
        <v>0.0056303391446485</v>
      </c>
      <c r="W13" s="77">
        <f>V13*(1-(Percent_Prevalence_at_End_of_Projection_Period-Percent_Prevalence_at_Beginning_of_Projection_Period))</f>
        <v>0.00431659334423052</v>
      </c>
      <c r="X13" s="22">
        <f>$F13*$W13*HH_Size</f>
        <v>0</v>
      </c>
      <c r="Y13" s="23">
        <f>$F13*$W13*(HH_Children*Fatality_Rate_Child+HH_Adults*Fatality_Rate_Adult+HH_Over_60*Fatality_Rate_Over_60)</f>
        <v>0</v>
      </c>
      <c r="Z13" s="79">
        <f>1-((1-Risk_of_Provider_Being_Infected*Transmission_Risk_Contact_Health_Care_Provider*(1-$I13))^($H13)*(1-Risk_of_Community_Member_being_Infected*Transmission_Risk_in_Community)^($H13*Contacts_During_Travel_to_Facility))</f>
        <v>0.00673837706487967</v>
      </c>
      <c r="AA13" s="77">
        <f>Z13*(1-(Percent_Prevalence_at_End_of_Projection_Period-Percent_Prevalence_at_Beginning_of_Projection_Period))</f>
        <v>0.00516608908307442</v>
      </c>
      <c r="AB13" s="22">
        <f>$F13*$AA13*HH_Size*Infection_Rate_within_HH</f>
        <v>0</v>
      </c>
      <c r="AC13" s="23">
        <f>$F13*$AA13*Infection_Rate_within_HH*(HH_Children*Fatality_Rate_Child+HH_Adults*Fatality_Rate_Adult+HH_Over_60*Fatality_Rate_Over_60)</f>
        <v>0</v>
      </c>
      <c r="AD13" s="94"/>
    </row>
    <row r="14" ht="42" spans="1:30">
      <c r="A14" s="15"/>
      <c r="B14" s="15"/>
      <c r="C14" s="15"/>
      <c r="D14" s="16" t="s">
        <v>38</v>
      </c>
      <c r="E14" s="17"/>
      <c r="F14" s="18"/>
      <c r="G14" s="18"/>
      <c r="H14" s="18"/>
      <c r="I14" s="86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94"/>
    </row>
    <row r="15" spans="1:30">
      <c r="A15" s="38" t="str">
        <f>IF(VLOOKUP(B15,'[1]1. Select Services'!$A$6:$E$77,5,FALSE)="x","x","")</f>
        <v>x</v>
      </c>
      <c r="B15" s="39">
        <v>1</v>
      </c>
      <c r="C15" s="40">
        <v>7</v>
      </c>
      <c r="D15" s="41" t="s">
        <v>26</v>
      </c>
      <c r="E15" s="40" t="s">
        <v>39</v>
      </c>
      <c r="F15" s="22">
        <f>IF(Chosen_Scenario="Mitigation Impact Only",VLOOKUP($B15,'[1]Coverage Review Updated'!$B$5:$T$78,18,FALSE),VLOOKUP($B15,'[1]Coverage Review Updated'!$B$5:$T$78,19,FALSE))</f>
        <v>42300</v>
      </c>
      <c r="G15" s="22">
        <f>VLOOKUP($B15,'[1]7. Number of HW Contacts'!$B$4:$I$84,6,FALSE)</f>
        <v>12</v>
      </c>
      <c r="H15" s="23">
        <f>G15*(1-HLOOKUP($B15,'[1]3. Mitigation Impact on Coverag'!$BY$5:$EQ$7,3,FALSE))</f>
        <v>12</v>
      </c>
      <c r="I15" s="76">
        <f>HLOOKUP(B15,'[1]3. Mitigation Impact on Coverag'!ES$5:HK$7,3,FALSE)</f>
        <v>0.89</v>
      </c>
      <c r="J15" s="77">
        <f>1-((1-Risk_of_Provider_Being_Infected*_xlfn.SINGLE(Transmission_Risk_Contact_Health_Care_Provider))^(G15)*(1-Risk_of_Community_Member_being_Infected*Transmission_Risk_in_Community)^(G15*Contacts_During_Travel_to_Facility))</f>
        <v>0.0200792199791329</v>
      </c>
      <c r="K15" s="77">
        <f>J15*(1-(Percent_Prevalence_at_End_of_Projection_Period-Percent_Prevalence_at_Beginning_of_Projection_Period)-Percent_Prevalence_at_Beginning_of_Projection_Period-Percent_Prevalence_at_Beginning_of_Projection_Period)</f>
        <v>0.011378224654842</v>
      </c>
      <c r="L15" s="22">
        <f>$F15*$K15*HH_Size</f>
        <v>3032.18308826883</v>
      </c>
      <c r="M15" s="23">
        <f>$F15*$J15*(HH_Children*Fatality_Rate_Child+HH_Adults*Fatality_Rate_Adult+HH_Over_60*Fatality_Rate_Over_60)</f>
        <v>10.4239235091139</v>
      </c>
      <c r="N15" s="79">
        <f>1-((1-Risk_of_Provider_Being_Infected*Transmission_Risk_Contact_Health_Care_Provider*(1-Reduction_in_Risk_PPE))^($G16)*(1-Risk_of_Community_Member_being_Infected*Transmission_Risk_in_Community)^($G16*Contacts_During_Travel_to_Facility))</f>
        <v>0.0196420309115675</v>
      </c>
      <c r="O15" s="77">
        <f>N15*(1-(Percent_Prevalence_at_End_of_Projection_Period-Percent_Prevalence_at_Beginning_of_Projection_Period))</f>
        <v>0.0150588903655351</v>
      </c>
      <c r="P15" s="22">
        <f>$F15*$O15*HH_Size</f>
        <v>4013.04369351144</v>
      </c>
      <c r="Q15" s="23">
        <f>$F15*$O15*(HH_Children*Fatality_Rate_Child+HH_Adults*Fatality_Rate_Adult+HH_Over_60*Fatality_Rate_Over_60)</f>
        <v>7.81767028129589</v>
      </c>
      <c r="R15" s="79">
        <f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0.0192484671410232</v>
      </c>
      <c r="S15" s="77">
        <f>R15*(1-(Percent_Prevalence_at_End_of_Projection_Period-Percent_Prevalence_at_Beginning_of_Projection_Period))</f>
        <v>0.0147571581414511</v>
      </c>
      <c r="T15" s="22">
        <f>$F15*$S15*HH_Size</f>
        <v>3932.63507311532</v>
      </c>
      <c r="U15" s="23">
        <f>$F15*$S15*(HH_Children*Fatality_Rate_Child+HH_Adults*Fatality_Rate_Adult+HH_Over_60*Fatality_Rate_Over_60)</f>
        <v>7.66102905582228</v>
      </c>
      <c r="V15" s="79">
        <f>1-((1-Risk_of_Provider_Being_Infected*_xlfn.SINGLE(Transmission_Risk_Contact_Health_Care_Provider)*(1-$I15)))*(1-Risk_of_Community_Member_being_Infected*Transmission_Risk_in_Community)^($H15*Contacts_During_Travel_to_Facility)</f>
        <v>0.0157395073851672</v>
      </c>
      <c r="W15" s="77">
        <f>V15*(1-(Percent_Prevalence_at_End_of_Projection_Period-Percent_Prevalence_at_Beginning_of_Projection_Period))</f>
        <v>0.0120669556619615</v>
      </c>
      <c r="X15" s="22">
        <f>$F15*$W15*HH_Size</f>
        <v>3215.72301435612</v>
      </c>
      <c r="Y15" s="23">
        <f>$F15*$W15*(HH_Children*Fatality_Rate_Child+HH_Adults*Fatality_Rate_Adult+HH_Over_60*Fatality_Rate_Over_60)</f>
        <v>6.26443770917776</v>
      </c>
      <c r="Z15" s="79">
        <f>1-((1-Risk_of_Provider_Being_Infected*Transmission_Risk_Contact_Health_Care_Provider*(1-$I15))^($H15)*(1-Risk_of_Community_Member_being_Infected*Transmission_Risk_in_Community)^($H15*Contacts_During_Travel_to_Facility))</f>
        <v>0.0161819465428993</v>
      </c>
      <c r="AA15" s="77">
        <f>Z15*(1-(Percent_Prevalence_at_End_of_Projection_Period-Percent_Prevalence_at_Beginning_of_Projection_Period))</f>
        <v>0.0124061590162228</v>
      </c>
      <c r="AB15" s="22">
        <f>$F15*$AA15*HH_Size*Infection_Rate_within_HH</f>
        <v>2975.50558460989</v>
      </c>
      <c r="AC15" s="23">
        <f>$F15*$AA15*Infection_Rate_within_HH*(HH_Children*Fatality_Rate_Child+HH_Adults*Fatality_Rate_Adult+HH_Over_60*Fatality_Rate_Over_60)</f>
        <v>5.7964785228343</v>
      </c>
      <c r="AD15" s="94"/>
    </row>
    <row r="16" spans="1:30">
      <c r="A16" s="38" t="str">
        <f>IF(VLOOKUP(B16,'[1]1. Select Services'!$A$6:$E$77,5,FALSE)="x","x","")</f>
        <v>x</v>
      </c>
      <c r="B16" s="39">
        <v>2</v>
      </c>
      <c r="C16" s="42">
        <v>1</v>
      </c>
      <c r="D16" s="43"/>
      <c r="E16" s="42" t="s">
        <v>40</v>
      </c>
      <c r="F16" s="22">
        <f>IF(Chosen_Scenario="Mitigation Impact Only",VLOOKUP($B16,'[1]Coverage Review Updated'!$B$5:$T$78,18,FALSE),VLOOKUP($B16,'[1]Coverage Review Updated'!$B$5:$T$78,19,FALSE))</f>
        <v>1700</v>
      </c>
      <c r="G16" s="22">
        <f>VLOOKUP($B16,'[1]7. Number of HW Contacts'!$B$4:$I$84,6,FALSE)</f>
        <v>12</v>
      </c>
      <c r="H16" s="23">
        <f>G16*(1-HLOOKUP($B16,'[1]3. Mitigation Impact on Coverag'!$BY$5:$EQ$7,3,FALSE))</f>
        <v>12</v>
      </c>
      <c r="I16" s="76">
        <f>HLOOKUP(B16,'[1]3. Mitigation Impact on Coverag'!ES$5:HK$7,3,FALSE)</f>
        <v>0.89</v>
      </c>
      <c r="J16" s="77">
        <f>1-((1-Risk_of_Provider_Being_Infected*_xlfn.SINGLE(Transmission_Risk_Contact_Health_Care_Provider))^(G16)*(1-Risk_of_Community_Member_being_Infected*Transmission_Risk_in_Community)^(G16*Contacts_During_Travel_to_Facility))</f>
        <v>0.0200792199791329</v>
      </c>
      <c r="K16" s="77">
        <f>J16*(1-(Percent_Prevalence_at_End_of_Projection_Period-Percent_Prevalence_at_Beginning_of_Projection_Period))</f>
        <v>0.0153940686506685</v>
      </c>
      <c r="L16" s="22">
        <f>$F16*$K16*HH_Size</f>
        <v>164.87047524866</v>
      </c>
      <c r="M16" s="23">
        <f>$F16*$J16*(HH_Children*Fatality_Rate_Child+HH_Adults*Fatality_Rate_Adult+HH_Over_60*Fatality_Rate_Over_60)</f>
        <v>0.418928367978573</v>
      </c>
      <c r="N16" s="79">
        <f>1-((1-Risk_of_Provider_Being_Infected*_xlfn.SINGLE(Transmission_Risk_Contact_Health_Care_Provider)*(1-Reduction_in_Risk_PPE))^($G16)*(1-Risk_of_Community_Member_being_Infected*Transmission_Risk_in_Community)^($G16*Contacts_During_Travel_to_Facility))</f>
        <v>0.0196420309115675</v>
      </c>
      <c r="O16" s="77">
        <f>N16*(1-(Percent_Prevalence_at_End_of_Projection_Period-Percent_Prevalence_at_Beginning_of_Projection_Period))</f>
        <v>0.0150588903655351</v>
      </c>
      <c r="P16" s="22">
        <f>$F16*$O16*HH_Size</f>
        <v>161.280715814881</v>
      </c>
      <c r="Q16" s="23">
        <f>$F16*$O16*(HH_Children*Fatality_Rate_Child+HH_Adults*Fatality_Rate_Adult+HH_Over_60*Fatality_Rate_Over_60)</f>
        <v>0.314185330453972</v>
      </c>
      <c r="R16" s="79">
        <f>1-((1-Risk_of_Provider_Being_Infected*_xlfn.SINGLE(Transmission_Risk_Contact_Health_Care_Provider)*(1-Reduction_in_Risk_PPE))^($G16*(1-Reduction_in_Risk_TS)))*(1-Risk_of_Community_Member_being_Infected*Transmission_Risk_in_Community)^($G16*Contacts_During_Travel_to_Facility)</f>
        <v>0.0192484671410232</v>
      </c>
      <c r="S16" s="77">
        <f>R16*(1-(Percent_Prevalence_at_End_of_Projection_Period-Percent_Prevalence_at_Beginning_of_Projection_Period))</f>
        <v>0.0147571581414511</v>
      </c>
      <c r="T16" s="22">
        <f>$F16*$S16*HH_Size</f>
        <v>158.049163694942</v>
      </c>
      <c r="U16" s="23">
        <f>$F16*$S16*(HH_Children*Fatality_Rate_Child+HH_Adults*Fatality_Rate_Adult+HH_Over_60*Fatality_Rate_Over_60)</f>
        <v>0.307890056616971</v>
      </c>
      <c r="V16" s="79">
        <f>1-((1-Risk_of_Provider_Being_Infected*_xlfn.SINGLE(Transmission_Risk_Contact_Health_Care_Provider)*(1-$I16)))*(1-Risk_of_Community_Member_being_Infected*Transmission_Risk_in_Community)^($H16*Contacts_During_Travel_to_Facility)</f>
        <v>0.0157395073851672</v>
      </c>
      <c r="W16" s="77">
        <f>V16*(1-(Percent_Prevalence_at_End_of_Projection_Period-Percent_Prevalence_at_Beginning_of_Projection_Period))</f>
        <v>0.0120669556619615</v>
      </c>
      <c r="X16" s="22">
        <f>$F16*$W16*HH_Size</f>
        <v>129.237095139608</v>
      </c>
      <c r="Y16" s="23">
        <f>$F16*$W16*(HH_Children*Fatality_Rate_Child+HH_Adults*Fatality_Rate_Adult+HH_Over_60*Fatality_Rate_Over_60)</f>
        <v>0.251762272000052</v>
      </c>
      <c r="Z16" s="79">
        <f>1-((1-Risk_of_Provider_Being_Infected*Transmission_Risk_Contact_Health_Care_Provider*(1-$I16))^($H16)*(1-Risk_of_Community_Member_being_Infected*Transmission_Risk_in_Community)^($H16*Contacts_During_Travel_to_Facility))</f>
        <v>0.0161819465428993</v>
      </c>
      <c r="AA16" s="77">
        <f>Z16*(1-(Percent_Prevalence_at_End_of_Projection_Period-Percent_Prevalence_at_Beginning_of_Projection_Period))</f>
        <v>0.0124061590162228</v>
      </c>
      <c r="AB16" s="22">
        <f>$F16*$AA16*HH_Size*Infection_Rate_within_HH</f>
        <v>119.582966757371</v>
      </c>
      <c r="AC16" s="23">
        <f>$F16*$AA16*Infection_Rate_within_HH*(HH_Children*Fatality_Rate_Child+HH_Adults*Fatality_Rate_Adult+HH_Over_60*Fatality_Rate_Over_60)</f>
        <v>0.23295540162691</v>
      </c>
      <c r="AD16" s="94"/>
    </row>
    <row r="17" spans="1:30">
      <c r="A17" s="38" t="str">
        <f>IF(VLOOKUP(B17,'[1]1. Select Services'!$A$6:$E$77,5,FALSE)="x","x","")</f>
        <v>x</v>
      </c>
      <c r="B17" s="39">
        <v>3</v>
      </c>
      <c r="C17" s="42">
        <v>4</v>
      </c>
      <c r="D17" s="43"/>
      <c r="E17" s="42" t="s">
        <v>41</v>
      </c>
      <c r="F17" s="22">
        <f>IF(Chosen_Scenario="Mitigation Impact Only",VLOOKUP($B17,'[1]Coverage Review Updated'!$B$5:$T$78,18,FALSE),VLOOKUP($B17,'[1]Coverage Review Updated'!$B$5:$T$78,19,FALSE))</f>
        <v>2500</v>
      </c>
      <c r="G17" s="22">
        <f>VLOOKUP($B17,'[1]7. Number of HW Contacts'!$B$4:$I$84,6,FALSE)</f>
        <v>4</v>
      </c>
      <c r="H17" s="23">
        <f>G17*(1-HLOOKUP($B17,'[1]3. Mitigation Impact on Coverag'!$BY$5:$EQ$7,3,FALSE))</f>
        <v>4</v>
      </c>
      <c r="I17" s="76">
        <f>HLOOKUP(B17,'[1]3. Mitigation Impact on Coverag'!ES$5:HK$7,3,FALSE)</f>
        <v>0.89</v>
      </c>
      <c r="J17" s="77">
        <f>1-((1-Risk_of_Provider_Being_Infected*_xlfn.SINGLE(Transmission_Risk_Contact_Health_Care_Provider))^(G17)*(1-Risk_of_Community_Member_being_Infected*Transmission_Risk_in_Community)^(G17*Contacts_During_Travel_to_Facility))</f>
        <v>0.00673837706487967</v>
      </c>
      <c r="K17" s="77">
        <f>J17*(1-(Percent_Prevalence_at_End_of_Projection_Period-Percent_Prevalence_at_Beginning_of_Projection_Period))</f>
        <v>0.00516608908307442</v>
      </c>
      <c r="L17" s="22">
        <f>$F17*$K17*HH_Size</f>
        <v>81.3659030584221</v>
      </c>
      <c r="M17" s="23">
        <f>$F17*$J17*(HH_Children*Fatality_Rate_Child+HH_Adults*Fatality_Rate_Adult+HH_Over_60*Fatality_Rate_Over_60)</f>
        <v>0.206747053564065</v>
      </c>
      <c r="N17" s="79">
        <f>1-((1-Risk_of_Provider_Being_Infected*_xlfn.SINGLE(Transmission_Risk_Contact_Health_Care_Provider)*(1-Reduction_in_Risk_PPE))^($G17)*(1-Risk_of_Community_Member_being_Infected*Transmission_Risk_in_Community)^($G17*Contacts_During_Travel_to_Facility))</f>
        <v>0.00659068534366247</v>
      </c>
      <c r="O17" s="77">
        <f>N17*(1-(Percent_Prevalence_at_End_of_Projection_Period-Percent_Prevalence_at_Beginning_of_Projection_Period))</f>
        <v>0.00505285876347456</v>
      </c>
      <c r="P17" s="22">
        <f>$F17*$O17*HH_Size</f>
        <v>79.5825255247243</v>
      </c>
      <c r="Q17" s="23">
        <f>$F17*$O17*(HH_Children*Fatality_Rate_Child+HH_Adults*Fatality_Rate_Adult+HH_Over_60*Fatality_Rate_Over_60)</f>
        <v>0.155031938902396</v>
      </c>
      <c r="R17" s="79">
        <f>1-((1-Risk_of_Provider_Being_Infected*_xlfn.SINGLE(Transmission_Risk_Contact_Health_Care_Provider)*(1-Reduction_in_Risk_PPE))^($G17*(1-Reduction_in_Risk_TS)))*(1-Risk_of_Community_Member_being_Infected*Transmission_Risk_in_Community)^($G17*Contacts_During_Travel_to_Facility)</f>
        <v>0.00645776872157322</v>
      </c>
      <c r="S17" s="77">
        <f>R17*(1-(Percent_Prevalence_at_End_of_Projection_Period-Percent_Prevalence_at_Beginning_of_Projection_Period))</f>
        <v>0.0049509560198728</v>
      </c>
      <c r="T17" s="22">
        <f>$F17*$S17*HH_Size</f>
        <v>77.9775573129966</v>
      </c>
      <c r="U17" s="23">
        <f>$F17*$S17*(HH_Children*Fatality_Rate_Child+HH_Adults*Fatality_Rate_Adult+HH_Over_60*Fatality_Rate_Over_60)</f>
        <v>0.151905356375638</v>
      </c>
      <c r="V17" s="79">
        <f>1-((1-Risk_of_Provider_Being_Infected*_xlfn.SINGLE(Transmission_Risk_Contact_Health_Care_Provider)*(1-$I17)))*(1-Risk_of_Community_Member_being_Infected*Transmission_Risk_in_Community)^($H17*Contacts_During_Travel_to_Facility)</f>
        <v>0.00530137682028997</v>
      </c>
      <c r="W17" s="77">
        <f>V17*(1-(Percent_Prevalence_at_End_of_Projection_Period-Percent_Prevalence_at_Beginning_of_Projection_Period))</f>
        <v>0.00406438889555564</v>
      </c>
      <c r="X17" s="22">
        <f>$F17*$W17*HH_Size</f>
        <v>64.0141251050014</v>
      </c>
      <c r="Y17" s="23">
        <f>$F17*$W17*(HH_Children*Fatality_Rate_Child+HH_Adults*Fatality_Rate_Adult+HH_Over_60*Fatality_Rate_Over_60)</f>
        <v>0.124703681703161</v>
      </c>
      <c r="Z17" s="79">
        <f>1-((1-Risk_of_Provider_Being_Infected*Transmission_Risk_Contact_Health_Care_Provider*(1-$I17))^($H17)*(1-Risk_of_Community_Member_being_Infected*Transmission_Risk_in_Community)^($H17*Contacts_During_Travel_to_Facility))</f>
        <v>0.00542334164396496</v>
      </c>
      <c r="AA17" s="77">
        <f>Z17*(1-(Percent_Prevalence_at_End_of_Projection_Period-Percent_Prevalence_at_Beginning_of_Projection_Period))</f>
        <v>0.00415789526037314</v>
      </c>
      <c r="AB17" s="22">
        <f>$F17*$AA17*HH_Size*Infection_Rate_within_HH</f>
        <v>58.9381653157892</v>
      </c>
      <c r="AC17" s="23">
        <f>$F17*$AA17*Infection_Rate_within_HH*(HH_Children*Fatality_Rate_Child+HH_Adults*Fatality_Rate_Adult+HH_Over_60*Fatality_Rate_Over_60)</f>
        <v>0.114815381693535</v>
      </c>
      <c r="AD17" s="94"/>
    </row>
    <row r="18" spans="1:30">
      <c r="A18" s="38" t="str">
        <f>IF(VLOOKUP(B18,'[1]1. Select Services'!$A$6:$E$77,5,FALSE)="x","x","")</f>
        <v>x</v>
      </c>
      <c r="B18" s="39">
        <v>4</v>
      </c>
      <c r="C18" s="42">
        <v>5</v>
      </c>
      <c r="D18" s="43"/>
      <c r="E18" s="42" t="s">
        <v>42</v>
      </c>
      <c r="F18" s="22">
        <f>IF(Chosen_Scenario="Mitigation Impact Only",VLOOKUP($B18,'[1]Coverage Review Updated'!$B$5:$T$78,18,FALSE),VLOOKUP($B18,'[1]Coverage Review Updated'!$B$5:$T$78,19,FALSE))</f>
        <v>0</v>
      </c>
      <c r="G18" s="22">
        <f>VLOOKUP($B18,'[1]7. Number of HW Contacts'!$B$4:$I$84,6,FALSE)</f>
        <v>1</v>
      </c>
      <c r="H18" s="23">
        <f>G18*(1-HLOOKUP($B18,'[1]3. Mitigation Impact on Coverag'!$BY$5:$EQ$7,3,FALSE))</f>
        <v>1</v>
      </c>
      <c r="I18" s="76">
        <f>HLOOKUP(B18,'[1]3. Mitigation Impact on Coverag'!ES$5:HK$7,3,FALSE)</f>
        <v>0.89</v>
      </c>
      <c r="J18" s="77">
        <f>1-((1-Risk_of_Provider_Being_Infected*_xlfn.SINGLE(Transmission_Risk_Contact_Health_Care_Provider))^(G18)*(1-Risk_of_Community_Member_being_Infected*Transmission_Risk_in_Community)^(G18*Contacts_During_Travel_to_Facility))</f>
        <v>0.00168886786312739</v>
      </c>
      <c r="K18" s="77">
        <f>J18*(1-(Percent_Prevalence_at_End_of_Projection_Period-Percent_Prevalence_at_Beginning_of_Projection_Period))</f>
        <v>0.00129479869506433</v>
      </c>
      <c r="L18" s="22">
        <f>$F18*$K18*HH_Size</f>
        <v>0</v>
      </c>
      <c r="M18" s="23">
        <f>$F18*$J18*(HH_Children*Fatality_Rate_Child+HH_Adults*Fatality_Rate_Adult+HH_Over_60*Fatality_Rate_Over_60)</f>
        <v>0</v>
      </c>
      <c r="N18" s="79">
        <f>1-((1-Risk_of_Provider_Being_Infected*_xlfn.SINGLE(Transmission_Risk_Contact_Health_Care_Provider)*(1-Reduction_in_Risk_PPE))^($G18)*(1-Risk_of_Community_Member_being_Infected*Transmission_Risk_in_Community)^($G18*Contacts_During_Travel_to_Facility))</f>
        <v>0.00165175929441719</v>
      </c>
      <c r="O18" s="77">
        <f>N18*(1-(Percent_Prevalence_at_End_of_Projection_Period-Percent_Prevalence_at_Beginning_of_Projection_Period))</f>
        <v>0.00126634879238651</v>
      </c>
      <c r="P18" s="22">
        <f>$F18*$O18*HH_Size</f>
        <v>0</v>
      </c>
      <c r="Q18" s="23">
        <f>$F18*$O18*(HH_Children*Fatality_Rate_Child+HH_Adults*Fatality_Rate_Adult+HH_Over_60*Fatality_Rate_Over_60)</f>
        <v>0</v>
      </c>
      <c r="R18" s="79">
        <f>1-((1-Risk_of_Provider_Being_Infected*_xlfn.SINGLE(Transmission_Risk_Contact_Health_Care_Provider)*(1-Reduction_in_Risk_PPE))^($G18*(1-Reduction_in_Risk_TS)))*(1-Risk_of_Community_Member_being_Infected*Transmission_Risk_in_Community)^($G18*Contacts_During_Travel_to_Facility)</f>
        <v>0.0016183666091496</v>
      </c>
      <c r="S18" s="77">
        <f>R18*(1-(Percent_Prevalence_at_End_of_Projection_Period-Percent_Prevalence_at_Beginning_of_Projection_Period))</f>
        <v>0.00124074773368136</v>
      </c>
      <c r="T18" s="22">
        <f>$F18*$S18*HH_Size</f>
        <v>0</v>
      </c>
      <c r="U18" s="23">
        <f>$F18*$S18*(HH_Children*Fatality_Rate_Child+HH_Adults*Fatality_Rate_Adult+HH_Over_60*Fatality_Rate_Over_60)</f>
        <v>0</v>
      </c>
      <c r="V18" s="79">
        <f>1-((1-Risk_of_Provider_Being_Infected*_xlfn.SINGLE(Transmission_Risk_Contact_Health_Care_Provider)*(1-$I18)))*(1-Risk_of_Community_Member_being_Infected*Transmission_Risk_in_Community)^($H18*Contacts_During_Travel_to_Facility)</f>
        <v>0.00135860160160617</v>
      </c>
      <c r="W18" s="77">
        <f>V18*(1-(Percent_Prevalence_at_End_of_Projection_Period-Percent_Prevalence_at_Beginning_of_Projection_Period))</f>
        <v>0.0010415945612314</v>
      </c>
      <c r="X18" s="22">
        <f>$F18*$W18*HH_Size</f>
        <v>0</v>
      </c>
      <c r="Y18" s="23">
        <f>$F18*$W18*(HH_Children*Fatality_Rate_Child+HH_Adults*Fatality_Rate_Adult+HH_Over_60*Fatality_Rate_Over_60)</f>
        <v>0</v>
      </c>
      <c r="Z18" s="79">
        <f>1-((1-Risk_of_Provider_Being_Infected*Transmission_Risk_Contact_Health_Care_Provider*(1-$I18))^($H18)*(1-Risk_of_Community_Member_being_Infected*Transmission_Risk_in_Community)^($H18*Contacts_During_Travel_to_Facility))</f>
        <v>0.00135860160160617</v>
      </c>
      <c r="AA18" s="77">
        <f>Z18*(1-(Percent_Prevalence_at_End_of_Projection_Period-Percent_Prevalence_at_Beginning_of_Projection_Period))</f>
        <v>0.0010415945612314</v>
      </c>
      <c r="AB18" s="22">
        <f>$F18*$AA18*HH_Size*Infection_Rate_within_HH</f>
        <v>0</v>
      </c>
      <c r="AC18" s="23">
        <f>$F18*$AA18*Infection_Rate_within_HH*(HH_Children*Fatality_Rate_Child+HH_Adults*Fatality_Rate_Adult+HH_Over_60*Fatality_Rate_Over_60)</f>
        <v>0</v>
      </c>
      <c r="AD18" s="94"/>
    </row>
    <row r="19" spans="1:30">
      <c r="A19" s="38" t="str">
        <f>IF(VLOOKUP(B19,'[1]1. Select Services'!$A$6:$E$77,5,FALSE)="x","x","")</f>
        <v>x</v>
      </c>
      <c r="B19" s="39">
        <v>5</v>
      </c>
      <c r="C19" s="42">
        <v>6</v>
      </c>
      <c r="D19" s="43"/>
      <c r="E19" s="42" t="s">
        <v>43</v>
      </c>
      <c r="F19" s="22">
        <f>IF(Chosen_Scenario="Mitigation Impact Only",VLOOKUP($B19,'[1]Coverage Review Updated'!$B$5:$T$78,18,FALSE),VLOOKUP($B19,'[1]Coverage Review Updated'!$B$5:$T$78,19,FALSE))</f>
        <v>12800</v>
      </c>
      <c r="G19" s="22">
        <f>VLOOKUP($B19,'[1]7. Number of HW Contacts'!$B$4:$I$84,6,FALSE)</f>
        <v>1</v>
      </c>
      <c r="H19" s="23">
        <f>G19*(1-HLOOKUP($B19,'[1]3. Mitigation Impact on Coverag'!$BY$5:$EQ$7,3,FALSE))</f>
        <v>1</v>
      </c>
      <c r="I19" s="76">
        <f>HLOOKUP(B19,'[1]3. Mitigation Impact on Coverag'!ES$5:HK$7,3,FALSE)</f>
        <v>0.89</v>
      </c>
      <c r="J19" s="87">
        <f>1-((1-Risk_of_Provider_Being_Infected*_xlfn.SINGLE(Transmission_Risk_Contact_Health_Care_Provider))^(G19)*(1-Risk_of_Community_Member_being_Infected*Transmission_Risk_in_Community)^(G19*Contacts_During_Travel_to_Facility))</f>
        <v>0.00168886786312739</v>
      </c>
      <c r="K19" s="77">
        <f>J19*(1-(Percent_Prevalence_at_End_of_Projection_Period-Percent_Prevalence_at_Beginning_of_Projection_Period))</f>
        <v>0.00129479869506433</v>
      </c>
      <c r="L19" s="22">
        <f>$F19*$K19*HH_Size</f>
        <v>104.412566769987</v>
      </c>
      <c r="M19" s="23">
        <f>$F19*$J19*(HH_Children*Fatality_Rate_Child+HH_Adults*Fatality_Rate_Adult+HH_Over_60*Fatality_Rate_Over_60)</f>
        <v>0.265307576310636</v>
      </c>
      <c r="N19" s="87">
        <f>1-((1-Risk_of_Provider_Being_Infected*_xlfn.SINGLE(Transmission_Risk_Contact_Health_Care_Provider)*(1-Reduction_in_Risk_PPE))^($G19)*(1-Risk_of_Community_Member_being_Infected*Transmission_Risk_in_Community)^($G19*Contacts_During_Travel_to_Facility))</f>
        <v>0.00165175929441719</v>
      </c>
      <c r="O19" s="77">
        <f>N19*(1-(Percent_Prevalence_at_End_of_Projection_Period-Percent_Prevalence_at_Beginning_of_Projection_Period))</f>
        <v>0.00126634879238651</v>
      </c>
      <c r="P19" s="22">
        <f>$F19*$O19*HH_Size</f>
        <v>102.118366618048</v>
      </c>
      <c r="Q19" s="23">
        <f>$F19*$O19*(HH_Children*Fatality_Rate_Child+HH_Adults*Fatality_Rate_Adult+HH_Over_60*Fatality_Rate_Over_60)</f>
        <v>0.19893322397042</v>
      </c>
      <c r="R19" s="87">
        <f>1-((1-Risk_of_Provider_Being_Infected*_xlfn.SINGLE(Transmission_Risk_Contact_Health_Care_Provider)*(1-Reduction_in_Risk_PPE))^($G19*(1-Reduction_in_Risk_TS)))*(1-Risk_of_Community_Member_being_Infected*Transmission_Risk_in_Community)^($G19*Contacts_During_Travel_to_Facility)</f>
        <v>0.0016183666091496</v>
      </c>
      <c r="S19" s="77">
        <f>R19*(1-(Percent_Prevalence_at_End_of_Projection_Period-Percent_Prevalence_at_Beginning_of_Projection_Period))</f>
        <v>0.00124074773368136</v>
      </c>
      <c r="T19" s="22">
        <f>$F19*$S19*HH_Size</f>
        <v>100.053897244065</v>
      </c>
      <c r="U19" s="23">
        <f>$F19*$S19*(HH_Children*Fatality_Rate_Child+HH_Adults*Fatality_Rate_Adult+HH_Over_60*Fatality_Rate_Over_60)</f>
        <v>0.194911503275545</v>
      </c>
      <c r="V19" s="79">
        <f>1-((1-Risk_of_Provider_Being_Infected*_xlfn.SINGLE(Transmission_Risk_Contact_Health_Care_Provider)*(1-$I19)))*(1-Risk_of_Community_Member_being_Infected*Transmission_Risk_in_Community)^($H19*Contacts_During_Travel_to_Facility)</f>
        <v>0.00135860160160617</v>
      </c>
      <c r="W19" s="77">
        <f>V19*(1-(Percent_Prevalence_at_End_of_Projection_Period-Percent_Prevalence_at_Beginning_of_Projection_Period))</f>
        <v>0.0010415945612314</v>
      </c>
      <c r="X19" s="22">
        <f>$F19*$W19*HH_Size</f>
        <v>83.9941854176998</v>
      </c>
      <c r="Y19" s="23">
        <f>$F19*$W19*(HH_Children*Fatality_Rate_Child+HH_Adults*Fatality_Rate_Adult+HH_Over_60*Fatality_Rate_Over_60)</f>
        <v>0.163626139481936</v>
      </c>
      <c r="Z19" s="79">
        <f>1-((1-Risk_of_Provider_Being_Infected*Transmission_Risk_Contact_Health_Care_Provider*(1-$I19))^($H19)*(1-Risk_of_Community_Member_being_Infected*Transmission_Risk_in_Community)^($H19*Contacts_During_Travel_to_Facility))</f>
        <v>0.00135860160160617</v>
      </c>
      <c r="AA19" s="77">
        <f>Z19*(1-(Percent_Prevalence_at_End_of_Projection_Period-Percent_Prevalence_at_Beginning_of_Projection_Period))</f>
        <v>0.0010415945612314</v>
      </c>
      <c r="AB19" s="22">
        <f>$F19*$AA19*HH_Size*Infection_Rate_within_HH</f>
        <v>75.5947668759298</v>
      </c>
      <c r="AC19" s="23">
        <f>$F19*$AA19*Infection_Rate_within_HH*(HH_Children*Fatality_Rate_Child+HH_Adults*Fatality_Rate_Adult+HH_Over_60*Fatality_Rate_Over_60)</f>
        <v>0.147263525533743</v>
      </c>
      <c r="AD19" s="94"/>
    </row>
    <row r="20" spans="1:30">
      <c r="A20" s="38" t="str">
        <f>IF(VLOOKUP(B20,'[1]1. Select Services'!$A$6:$E$77,5,FALSE)="x","x","")</f>
        <v>x</v>
      </c>
      <c r="B20" s="39">
        <v>6</v>
      </c>
      <c r="C20" s="42">
        <v>2</v>
      </c>
      <c r="D20" s="43"/>
      <c r="E20" s="42" t="s">
        <v>44</v>
      </c>
      <c r="F20" s="22">
        <f>IF(Chosen_Scenario="Mitigation Impact Only",VLOOKUP($B20,'[1]Coverage Review Updated'!$B$5:$T$78,18,FALSE),VLOOKUP($B20,'[1]Coverage Review Updated'!$B$5:$T$78,19,FALSE))</f>
        <v>1500</v>
      </c>
      <c r="G20" s="22">
        <f>VLOOKUP($B20,'[1]7. Number of HW Contacts'!$B$4:$I$84,6,FALSE)</f>
        <v>2</v>
      </c>
      <c r="H20" s="23">
        <f>G20*(1-HLOOKUP($B20,'[1]3. Mitigation Impact on Coverag'!$BY$5:$EQ$7,3,FALSE))</f>
        <v>2</v>
      </c>
      <c r="I20" s="76">
        <f>HLOOKUP(B20,'[1]3. Mitigation Impact on Coverag'!ES$5:HK$7,3,FALSE)</f>
        <v>0.89</v>
      </c>
      <c r="J20" s="77">
        <f>1-((1-Risk_of_Provider_Being_Infected*_xlfn.SINGLE(Transmission_Risk_Contact_Health_Care_Provider))^(G20)*(1-Risk_of_Community_Member_being_Infected*Transmission_Risk_in_Community)^(G20*Contacts_During_Travel_to_Facility))</f>
        <v>0.00337488345159576</v>
      </c>
      <c r="K20" s="77">
        <f>J20*(1-(Percent_Prevalence_at_End_of_Projection_Period-Percent_Prevalence_at_Beginning_of_Projection_Period))</f>
        <v>0.00258741064622341</v>
      </c>
      <c r="L20" s="22">
        <f>$F20*$K20*HH_Size</f>
        <v>24.4510306068112</v>
      </c>
      <c r="M20" s="23">
        <f>$F20*$J20*(HH_Children*Fatality_Rate_Child+HH_Adults*Fatality_Rate_Adult+HH_Over_60*Fatality_Rate_Over_60)</f>
        <v>0.0621289550603683</v>
      </c>
      <c r="N20" s="79">
        <f>1-((1-Risk_of_Provider_Being_Infected*_xlfn.SINGLE(Transmission_Risk_Contact_Health_Care_Provider)*(1-Reduction_in_Risk_PPE))^($G20)*(1-Risk_of_Community_Member_being_Infected*Transmission_Risk_in_Community)^($G20*Contacts_During_Travel_to_Facility))</f>
        <v>0.00330079028006769</v>
      </c>
      <c r="O20" s="77">
        <f>N20*(1-(Percent_Prevalence_at_End_of_Projection_Period-Percent_Prevalence_at_Beginning_of_Projection_Period))</f>
        <v>0.00253060588138523</v>
      </c>
      <c r="P20" s="22">
        <f>$F20*$O20*HH_Size</f>
        <v>23.9142255790904</v>
      </c>
      <c r="Q20" s="23">
        <f>$F20*$O20*(HH_Children*Fatality_Rate_Child+HH_Adults*Fatality_Rate_Adult+HH_Over_60*Fatality_Rate_Over_60)</f>
        <v>0.0465864677506852</v>
      </c>
      <c r="R20" s="79">
        <f>1-((1-Risk_of_Provider_Being_Infected*_xlfn.SINGLE(Transmission_Risk_Contact_Health_Care_Provider)*(1-Reduction_in_Risk_PPE))^($G20*(1-Reduction_in_Risk_TS)))*(1-Risk_of_Community_Member_being_Infected*Transmission_Risk_in_Community)^($G20*Contacts_During_Travel_to_Facility)</f>
        <v>0.00323411410781771</v>
      </c>
      <c r="S20" s="77">
        <f>R20*(1-(Percent_Prevalence_at_End_of_Projection_Period-Percent_Prevalence_at_Beginning_of_Projection_Period))</f>
        <v>0.00247948748266024</v>
      </c>
      <c r="T20" s="22">
        <f>$F20*$S20*HH_Size</f>
        <v>23.4311567111393</v>
      </c>
      <c r="U20" s="23">
        <f>$F20*$S20*(HH_Children*Fatality_Rate_Child+HH_Adults*Fatality_Rate_Adult+HH_Over_60*Fatality_Rate_Over_60)</f>
        <v>0.0456454181581012</v>
      </c>
      <c r="V20" s="79">
        <f>1-((1-Risk_of_Provider_Being_Infected*_xlfn.SINGLE(Transmission_Risk_Contact_Health_Care_Provider)*(1-$I20)))*(1-Risk_of_Community_Member_being_Infected*Transmission_Risk_in_Community)^($H20*Contacts_During_Travel_to_Facility)</f>
        <v>0.00267459343665633</v>
      </c>
      <c r="W20" s="77">
        <f>V20*(1-(Percent_Prevalence_at_End_of_Projection_Period-Percent_Prevalence_at_Beginning_of_Projection_Period))</f>
        <v>0.00205052163476985</v>
      </c>
      <c r="X20" s="22">
        <f>$F20*$W20*HH_Size</f>
        <v>19.3774294485751</v>
      </c>
      <c r="Y20" s="23">
        <f>$F20*$W20*(HH_Children*Fatality_Rate_Child+HH_Adults*Fatality_Rate_Adult+HH_Over_60*Fatality_Rate_Over_60)</f>
        <v>0.0377484936366296</v>
      </c>
      <c r="Z20" s="79">
        <f>1-((1-Risk_of_Provider_Being_Infected*Transmission_Risk_Contact_Health_Care_Provider*(1-$I20))^($H20)*(1-Risk_of_Community_Member_being_Infected*Transmission_Risk_in_Community)^($H20*Contacts_During_Travel_to_Facility))</f>
        <v>0.00271535740490059</v>
      </c>
      <c r="AA20" s="77">
        <f>Z20*(1-(Percent_Prevalence_at_End_of_Projection_Period-Percent_Prevalence_at_Beginning_of_Projection_Period))</f>
        <v>0.00208177401042378</v>
      </c>
      <c r="AB20" s="22">
        <f>$F20*$AA20*HH_Size*Infection_Rate_within_HH</f>
        <v>17.7054879586543</v>
      </c>
      <c r="AC20" s="23">
        <f>$F20*$AA20*Infection_Rate_within_HH*(HH_Children*Fatality_Rate_Child+HH_Adults*Fatality_Rate_Adult+HH_Over_60*Fatality_Rate_Over_60)</f>
        <v>0.0344914428053733</v>
      </c>
      <c r="AD20" s="94"/>
    </row>
    <row r="21" spans="1:30">
      <c r="A21" s="38" t="str">
        <f>IF(VLOOKUP(B21,'[1]1. Select Services'!$A$6:$E$77,5,FALSE)="x","x","")</f>
        <v/>
      </c>
      <c r="B21" s="39">
        <v>7</v>
      </c>
      <c r="C21" s="42">
        <v>3</v>
      </c>
      <c r="D21" s="43"/>
      <c r="E21" s="42" t="s">
        <v>45</v>
      </c>
      <c r="F21" s="22">
        <f>IF(Chosen_Scenario="Mitigation Impact Only",VLOOKUP($B21,'[1]Coverage Review Updated'!$B$5:$T$78,18,FALSE),VLOOKUP($B21,'[1]Coverage Review Updated'!$B$5:$T$78,19,FALSE))</f>
        <v>0</v>
      </c>
      <c r="G21" s="22">
        <f>VLOOKUP($B21,'[1]7. Number of HW Contacts'!$B$4:$I$84,6,FALSE)</f>
        <v>2</v>
      </c>
      <c r="H21" s="23">
        <f>G21*(1-HLOOKUP($B21,'[1]3. Mitigation Impact on Coverag'!$BY$5:$EQ$7,3,FALSE))</f>
        <v>2</v>
      </c>
      <c r="I21" s="76">
        <f>HLOOKUP(B21,'[1]3. Mitigation Impact on Coverag'!ES$5:HK$7,3,FALSE)</f>
        <v>0.89</v>
      </c>
      <c r="J21" s="77">
        <f>1-((1-Risk_of_Provider_Being_Infected*_xlfn.SINGLE(Transmission_Risk_Contact_Health_Care_Provider))^(G21)*(1-Risk_of_Community_Member_being_Infected*Transmission_Risk_in_Community)^(G21*Contacts_During_Travel_to_Facility))</f>
        <v>0.00337488345159576</v>
      </c>
      <c r="K21" s="77">
        <f>J21*(1-(Percent_Prevalence_at_End_of_Projection_Period-Percent_Prevalence_at_Beginning_of_Projection_Period))</f>
        <v>0.00258741064622341</v>
      </c>
      <c r="L21" s="22">
        <f>$F21*$K21*HH_Size</f>
        <v>0</v>
      </c>
      <c r="M21" s="23">
        <f>$F21*$J21*(HH_Children*Fatality_Rate_Child+HH_Adults*Fatality_Rate_Adult+HH_Over_60*Fatality_Rate_Over_60)</f>
        <v>0</v>
      </c>
      <c r="N21" s="79">
        <f>1-((1-Risk_of_Provider_Being_Infected*_xlfn.SINGLE(Transmission_Risk_Contact_Health_Care_Provider)*(1-Reduction_in_Risk_PPE))^($G21)*(1-Risk_of_Community_Member_being_Infected*Transmission_Risk_in_Community)^($G21*Contacts_During_Travel_to_Facility))</f>
        <v>0.00330079028006769</v>
      </c>
      <c r="O21" s="77">
        <f>N21*(1-(Percent_Prevalence_at_End_of_Projection_Period-Percent_Prevalence_at_Beginning_of_Projection_Period))</f>
        <v>0.00253060588138523</v>
      </c>
      <c r="P21" s="22">
        <f>$F21*$O21*HH_Size</f>
        <v>0</v>
      </c>
      <c r="Q21" s="23">
        <f>$F21*$O21*(HH_Children*Fatality_Rate_Child+HH_Adults*Fatality_Rate_Adult+HH_Over_60*Fatality_Rate_Over_60)</f>
        <v>0</v>
      </c>
      <c r="R21" s="79">
        <f>1-((1-Risk_of_Provider_Being_Infected*_xlfn.SINGLE(Transmission_Risk_Contact_Health_Care_Provider)*(1-Reduction_in_Risk_PPE))^($G21*(1-Reduction_in_Risk_TS)))*(1-Risk_of_Community_Member_being_Infected*Transmission_Risk_in_Community)^($G21*Contacts_During_Travel_to_Facility)</f>
        <v>0.00323411410781771</v>
      </c>
      <c r="S21" s="77">
        <f>R21*(1-(Percent_Prevalence_at_End_of_Projection_Period-Percent_Prevalence_at_Beginning_of_Projection_Period))</f>
        <v>0.00247948748266024</v>
      </c>
      <c r="T21" s="22">
        <f>$F21*$S21*HH_Size</f>
        <v>0</v>
      </c>
      <c r="U21" s="23">
        <f>$F21*$S21*(HH_Children*Fatality_Rate_Child+HH_Adults*Fatality_Rate_Adult+HH_Over_60*Fatality_Rate_Over_60)</f>
        <v>0</v>
      </c>
      <c r="V21" s="79">
        <f>1-((1-Risk_of_Provider_Being_Infected*_xlfn.SINGLE(Transmission_Risk_Contact_Health_Care_Provider)*(1-$I21)))*(1-Risk_of_Community_Member_being_Infected*Transmission_Risk_in_Community)^($H21*Contacts_During_Travel_to_Facility)</f>
        <v>0.00267459343665633</v>
      </c>
      <c r="W21" s="77">
        <f>V21*(1-(Percent_Prevalence_at_End_of_Projection_Period-Percent_Prevalence_at_Beginning_of_Projection_Period))</f>
        <v>0.00205052163476985</v>
      </c>
      <c r="X21" s="22">
        <f>$F21*$W21*HH_Size</f>
        <v>0</v>
      </c>
      <c r="Y21" s="23">
        <f>$F21*$W21*(HH_Children*Fatality_Rate_Child+HH_Adults*Fatality_Rate_Adult+HH_Over_60*Fatality_Rate_Over_60)</f>
        <v>0</v>
      </c>
      <c r="Z21" s="79">
        <f>1-((1-Risk_of_Provider_Being_Infected*Transmission_Risk_Contact_Health_Care_Provider*(1-$I21))^($H21)*(1-Risk_of_Community_Member_being_Infected*Transmission_Risk_in_Community)^($H21*Contacts_During_Travel_to_Facility))</f>
        <v>0.00271535740490059</v>
      </c>
      <c r="AA21" s="77">
        <f>Z21*(1-(Percent_Prevalence_at_End_of_Projection_Period-Percent_Prevalence_at_Beginning_of_Projection_Period))</f>
        <v>0.00208177401042378</v>
      </c>
      <c r="AB21" s="22">
        <f>$F21*$AA21*HH_Size*Infection_Rate_within_HH</f>
        <v>0</v>
      </c>
      <c r="AC21" s="23">
        <f>$F21*$AA21*Infection_Rate_within_HH*(HH_Children*Fatality_Rate_Child+HH_Adults*Fatality_Rate_Adult+HH_Over_60*Fatality_Rate_Over_60)</f>
        <v>0</v>
      </c>
      <c r="AD21" s="94"/>
    </row>
    <row r="22" spans="1:30">
      <c r="A22" s="38" t="str">
        <f>IF(VLOOKUP(B22,'[1]1. Select Services'!$A$6:$E$77,5,FALSE)="x","x","")</f>
        <v/>
      </c>
      <c r="B22" s="39">
        <v>8</v>
      </c>
      <c r="C22" s="42">
        <v>8</v>
      </c>
      <c r="D22" s="43"/>
      <c r="E22" s="42" t="s">
        <v>46</v>
      </c>
      <c r="F22" s="22">
        <f>IF(Chosen_Scenario="Mitigation Impact Only",VLOOKUP($B22,'[1]Coverage Review Updated'!$B$5:$T$78,18,FALSE),VLOOKUP($B22,'[1]Coverage Review Updated'!$B$5:$T$78,19,FALSE))</f>
        <v>46100</v>
      </c>
      <c r="G22" s="22">
        <f>VLOOKUP($B22,'[1]7. Number of HW Contacts'!$B$4:$I$84,6,FALSE)</f>
        <v>0</v>
      </c>
      <c r="H22" s="23">
        <f>G22*(1-HLOOKUP($B22,'[1]3. Mitigation Impact on Coverag'!$BY$5:$EQ$7,3,FALSE))</f>
        <v>0</v>
      </c>
      <c r="I22" s="76">
        <f>HLOOKUP(B22,'[1]3. Mitigation Impact on Coverag'!ES$5:HK$7,3,FALSE)</f>
        <v>0.89</v>
      </c>
      <c r="J22" s="77">
        <f>1-((1-Risk_of_Provider_Being_Infected*_xlfn.SINGLE(Transmission_Risk_Contact_Health_Care_Provider))^(G22)*(1-Risk_of_Community_Member_being_Infected*Transmission_Risk_in_Community)^(G22*Contacts_During_Travel_to_Facility))</f>
        <v>0</v>
      </c>
      <c r="K22" s="77">
        <f>J22*(1-(Percent_Prevalence_at_End_of_Projection_Period-Percent_Prevalence_at_Beginning_of_Projection_Period))</f>
        <v>0</v>
      </c>
      <c r="L22" s="22">
        <f>$F22*$K22*HH_Size</f>
        <v>0</v>
      </c>
      <c r="M22" s="23">
        <f>$F22*$J22*(HH_Children*Fatality_Rate_Child+HH_Adults*Fatality_Rate_Adult+HH_Over_60*Fatality_Rate_Over_60)</f>
        <v>0</v>
      </c>
      <c r="N22" s="79">
        <f>1-((1-Risk_of_Provider_Being_Infected*_xlfn.SINGLE(Transmission_Risk_Contact_Health_Care_Provider)*(1-Reduction_in_Risk_PPE))^($G22)*(1-Risk_of_Community_Member_being_Infected*Transmission_Risk_in_Community)^($G22*Contacts_During_Travel_to_Facility))</f>
        <v>0</v>
      </c>
      <c r="O22" s="77">
        <f>N22*(1-(Percent_Prevalence_at_End_of_Projection_Period-Percent_Prevalence_at_Beginning_of_Projection_Period))</f>
        <v>0</v>
      </c>
      <c r="P22" s="22">
        <f>$F22*$O22*HH_Size</f>
        <v>0</v>
      </c>
      <c r="Q22" s="23">
        <f>$F22*$O22*(HH_Children*Fatality_Rate_Child+HH_Adults*Fatality_Rate_Adult+HH_Over_60*Fatality_Rate_Over_60)</f>
        <v>0</v>
      </c>
      <c r="R22" s="79">
        <f>1-((1-Risk_of_Provider_Being_Infected*_xlfn.SINGLE(Transmission_Risk_Contact_Health_Care_Provider)*(1-Reduction_in_Risk_PPE))^($G22*(1-Reduction_in_Risk_TS)))*(1-Risk_of_Community_Member_being_Infected*Transmission_Risk_in_Community)^($G22*Contacts_During_Travel_to_Facility)</f>
        <v>0</v>
      </c>
      <c r="S22" s="77">
        <f>R22*(1-(Percent_Prevalence_at_End_of_Projection_Period-Percent_Prevalence_at_Beginning_of_Projection_Period))</f>
        <v>0</v>
      </c>
      <c r="T22" s="22">
        <f>$F22*$S22*HH_Size</f>
        <v>0</v>
      </c>
      <c r="U22" s="23">
        <f>$F22*$S22*(HH_Children*Fatality_Rate_Child+HH_Adults*Fatality_Rate_Adult+HH_Over_60*Fatality_Rate_Over_60)</f>
        <v>0</v>
      </c>
      <c r="V22" s="79">
        <f>1-((1-Risk_of_Provider_Being_Infected*_xlfn.SINGLE(Transmission_Risk_Contact_Health_Care_Provider)*(1-$I22)))*(1-Risk_of_Community_Member_being_Infected*Transmission_Risk_in_Community)^($H22*Contacts_During_Travel_to_Facility)</f>
        <v>4.0873287671217e-5</v>
      </c>
      <c r="W22" s="77">
        <f>V22*(1-(Percent_Prevalence_at_End_of_Projection_Period-Percent_Prevalence_at_Beginning_of_Projection_Period))</f>
        <v>3.13361872145997e-5</v>
      </c>
      <c r="X22" s="22">
        <f>$F22*$W22*HH_Size</f>
        <v>9.10096885273619</v>
      </c>
      <c r="Y22" s="23">
        <f>$F22*$W22*(HH_Children*Fatality_Rate_Child+HH_Adults*Fatality_Rate_Adult+HH_Over_60*Fatality_Rate_Over_60)</f>
        <v>0.0177292796104046</v>
      </c>
      <c r="Z22" s="79">
        <f>1-((1-Risk_of_Provider_Being_Infected*Transmission_Risk_Contact_Health_Care_Provider*(1-$I22))^($H22)*(1-Risk_of_Community_Member_being_Infected*Transmission_Risk_in_Community)^($H22*Contacts_During_Travel_to_Facility))</f>
        <v>0</v>
      </c>
      <c r="AA22" s="77">
        <f>Z22*(1-(Percent_Prevalence_at_End_of_Projection_Period-Percent_Prevalence_at_Beginning_of_Projection_Period))</f>
        <v>0</v>
      </c>
      <c r="AB22" s="22">
        <f>$F22*$AA22*HH_Size*Infection_Rate_within_HH</f>
        <v>0</v>
      </c>
      <c r="AC22" s="23">
        <f>$F22*$AA22*Infection_Rate_within_HH*(HH_Children*Fatality_Rate_Child+HH_Adults*Fatality_Rate_Adult+HH_Over_60*Fatality_Rate_Over_60)</f>
        <v>0</v>
      </c>
      <c r="AD22" s="94"/>
    </row>
    <row r="23" spans="1:30">
      <c r="A23" s="38" t="s">
        <v>47</v>
      </c>
      <c r="B23" s="44">
        <v>9</v>
      </c>
      <c r="C23" s="44">
        <v>14</v>
      </c>
      <c r="D23" s="45" t="s">
        <v>28</v>
      </c>
      <c r="E23" s="44" t="s">
        <v>48</v>
      </c>
      <c r="F23" s="22">
        <f>IF(Chosen_Scenario="Mitigation Impact Only",VLOOKUP($B23,'[1]Coverage Review Updated'!$B$5:$T$78,18,FALSE),VLOOKUP($B23,'[1]Coverage Review Updated'!$B$5:$T$78,19,FALSE))</f>
        <v>197100</v>
      </c>
      <c r="G23" s="22">
        <v>1</v>
      </c>
      <c r="H23" s="23">
        <v>1</v>
      </c>
      <c r="I23" s="76">
        <f>HLOOKUP(B23,'[1]3. Mitigation Impact on Coverag'!ES$5:HK$7,3,FALSE)</f>
        <v>0.87</v>
      </c>
      <c r="J23" s="77">
        <f>1-((1-Risk_of_Provider_Being_Infected*_xlfn.SINGLE(Transmission_Risk_Contact_Health_Care_Provider))^(G23)*(1-Risk_of_Community_Member_being_Infected*Transmission_Risk_in_Community)^(G23*Contacts_During_Travel_to_Facility))</f>
        <v>0.00168886786312739</v>
      </c>
      <c r="K23" s="77">
        <f>J23*(1-(Percent_Prevalence_at_End_of_Projection_Period-Percent_Prevalence_at_Beginning_of_Projection_Period))</f>
        <v>0.00129479869506433</v>
      </c>
      <c r="L23" s="22">
        <f>$F23*$K23*HH_Size</f>
        <v>1607.79038362223</v>
      </c>
      <c r="M23" s="23">
        <f>$F23*$J23*(HH_Children*Fatality_Rate_Child+HH_Adults*Fatality_Rate_Adult+HH_Over_60*Fatality_Rate_Over_60)</f>
        <v>4.0853221320958</v>
      </c>
      <c r="N23" s="79">
        <f>1-((1-Risk_of_Provider_Being_Infected*_xlfn.SINGLE(Transmission_Risk_Contact_Health_Care_Provider)*(1-Reduction_in_Risk_PPE))^($G23)*(1-Risk_of_Community_Member_being_Infected*Transmission_Risk_in_Community)^($G23*Contacts_During_Travel_to_Facility))</f>
        <v>0.00165175929441719</v>
      </c>
      <c r="O23" s="77">
        <f>N23*(1-(Percent_Prevalence_at_End_of_Projection_Period-Percent_Prevalence_at_Beginning_of_Projection_Period))</f>
        <v>0.00126634879238651</v>
      </c>
      <c r="P23" s="22">
        <f>$F23*$O23*HH_Size</f>
        <v>1572.4632859701</v>
      </c>
      <c r="Q23" s="23">
        <f>$F23*$O23*(HH_Children*Fatality_Rate_Child+HH_Adults*Fatality_Rate_Adult+HH_Over_60*Fatality_Rate_Over_60)</f>
        <v>3.06326081598202</v>
      </c>
      <c r="R23" s="79">
        <f>1-((1-Risk_of_Provider_Being_Infected*_xlfn.SINGLE(Transmission_Risk_Contact_Health_Care_Provider)*(1-Reduction_in_Risk_PPE))^($G23*(1-Reduction_in_Risk_TS)))*(1-Risk_of_Community_Member_being_Infected*Transmission_Risk_in_Community)^($G23*Contacts_During_Travel_to_Facility)</f>
        <v>0.0016183666091496</v>
      </c>
      <c r="S23" s="77">
        <f>R23*(1-(Percent_Prevalence_at_End_of_Projection_Period-Percent_Prevalence_at_Beginning_of_Projection_Period))</f>
        <v>0.00124074773368136</v>
      </c>
      <c r="T23" s="22">
        <f>$F23*$S23*HH_Size</f>
        <v>1540.67368334416</v>
      </c>
      <c r="U23" s="23">
        <f>$F23*$S23*(HH_Children*Fatality_Rate_Child+HH_Adults*Fatality_Rate_Adult+HH_Over_60*Fatality_Rate_Over_60)</f>
        <v>3.00133260121952</v>
      </c>
      <c r="V23" s="79">
        <f>1-((1-Risk_of_Provider_Being_Infected*_xlfn.SINGLE(Transmission_Risk_Contact_Health_Care_Provider)*(1-$I23)))*(1-Risk_of_Community_Member_being_Infected*Transmission_Risk_in_Community)^($H23*Contacts_During_Travel_to_Facility)</f>
        <v>0.0013660233153483</v>
      </c>
      <c r="W23" s="77">
        <f>V23*(1-(Percent_Prevalence_at_End_of_Projection_Period-Percent_Prevalence_at_Beginning_of_Projection_Period))</f>
        <v>0.00104728454176703</v>
      </c>
      <c r="X23" s="22">
        <f>$F23*$W23*HH_Size</f>
        <v>1300.44463404837</v>
      </c>
      <c r="Y23" s="23">
        <f>$F23*$W23*(HH_Children*Fatality_Rate_Child+HH_Adults*Fatality_Rate_Adult+HH_Over_60*Fatality_Rate_Over_60)</f>
        <v>2.53335077923733</v>
      </c>
      <c r="Z23" s="79">
        <f>1-((1-Risk_of_Provider_Being_Infected*Transmission_Risk_Contact_Health_Care_Provider*(1-$I23))^($H23)*(1-Risk_of_Community_Member_being_Infected*Transmission_Risk_in_Community)^($H23*Contacts_During_Travel_to_Facility))</f>
        <v>0.0013660233153483</v>
      </c>
      <c r="AA23" s="77">
        <f>Z23*(1-(Percent_Prevalence_at_End_of_Projection_Period-Percent_Prevalence_at_Beginning_of_Projection_Period))</f>
        <v>0.00104728454176703</v>
      </c>
      <c r="AB23" s="22">
        <f>$F23*$AA23*HH_Size*Infection_Rate_within_HH</f>
        <v>1170.40017064353</v>
      </c>
      <c r="AC23" s="23">
        <f>$F23*$AA23*Infection_Rate_within_HH*(HH_Children*Fatality_Rate_Child+HH_Adults*Fatality_Rate_Adult+HH_Over_60*Fatality_Rate_Over_60)</f>
        <v>2.2800157013136</v>
      </c>
      <c r="AD23" s="94"/>
    </row>
    <row r="24" spans="1:30">
      <c r="A24" s="38" t="s">
        <v>47</v>
      </c>
      <c r="B24" s="44">
        <v>10</v>
      </c>
      <c r="C24" s="44">
        <v>15</v>
      </c>
      <c r="D24" s="46"/>
      <c r="E24" s="44" t="s">
        <v>49</v>
      </c>
      <c r="F24" s="22">
        <f>IF(Chosen_Scenario="Mitigation Impact Only",VLOOKUP($B24,'[1]Coverage Review Updated'!$B$5:$T$78,18,FALSE),VLOOKUP($B24,'[1]Coverage Review Updated'!$B$5:$T$78,19,FALSE))</f>
        <v>152700</v>
      </c>
      <c r="G24" s="22">
        <v>6</v>
      </c>
      <c r="H24" s="23">
        <f>G24*(1-HLOOKUP($B24,'[1]3. Mitigation Impact on Coverag'!$BY$5:$EQ$7,3,FALSE))</f>
        <v>5.7</v>
      </c>
      <c r="I24" s="76">
        <f>HLOOKUP(B24,'[1]3. Mitigation Impact on Coverag'!ES$5:HK$7,3,FALSE)</f>
        <v>0.87</v>
      </c>
      <c r="J24" s="77">
        <f>1-((1-Risk_of_Provider_Being_Infected*_xlfn.SINGLE(Transmission_Risk_Contact_Health_Care_Provider))^(G24)*(1-Risk_of_Community_Member_being_Infected*Transmission_Risk_in_Community)^(G24*Contacts_During_Travel_to_Facility))</f>
        <v>0.0100905192792287</v>
      </c>
      <c r="K24" s="77">
        <f>J24*(1-(Percent_Prevalence_at_End_of_Projection_Period-Percent_Prevalence_at_Beginning_of_Projection_Period))</f>
        <v>0.00773606478074197</v>
      </c>
      <c r="L24" s="22">
        <f>$F24*$K24*HH_Size</f>
        <v>7442.17167972158</v>
      </c>
      <c r="M24" s="23">
        <f>$F24*$J24*(HH_Children*Fatality_Rate_Child+HH_Adults*Fatality_Rate_Adult+HH_Over_60*Fatality_Rate_Over_60)</f>
        <v>18.9102192572679</v>
      </c>
      <c r="N24" s="79">
        <f>1-((1-Risk_of_Provider_Being_Infected*_xlfn.SINGLE(Transmission_Risk_Contact_Health_Care_Provider)*(1-Reduction_in_Risk_PPE))^($G24)*(1-Risk_of_Community_Member_being_Infected*Transmission_Risk_in_Community)^($G24*Contacts_During_Travel_to_Facility))</f>
        <v>0.00986972115360873</v>
      </c>
      <c r="O24" s="77">
        <f>N24*(1-(Percent_Prevalence_at_End_of_Projection_Period-Percent_Prevalence_at_Beginning_of_Projection_Period))</f>
        <v>0.0075667862177667</v>
      </c>
      <c r="P24" s="22">
        <f>$F24*$O24*HH_Size</f>
        <v>7279.32400935374</v>
      </c>
      <c r="Q24" s="23">
        <f>$F24*$O24*(HH_Children*Fatality_Rate_Child+HH_Adults*Fatality_Rate_Adult+HH_Over_60*Fatality_Rate_Over_60)</f>
        <v>14.1805969040058</v>
      </c>
      <c r="R24" s="79">
        <f>1-((1-Risk_of_Provider_Being_Infected*_xlfn.SINGLE(Transmission_Risk_Contact_Health_Care_Provider)*(1-Reduction_in_Risk_PPE))^($G24*(1-Reduction_in_Risk_TS)))*(1-Risk_of_Community_Member_being_Infected*Transmission_Risk_in_Community)^($G24*Contacts_During_Travel_to_Facility)</f>
        <v>0.00967099766846335</v>
      </c>
      <c r="S24" s="77">
        <f>R24*(1-(Percent_Prevalence_at_End_of_Projection_Period-Percent_Prevalence_at_Beginning_of_Projection_Period))</f>
        <v>0.00741443154582191</v>
      </c>
      <c r="T24" s="22">
        <f>$F24*$S24*HH_Size</f>
        <v>7132.75729139613</v>
      </c>
      <c r="U24" s="23">
        <f>$F24*$S24*(HH_Children*Fatality_Rate_Child+HH_Adults*Fatality_Rate_Adult+HH_Over_60*Fatality_Rate_Over_60)</f>
        <v>13.8950753989555</v>
      </c>
      <c r="V24" s="79">
        <f>1-((1-Risk_of_Provider_Being_Infected*_xlfn.SINGLE(Transmission_Risk_Contact_Health_Care_Provider)*(1-$I24)))*(1-Risk_of_Community_Member_being_Infected*Transmission_Risk_in_Community)^($H24*Contacts_During_Travel_to_Facility)</f>
        <v>0.0075360781714231</v>
      </c>
      <c r="W24" s="77">
        <f>V24*(1-(Percent_Prevalence_at_End_of_Projection_Period-Percent_Prevalence_at_Beginning_of_Projection_Period))</f>
        <v>0.00577765993142438</v>
      </c>
      <c r="X24" s="22">
        <f>$F24*$W24*HH_Size</f>
        <v>5558.16663062956</v>
      </c>
      <c r="Y24" s="23">
        <f>$F24*$W24*(HH_Children*Fatality_Rate_Child+HH_Adults*Fatality_Rate_Adult+HH_Over_60*Fatality_Rate_Over_60)</f>
        <v>10.8276703184217</v>
      </c>
      <c r="Z24" s="79">
        <f>1-((1-Risk_of_Provider_Being_Infected*Transmission_Risk_Contact_Health_Care_Provider*(1-$I24))^($H24)*(1-Risk_of_Community_Member_being_Infected*Transmission_Risk_in_Community)^($H24*Contacts_During_Travel_to_Facility))</f>
        <v>0.00776137963600942</v>
      </c>
      <c r="AA24" s="77">
        <f>Z24*(1-(Percent_Prevalence_at_End_of_Projection_Period-Percent_Prevalence_at_Beginning_of_Projection_Period))</f>
        <v>0.00595039105427389</v>
      </c>
      <c r="AB24" s="22">
        <f>$F24*$AA24*HH_Size*Infection_Rate_within_HH</f>
        <v>5151.90212830982</v>
      </c>
      <c r="AC24" s="23">
        <f>$F24*$AA24*Infection_Rate_within_HH*(HH_Children*Fatality_Rate_Child+HH_Adults*Fatality_Rate_Adult+HH_Over_60*Fatality_Rate_Over_60)</f>
        <v>10.036240628467</v>
      </c>
      <c r="AD24" s="94"/>
    </row>
    <row r="25" spans="1:30">
      <c r="A25" s="38" t="str">
        <f>IF(VLOOKUP(B25,'[1]1. Select Services'!$A$6:$E$77,5,FALSE)="x","x","")</f>
        <v>x</v>
      </c>
      <c r="B25" s="44">
        <v>11</v>
      </c>
      <c r="C25" s="44">
        <v>16</v>
      </c>
      <c r="D25" s="46"/>
      <c r="E25" s="44" t="s">
        <v>50</v>
      </c>
      <c r="F25" s="22">
        <f>IF(Chosen_Scenario="Mitigation Impact Only",VLOOKUP($B25,'[1]Coverage Review Updated'!$B$5:$T$78,18,FALSE),VLOOKUP($B25,'[1]Coverage Review Updated'!$B$5:$T$78,19,FALSE))</f>
        <v>168600</v>
      </c>
      <c r="G25" s="22">
        <f>VLOOKUP($B25,'[1]7. Number of HW Contacts'!$B$4:$I$84,6,FALSE)</f>
        <v>2</v>
      </c>
      <c r="H25" s="23">
        <f>G25*(1-HLOOKUP($B25,'[1]3. Mitigation Impact on Coverag'!$BY$5:$EQ$7,3,FALSE))</f>
        <v>1.9</v>
      </c>
      <c r="I25" s="76">
        <f>HLOOKUP(B25,'[1]3. Mitigation Impact on Coverag'!ES$5:HK$7,3,FALSE)</f>
        <v>0.87</v>
      </c>
      <c r="J25" s="77">
        <f>1-((1-Risk_of_Provider_Being_Infected*_xlfn.SINGLE(Transmission_Risk_Contact_Health_Care_Provider))^(G25)*(1-Risk_of_Community_Member_being_Infected*Transmission_Risk_in_Community)^(G25*Contacts_During_Travel_to_Facility))</f>
        <v>0.00337488345159576</v>
      </c>
      <c r="K25" s="77">
        <f>J25*(1-(Percent_Prevalence_at_End_of_Projection_Period-Percent_Prevalence_at_Beginning_of_Projection_Period))</f>
        <v>0.00258741064622341</v>
      </c>
      <c r="L25" s="22">
        <f>$F25*$K25*HH_Size</f>
        <v>2748.29584020558</v>
      </c>
      <c r="M25" s="23">
        <f>$F25*$J25*(HH_Children*Fatality_Rate_Child+HH_Adults*Fatality_Rate_Adult+HH_Over_60*Fatality_Rate_Over_60)</f>
        <v>6.9832945487854</v>
      </c>
      <c r="N25" s="79">
        <f>1-((1-Risk_of_Provider_Being_Infected*_xlfn.SINGLE(Transmission_Risk_Contact_Health_Care_Provider)*(1-Reduction_in_Risk_PPE))^($G25)*(1-Risk_of_Community_Member_being_Infected*Transmission_Risk_in_Community)^($G25*Contacts_During_Travel_to_Facility))</f>
        <v>0.00330079028006769</v>
      </c>
      <c r="O25" s="77">
        <f>N25*(1-(Percent_Prevalence_at_End_of_Projection_Period-Percent_Prevalence_at_Beginning_of_Projection_Period))</f>
        <v>0.00253060588138523</v>
      </c>
      <c r="P25" s="22">
        <f>$F25*$O25*HH_Size</f>
        <v>2687.95895508976</v>
      </c>
      <c r="Q25" s="23">
        <f>$F25*$O25*(HH_Children*Fatality_Rate_Child+HH_Adults*Fatality_Rate_Adult+HH_Over_60*Fatality_Rate_Over_60)</f>
        <v>5.23631897517701</v>
      </c>
      <c r="R25" s="79">
        <f>1-((1-Risk_of_Provider_Being_Infected*_xlfn.SINGLE(Transmission_Risk_Contact_Health_Care_Provider)*(1-Reduction_in_Risk_PPE))^($G25*(1-Reduction_in_Risk_TS)))*(1-Risk_of_Community_Member_being_Infected*Transmission_Risk_in_Community)^($G25*Contacts_During_Travel_to_Facility)</f>
        <v>0.00323411410781771</v>
      </c>
      <c r="S25" s="77">
        <f>R25*(1-(Percent_Prevalence_at_End_of_Projection_Period-Percent_Prevalence_at_Beginning_of_Projection_Period))</f>
        <v>0.00247948748266024</v>
      </c>
      <c r="T25" s="22">
        <f>$F25*$S25*HH_Size</f>
        <v>2633.66201433206</v>
      </c>
      <c r="U25" s="23">
        <f>$F25*$S25*(HH_Children*Fatality_Rate_Child+HH_Adults*Fatality_Rate_Adult+HH_Over_60*Fatality_Rate_Over_60)</f>
        <v>5.13054500097057</v>
      </c>
      <c r="V25" s="79">
        <f>1-((1-Risk_of_Provider_Being_Infected*_xlfn.SINGLE(Transmission_Risk_Contact_Health_Care_Provider)*(1-$I25)))*(1-Risk_of_Community_Member_being_Infected*Transmission_Risk_in_Community)^($H25*Contacts_During_Travel_to_Facility)</f>
        <v>0.00255048524044088</v>
      </c>
      <c r="W25" s="77">
        <f>V25*(1-(Percent_Prevalence_at_End_of_Projection_Period-Percent_Prevalence_at_Beginning_of_Projection_Period))</f>
        <v>0.00195537201767134</v>
      </c>
      <c r="X25" s="22">
        <f>$F25*$W25*HH_Size</f>
        <v>2076.95704973015</v>
      </c>
      <c r="Y25" s="23">
        <f>$F25*$W25*(HH_Children*Fatality_Rate_Child+HH_Adults*Fatality_Rate_Adult+HH_Over_60*Fatality_Rate_Over_60)</f>
        <v>4.04604749992042</v>
      </c>
      <c r="Z25" s="79">
        <f>1-((1-Risk_of_Provider_Being_Infected*Transmission_Risk_Contact_Health_Care_Provider*(1-$I25))^($H25)*(1-Risk_of_Community_Member_being_Infected*Transmission_Risk_in_Community)^($H25*Contacts_During_Travel_to_Facility))</f>
        <v>0.00259384877964541</v>
      </c>
      <c r="AA25" s="77">
        <f>Z25*(1-(Percent_Prevalence_at_End_of_Projection_Period-Percent_Prevalence_at_Beginning_of_Projection_Period))</f>
        <v>0.00198861739772815</v>
      </c>
      <c r="AB25" s="22">
        <f>$F25*$AA25*HH_Size*Infection_Rate_within_HH</f>
        <v>1901.042664767</v>
      </c>
      <c r="AC25" s="23">
        <f>$F25*$AA25*Infection_Rate_within_HH*(HH_Children*Fatality_Rate_Child+HH_Adults*Fatality_Rate_Adult+HH_Over_60*Fatality_Rate_Over_60)</f>
        <v>3.70335482961572</v>
      </c>
      <c r="AD25" s="94"/>
    </row>
    <row r="26" spans="1:30">
      <c r="A26" s="38" t="str">
        <f>IF(VLOOKUP(B26,'[1]1. Select Services'!$A$6:$E$77,5,FALSE)="x","x","")</f>
        <v>x</v>
      </c>
      <c r="B26" s="44">
        <v>12</v>
      </c>
      <c r="C26" s="44">
        <v>17</v>
      </c>
      <c r="D26" s="46"/>
      <c r="E26" s="44" t="s">
        <v>51</v>
      </c>
      <c r="F26" s="22">
        <f>IF(Chosen_Scenario="Mitigation Impact Only",VLOOKUP($B26,'[1]Coverage Review Updated'!$B$5:$T$78,18,FALSE),VLOOKUP($B26,'[1]Coverage Review Updated'!$B$5:$T$78,19,FALSE))</f>
        <v>0</v>
      </c>
      <c r="G26" s="22">
        <f>VLOOKUP($B26,'[1]7. Number of HW Contacts'!$B$4:$I$84,6,FALSE)</f>
        <v>3</v>
      </c>
      <c r="H26" s="23">
        <f>G26*(1-HLOOKUP($B26,'[1]3. Mitigation Impact on Coverag'!$BY$5:$EQ$7,3,FALSE))</f>
        <v>2.85</v>
      </c>
      <c r="I26" s="76">
        <f>HLOOKUP(B26,'[1]3. Mitigation Impact on Coverag'!ES$5:HK$7,3,FALSE)</f>
        <v>0.87</v>
      </c>
      <c r="J26" s="77">
        <f>1-((1-Risk_of_Provider_Being_Infected*_xlfn.SINGLE(Transmission_Risk_Contact_Health_Care_Provider))^(G26)*(1-Risk_of_Community_Member_being_Infected*Transmission_Risk_in_Community)^(G26*Contacts_During_Travel_to_Facility))</f>
        <v>0.00505805158252004</v>
      </c>
      <c r="K26" s="77">
        <f>J26*(1-(Percent_Prevalence_at_End_of_Projection_Period-Percent_Prevalence_at_Beginning_of_Projection_Period))</f>
        <v>0.0038778395465987</v>
      </c>
      <c r="L26" s="22">
        <f>$F26*$K26*HH_Size</f>
        <v>0</v>
      </c>
      <c r="M26" s="23">
        <f>$F26*$J26*(HH_Children*Fatality_Rate_Child+HH_Adults*Fatality_Rate_Adult+HH_Over_60*Fatality_Rate_Over_60)</f>
        <v>0</v>
      </c>
      <c r="N26" s="79">
        <f>1-((1-Risk_of_Provider_Being_Infected*_xlfn.SINGLE(Transmission_Risk_Contact_Health_Care_Provider)*(1-Reduction_in_Risk_PPE))^($G26)*(1-Risk_of_Community_Member_being_Infected*Transmission_Risk_in_Community)^($G26*Contacts_During_Travel_to_Facility))</f>
        <v>0.00494709746346089</v>
      </c>
      <c r="O26" s="77">
        <f>N26*(1-(Percent_Prevalence_at_End_of_Projection_Period-Percent_Prevalence_at_Beginning_of_Projection_Period))</f>
        <v>0.00379277472198668</v>
      </c>
      <c r="P26" s="22">
        <f>$F26*$O26*HH_Size</f>
        <v>0</v>
      </c>
      <c r="Q26" s="23">
        <f>$F26*$O26*(HH_Children*Fatality_Rate_Child+HH_Adults*Fatality_Rate_Adult+HH_Over_60*Fatality_Rate_Over_60)</f>
        <v>0</v>
      </c>
      <c r="R26" s="79">
        <f>1-((1-Risk_of_Provider_Being_Infected*_xlfn.SINGLE(Transmission_Risk_Contact_Health_Care_Provider)*(1-Reduction_in_Risk_PPE))^($G26*(1-Reduction_in_Risk_TS)))*(1-Risk_of_Community_Member_being_Infected*Transmission_Risk_in_Community)^($G26*Contacts_During_Travel_to_Facility)</f>
        <v>0.00484724673468517</v>
      </c>
      <c r="S26" s="77">
        <f>R26*(1-(Percent_Prevalence_at_End_of_Projection_Period-Percent_Prevalence_at_Beginning_of_Projection_Period))</f>
        <v>0.00371622249659197</v>
      </c>
      <c r="T26" s="22">
        <f>$F26*$S26*HH_Size</f>
        <v>0</v>
      </c>
      <c r="U26" s="23">
        <f>$F26*$S26*(HH_Children*Fatality_Rate_Child+HH_Adults*Fatality_Rate_Adult+HH_Over_60*Fatality_Rate_Over_60)</f>
        <v>0</v>
      </c>
      <c r="V26" s="79">
        <f>1-((1-Risk_of_Provider_Being_Infected*_xlfn.SINGLE(Transmission_Risk_Contact_Health_Care_Provider)*(1-$I26)))*(1-Risk_of_Community_Member_being_Infected*Transmission_Risk_in_Community)^($H26*Contacts_During_Travel_to_Facility)</f>
        <v>0.00379922652973008</v>
      </c>
      <c r="W26" s="77">
        <f>V26*(1-(Percent_Prevalence_at_End_of_Projection_Period-Percent_Prevalence_at_Beginning_of_Projection_Period))</f>
        <v>0.00291274033945973</v>
      </c>
      <c r="X26" s="22">
        <f>$F26*$W26*HH_Size</f>
        <v>0</v>
      </c>
      <c r="Y26" s="23">
        <f>$F26*$W26*(HH_Children*Fatality_Rate_Child+HH_Adults*Fatality_Rate_Adult+HH_Over_60*Fatality_Rate_Over_60)</f>
        <v>0</v>
      </c>
      <c r="Z26" s="79">
        <f>1-((1-Risk_of_Provider_Being_Infected*Transmission_Risk_Contact_Health_Care_Provider*(1-$I26))^($H26)*(1-Risk_of_Community_Member_being_Infected*Transmission_Risk_in_Community)^($H26*Contacts_During_Travel_to_Facility))</f>
        <v>0.0038882490583747</v>
      </c>
      <c r="AA26" s="77">
        <f>Z26*(1-(Percent_Prevalence_at_End_of_Projection_Period-Percent_Prevalence_at_Beginning_of_Projection_Period))</f>
        <v>0.00298099094475394</v>
      </c>
      <c r="AB26" s="22">
        <f>$F26*$AA26*HH_Size*Infection_Rate_within_HH</f>
        <v>0</v>
      </c>
      <c r="AC26" s="23">
        <f>$F26*$AA26*Infection_Rate_within_HH*(HH_Children*Fatality_Rate_Child+HH_Adults*Fatality_Rate_Adult+HH_Over_60*Fatality_Rate_Over_60)</f>
        <v>0</v>
      </c>
      <c r="AD26" s="94"/>
    </row>
    <row r="27" spans="1:30">
      <c r="A27" s="38" t="str">
        <f>IF(VLOOKUP(B27,'[1]1. Select Services'!$A$6:$E$77,5,FALSE)="x","x","")</f>
        <v>x</v>
      </c>
      <c r="B27" s="44">
        <v>13</v>
      </c>
      <c r="C27" s="44">
        <v>18</v>
      </c>
      <c r="D27" s="46"/>
      <c r="E27" s="44" t="s">
        <v>52</v>
      </c>
      <c r="F27" s="22">
        <f>IF(Chosen_Scenario="Mitigation Impact Only",VLOOKUP($B27,'[1]Coverage Review Updated'!$B$5:$T$78,18,FALSE),VLOOKUP($B27,'[1]Coverage Review Updated'!$B$5:$T$78,19,FALSE))</f>
        <v>48800</v>
      </c>
      <c r="G27" s="22">
        <f>VLOOKUP($B27,'[1]7. Number of HW Contacts'!$B$4:$I$84,6,FALSE)</f>
        <v>2</v>
      </c>
      <c r="H27" s="23">
        <f>G27*(1-HLOOKUP($B27,'[1]3. Mitigation Impact on Coverag'!$BY$5:$EQ$7,3,FALSE))</f>
        <v>1.9</v>
      </c>
      <c r="I27" s="76">
        <f>HLOOKUP(B27,'[1]3. Mitigation Impact on Coverag'!ES$5:HK$7,3,FALSE)</f>
        <v>0.87</v>
      </c>
      <c r="J27" s="77">
        <f>1-((1-Risk_of_Provider_Being_Infected*_xlfn.SINGLE(Transmission_Risk_Contact_Health_Care_Provider))^(G27)*(1-Risk_of_Community_Member_being_Infected*Transmission_Risk_in_Community)^(G27*Contacts_During_Travel_to_Facility))</f>
        <v>0.00337488345159576</v>
      </c>
      <c r="K27" s="77">
        <f>J27*(1-(Percent_Prevalence_at_End_of_Projection_Period-Percent_Prevalence_at_Beginning_of_Projection_Period))</f>
        <v>0.00258741064622341</v>
      </c>
      <c r="L27" s="22">
        <f>$F27*$K27*HH_Size</f>
        <v>795.473529074926</v>
      </c>
      <c r="M27" s="23">
        <f>$F27*$J27*(HH_Children*Fatality_Rate_Child+HH_Adults*Fatality_Rate_Adult+HH_Over_60*Fatality_Rate_Over_60)</f>
        <v>2.02126200463065</v>
      </c>
      <c r="N27" s="79">
        <f>1-((1-Risk_of_Provider_Being_Infected*_xlfn.SINGLE(Transmission_Risk_Contact_Health_Care_Provider)*(1-Reduction_in_Risk_PPE))^($G27)*(1-Risk_of_Community_Member_being_Infected*Transmission_Risk_in_Community)^($G27*Contacts_During_Travel_to_Facility))</f>
        <v>0.00330079028006769</v>
      </c>
      <c r="O27" s="77">
        <f>N27*(1-(Percent_Prevalence_at_End_of_Projection_Period-Percent_Prevalence_at_Beginning_of_Projection_Period))</f>
        <v>0.00253060588138523</v>
      </c>
      <c r="P27" s="22">
        <f>$F27*$O27*HH_Size</f>
        <v>778.009472173075</v>
      </c>
      <c r="Q27" s="23">
        <f>$F27*$O27*(HH_Children*Fatality_Rate_Child+HH_Adults*Fatality_Rate_Adult+HH_Over_60*Fatality_Rate_Over_60)</f>
        <v>1.51561308415562</v>
      </c>
      <c r="R27" s="79">
        <f>1-((1-Risk_of_Provider_Being_Infected*_xlfn.SINGLE(Transmission_Risk_Contact_Health_Care_Provider)*(1-Reduction_in_Risk_PPE))^($G27*(1-Reduction_in_Risk_TS)))*(1-Risk_of_Community_Member_being_Infected*Transmission_Risk_in_Community)^($G27*Contacts_During_Travel_to_Facility)</f>
        <v>0.00323411410781771</v>
      </c>
      <c r="S27" s="77">
        <f>R27*(1-(Percent_Prevalence_at_End_of_Projection_Period-Percent_Prevalence_at_Beginning_of_Projection_Period))</f>
        <v>0.00247948748266024</v>
      </c>
      <c r="T27" s="22">
        <f>$F27*$S27*HH_Size</f>
        <v>762.293631669065</v>
      </c>
      <c r="U27" s="23">
        <f>$F27*$S27*(HH_Children*Fatality_Rate_Child+HH_Adults*Fatality_Rate_Adult+HH_Over_60*Fatality_Rate_Over_60)</f>
        <v>1.48499760407689</v>
      </c>
      <c r="V27" s="79">
        <f>1-((1-Risk_of_Provider_Being_Infected*_xlfn.SINGLE(Transmission_Risk_Contact_Health_Care_Provider)*(1-$I27)))*(1-Risk_of_Community_Member_being_Infected*Transmission_Risk_in_Community)^($H27*Contacts_During_Travel_to_Facility)</f>
        <v>0.00255048524044088</v>
      </c>
      <c r="W27" s="77">
        <f>V27*(1-(Percent_Prevalence_at_End_of_Projection_Period-Percent_Prevalence_at_Beginning_of_Projection_Period))</f>
        <v>0.00195537201767134</v>
      </c>
      <c r="X27" s="22">
        <f>$F27*$W27*HH_Size</f>
        <v>601.159573112877</v>
      </c>
      <c r="Y27" s="23">
        <f>$F27*$W27*(HH_Children*Fatality_Rate_Child+HH_Adults*Fatality_Rate_Adult+HH_Over_60*Fatality_Rate_Over_60)</f>
        <v>1.17109797150721</v>
      </c>
      <c r="Z27" s="79">
        <f>1-((1-Risk_of_Provider_Being_Infected*Transmission_Risk_Contact_Health_Care_Provider*(1-$I27))^($H27)*(1-Risk_of_Community_Member_being_Infected*Transmission_Risk_in_Community)^($H27*Contacts_During_Travel_to_Facility))</f>
        <v>0.00259384877964541</v>
      </c>
      <c r="AA27" s="77">
        <f>Z27*(1-(Percent_Prevalence_at_End_of_Projection_Period-Percent_Prevalence_at_Beginning_of_Projection_Period))</f>
        <v>0.00198861739772815</v>
      </c>
      <c r="AB27" s="22">
        <f>$F27*$AA27*HH_Size*Infection_Rate_within_HH</f>
        <v>550.242479481788</v>
      </c>
      <c r="AC27" s="23">
        <f>$F27*$AA27*Infection_Rate_within_HH*(HH_Children*Fatality_Rate_Child+HH_Adults*Fatality_Rate_Adult+HH_Over_60*Fatality_Rate_Over_60)</f>
        <v>1.07190815946173</v>
      </c>
      <c r="AD27" s="94"/>
    </row>
    <row r="28" spans="1:30">
      <c r="A28" s="38" t="str">
        <f>IF(VLOOKUP(B28,'[1]1. Select Services'!$A$6:$E$77,5,FALSE)="x","x","")</f>
        <v/>
      </c>
      <c r="B28" s="44">
        <v>14</v>
      </c>
      <c r="C28" s="44">
        <v>19</v>
      </c>
      <c r="D28" s="46"/>
      <c r="E28" s="44" t="s">
        <v>53</v>
      </c>
      <c r="F28" s="22">
        <f>IF(Chosen_Scenario="Mitigation Impact Only",VLOOKUP($B28,'[1]Coverage Review Updated'!$B$5:$T$78,18,FALSE),VLOOKUP($B28,'[1]Coverage Review Updated'!$B$5:$T$78,19,FALSE))</f>
        <v>0</v>
      </c>
      <c r="G28" s="22">
        <f>VLOOKUP($B28,'[1]7. Number of HW Contacts'!$B$4:$I$84,6,FALSE)</f>
        <v>4</v>
      </c>
      <c r="H28" s="23">
        <f>G28*(1-HLOOKUP($B28,'[1]3. Mitigation Impact on Coverag'!$BY$5:$EQ$7,3,FALSE))</f>
        <v>3.8</v>
      </c>
      <c r="I28" s="76">
        <f>HLOOKUP(B28,'[1]3. Mitigation Impact on Coverag'!ES$5:HK$7,3,FALSE)</f>
        <v>0.87</v>
      </c>
      <c r="J28" s="77">
        <f>1-((1-Risk_of_Provider_Being_Infected*_xlfn.SINGLE(Transmission_Risk_Contact_Health_Care_Provider))^(G28)*(1-Risk_of_Community_Member_being_Infected*Transmission_Risk_in_Community)^(G28*Contacts_During_Travel_to_Facility))</f>
        <v>0.00673837706487967</v>
      </c>
      <c r="K28" s="77">
        <f>J28*(1-(Percent_Prevalence_at_End_of_Projection_Period-Percent_Prevalence_at_Beginning_of_Projection_Period))</f>
        <v>0.00516608908307442</v>
      </c>
      <c r="L28" s="22">
        <f>$F28*$K28*HH_Size</f>
        <v>0</v>
      </c>
      <c r="M28" s="23">
        <f>$F28*$J28*(HH_Children*Fatality_Rate_Child+HH_Adults*Fatality_Rate_Adult+HH_Over_60*Fatality_Rate_Over_60)</f>
        <v>0</v>
      </c>
      <c r="N28" s="79">
        <f>1-((1-Risk_of_Provider_Being_Infected*_xlfn.SINGLE(Transmission_Risk_Contact_Health_Care_Provider)*(1-Reduction_in_Risk_PPE))^($G28)*(1-Risk_of_Community_Member_being_Infected*Transmission_Risk_in_Community)^($G28*Contacts_During_Travel_to_Facility))</f>
        <v>0.00659068534366247</v>
      </c>
      <c r="O28" s="77">
        <f>N28*(1-(Percent_Prevalence_at_End_of_Projection_Period-Percent_Prevalence_at_Beginning_of_Projection_Period))</f>
        <v>0.00505285876347456</v>
      </c>
      <c r="P28" s="22">
        <f>$F28*$O28*HH_Size</f>
        <v>0</v>
      </c>
      <c r="Q28" s="23">
        <f>$F28*$O28*(HH_Children*Fatality_Rate_Child+HH_Adults*Fatality_Rate_Adult+HH_Over_60*Fatality_Rate_Over_60)</f>
        <v>0</v>
      </c>
      <c r="R28" s="79">
        <f>1-((1-Risk_of_Provider_Being_Infected*_xlfn.SINGLE(Transmission_Risk_Contact_Health_Care_Provider)*(1-Reduction_in_Risk_PPE))^($G28*(1-Reduction_in_Risk_TS)))*(1-Risk_of_Community_Member_being_Infected*Transmission_Risk_in_Community)^($G28*Contacts_During_Travel_to_Facility)</f>
        <v>0.00645776872157322</v>
      </c>
      <c r="S28" s="77">
        <f>R28*(1-(Percent_Prevalence_at_End_of_Projection_Period-Percent_Prevalence_at_Beginning_of_Projection_Period))</f>
        <v>0.0049509560198728</v>
      </c>
      <c r="T28" s="22">
        <f>$F28*$S28*HH_Size</f>
        <v>0</v>
      </c>
      <c r="U28" s="23">
        <f>$F28*$S28*(HH_Children*Fatality_Rate_Child+HH_Adults*Fatality_Rate_Adult+HH_Over_60*Fatality_Rate_Over_60)</f>
        <v>0</v>
      </c>
      <c r="V28" s="79">
        <f>1-((1-Risk_of_Provider_Being_Infected*_xlfn.SINGLE(Transmission_Risk_Contact_Health_Care_Provider)*(1-$I28)))*(1-Risk_of_Community_Member_being_Infected*Transmission_Risk_in_Community)^($H28*Contacts_During_Travel_to_Facility)</f>
        <v>0.00504640447693094</v>
      </c>
      <c r="W28" s="77">
        <f>V28*(1-(Percent_Prevalence_at_End_of_Projection_Period-Percent_Prevalence_at_Beginning_of_Projection_Period))</f>
        <v>0.00386891009898039</v>
      </c>
      <c r="X28" s="22">
        <f>$F28*$W28*HH_Size</f>
        <v>0</v>
      </c>
      <c r="Y28" s="23">
        <f>$F28*$W28*(HH_Children*Fatality_Rate_Child+HH_Adults*Fatality_Rate_Adult+HH_Over_60*Fatality_Rate_Over_60)</f>
        <v>0</v>
      </c>
      <c r="Z28" s="79">
        <f>1-((1-Risk_of_Provider_Being_Infected*Transmission_Risk_Contact_Health_Care_Provider*(1-$I28))^($H28)*(1-Risk_of_Community_Member_being_Infected*Transmission_Risk_in_Community)^($H28*Contacts_During_Travel_to_Facility))</f>
        <v>0.00518096950779923</v>
      </c>
      <c r="AA28" s="77">
        <f>Z28*(1-(Percent_Prevalence_at_End_of_Projection_Period-Percent_Prevalence_at_Beginning_of_Projection_Period))</f>
        <v>0.00397207662264607</v>
      </c>
      <c r="AB28" s="22">
        <f>$F28*$AA28*HH_Size*Infection_Rate_within_HH</f>
        <v>0</v>
      </c>
      <c r="AC28" s="23">
        <f>$F28*$AA28*Infection_Rate_within_HH*(HH_Children*Fatality_Rate_Child+HH_Adults*Fatality_Rate_Adult+HH_Over_60*Fatality_Rate_Over_60)</f>
        <v>0</v>
      </c>
      <c r="AD28" s="94"/>
    </row>
    <row r="29" spans="1:30">
      <c r="A29" s="38" t="str">
        <f>IF(VLOOKUP(B29,'[1]1. Select Services'!$A$6:$E$77,5,FALSE)="x","x","")</f>
        <v>x</v>
      </c>
      <c r="B29" s="44">
        <v>15</v>
      </c>
      <c r="C29" s="44">
        <v>20</v>
      </c>
      <c r="D29" s="46"/>
      <c r="E29" s="44" t="s">
        <v>54</v>
      </c>
      <c r="F29" s="22">
        <f>IF(Chosen_Scenario="Mitigation Impact Only",VLOOKUP($B29,'[1]Coverage Review Updated'!$B$5:$T$78,18,FALSE),VLOOKUP($B29,'[1]Coverage Review Updated'!$B$5:$T$78,19,FALSE))</f>
        <v>0</v>
      </c>
      <c r="G29" s="22">
        <f>VLOOKUP($B29,'[1]7. Number of HW Contacts'!$B$4:$I$84,6,FALSE)</f>
        <v>4</v>
      </c>
      <c r="H29" s="23">
        <f>G29*(1-HLOOKUP($B29,'[1]3. Mitigation Impact on Coverag'!$BY$5:$EQ$7,3,FALSE))</f>
        <v>3.8</v>
      </c>
      <c r="I29" s="76">
        <f>HLOOKUP(B29,'[1]3. Mitigation Impact on Coverag'!ES$5:HK$7,3,FALSE)</f>
        <v>0.87</v>
      </c>
      <c r="J29" s="77">
        <f>1-((1-Risk_of_Provider_Being_Infected*_xlfn.SINGLE(Transmission_Risk_Contact_Health_Care_Provider))^(G29)*(1-Risk_of_Community_Member_being_Infected*Transmission_Risk_in_Community)^(G29*Contacts_During_Travel_to_Facility))</f>
        <v>0.00673837706487967</v>
      </c>
      <c r="K29" s="77">
        <f>J29*(1-(Percent_Prevalence_at_End_of_Projection_Period-Percent_Prevalence_at_Beginning_of_Projection_Period))</f>
        <v>0.00516608908307442</v>
      </c>
      <c r="L29" s="22">
        <f>$F29*$K29*HH_Size</f>
        <v>0</v>
      </c>
      <c r="M29" s="23">
        <f>$F29*$J29*(HH_Children*Fatality_Rate_Child+HH_Adults*Fatality_Rate_Adult+HH_Over_60*Fatality_Rate_Over_60)</f>
        <v>0</v>
      </c>
      <c r="N29" s="79">
        <f>1-((1-Risk_of_Provider_Being_Infected*_xlfn.SINGLE(Transmission_Risk_Contact_Health_Care_Provider)*(1-Reduction_in_Risk_PPE))^($G29)*(1-Risk_of_Community_Member_being_Infected*Transmission_Risk_in_Community)^($G29*Contacts_During_Travel_to_Facility))</f>
        <v>0.00659068534366247</v>
      </c>
      <c r="O29" s="77">
        <f>N29*(1-(Percent_Prevalence_at_End_of_Projection_Period-Percent_Prevalence_at_Beginning_of_Projection_Period))</f>
        <v>0.00505285876347456</v>
      </c>
      <c r="P29" s="22">
        <f>$F29*$O29*HH_Size</f>
        <v>0</v>
      </c>
      <c r="Q29" s="23">
        <f>$F29*$O29*(HH_Children*Fatality_Rate_Child+HH_Adults*Fatality_Rate_Adult+HH_Over_60*Fatality_Rate_Over_60)</f>
        <v>0</v>
      </c>
      <c r="R29" s="79">
        <f>1-((1-Risk_of_Provider_Being_Infected*_xlfn.SINGLE(Transmission_Risk_Contact_Health_Care_Provider)*(1-Reduction_in_Risk_PPE))^($G29*(1-Reduction_in_Risk_TS)))*(1-Risk_of_Community_Member_being_Infected*Transmission_Risk_in_Community)^($G29*Contacts_During_Travel_to_Facility)</f>
        <v>0.00645776872157322</v>
      </c>
      <c r="S29" s="77">
        <f>R29*(1-(Percent_Prevalence_at_End_of_Projection_Period-Percent_Prevalence_at_Beginning_of_Projection_Period))</f>
        <v>0.0049509560198728</v>
      </c>
      <c r="T29" s="22">
        <f>$F29*$S29*HH_Size</f>
        <v>0</v>
      </c>
      <c r="U29" s="23">
        <f>$F29*$S29*(HH_Children*Fatality_Rate_Child+HH_Adults*Fatality_Rate_Adult+HH_Over_60*Fatality_Rate_Over_60)</f>
        <v>0</v>
      </c>
      <c r="V29" s="79">
        <f>1-((1-Risk_of_Provider_Being_Infected*_xlfn.SINGLE(Transmission_Risk_Contact_Health_Care_Provider)*(1-$I29)))*(1-Risk_of_Community_Member_being_Infected*Transmission_Risk_in_Community)^($H29*Contacts_During_Travel_to_Facility)</f>
        <v>0.00504640447693094</v>
      </c>
      <c r="W29" s="77">
        <f>V29*(1-(Percent_Prevalence_at_End_of_Projection_Period-Percent_Prevalence_at_Beginning_of_Projection_Period))</f>
        <v>0.00386891009898039</v>
      </c>
      <c r="X29" s="22">
        <f>$F29*$W29*HH_Size</f>
        <v>0</v>
      </c>
      <c r="Y29" s="23">
        <f>$F29*$W29*(HH_Children*Fatality_Rate_Child+HH_Adults*Fatality_Rate_Adult+HH_Over_60*Fatality_Rate_Over_60)</f>
        <v>0</v>
      </c>
      <c r="Z29" s="79">
        <f>1-((1-Risk_of_Provider_Being_Infected*Transmission_Risk_Contact_Health_Care_Provider*(1-$I29))^($H29)*(1-Risk_of_Community_Member_being_Infected*Transmission_Risk_in_Community)^($H29*Contacts_During_Travel_to_Facility))</f>
        <v>0.00518096950779923</v>
      </c>
      <c r="AA29" s="77">
        <f>Z29*(1-(Percent_Prevalence_at_End_of_Projection_Period-Percent_Prevalence_at_Beginning_of_Projection_Period))</f>
        <v>0.00397207662264607</v>
      </c>
      <c r="AB29" s="22">
        <f>$F29*$AA29*HH_Size*Infection_Rate_within_HH</f>
        <v>0</v>
      </c>
      <c r="AC29" s="23">
        <f>$F29*$AA29*Infection_Rate_within_HH*(HH_Children*Fatality_Rate_Child+HH_Adults*Fatality_Rate_Adult+HH_Over_60*Fatality_Rate_Over_60)</f>
        <v>0</v>
      </c>
      <c r="AD29" s="94"/>
    </row>
    <row r="30" spans="1:30">
      <c r="A30" s="38" t="str">
        <f>IF(VLOOKUP(B30,'[1]1. Select Services'!$A$6:$E$77,5,FALSE)="x","x","")</f>
        <v>x</v>
      </c>
      <c r="B30" s="44">
        <v>16</v>
      </c>
      <c r="C30" s="44">
        <v>21</v>
      </c>
      <c r="D30" s="46"/>
      <c r="E30" s="44" t="s">
        <v>55</v>
      </c>
      <c r="F30" s="22">
        <f>IF(Chosen_Scenario="Mitigation Impact Only",VLOOKUP($B30,'[1]Coverage Review Updated'!$B$5:$T$78,18,FALSE),VLOOKUP($B30,'[1]Coverage Review Updated'!$B$5:$T$78,19,FALSE))</f>
        <v>0</v>
      </c>
      <c r="G30" s="22">
        <f>VLOOKUP($B30,'[1]7. Number of HW Contacts'!$B$4:$I$84,6,FALSE)</f>
        <v>4</v>
      </c>
      <c r="H30" s="23">
        <f>G30*(1-HLOOKUP($B30,'[1]3. Mitigation Impact on Coverag'!$BY$5:$EQ$7,3,FALSE))</f>
        <v>4</v>
      </c>
      <c r="I30" s="76">
        <f>HLOOKUP(B30,'[1]3. Mitigation Impact on Coverag'!ES$5:HK$7,3,FALSE)</f>
        <v>0.87</v>
      </c>
      <c r="J30" s="77">
        <f>1-((1-Risk_of_Provider_Being_Infected*_xlfn.SINGLE(Transmission_Risk_Contact_Health_Care_Provider))^(G30)*(1-Risk_of_Community_Member_being_Infected*Transmission_Risk_in_Community)^(G30*Contacts_During_Travel_to_Facility))</f>
        <v>0.00673837706487967</v>
      </c>
      <c r="K30" s="77">
        <f>J30*(1-(Percent_Prevalence_at_End_of_Projection_Period-Percent_Prevalence_at_Beginning_of_Projection_Period))</f>
        <v>0.00516608908307442</v>
      </c>
      <c r="L30" s="22">
        <f>$F30*$K30*HH_Size</f>
        <v>0</v>
      </c>
      <c r="M30" s="23">
        <f>$F30*$J30*(HH_Children*Fatality_Rate_Child+HH_Adults*Fatality_Rate_Adult+HH_Over_60*Fatality_Rate_Over_60)</f>
        <v>0</v>
      </c>
      <c r="N30" s="79">
        <f>1-((1-Risk_of_Provider_Being_Infected*_xlfn.SINGLE(Transmission_Risk_Contact_Health_Care_Provider)*(1-Reduction_in_Risk_PPE))^($G30)*(1-Risk_of_Community_Member_being_Infected*Transmission_Risk_in_Community)^($G30*Contacts_During_Travel_to_Facility))</f>
        <v>0.00659068534366247</v>
      </c>
      <c r="O30" s="77">
        <f>N30*(1-(Percent_Prevalence_at_End_of_Projection_Period-Percent_Prevalence_at_Beginning_of_Projection_Period))</f>
        <v>0.00505285876347456</v>
      </c>
      <c r="P30" s="22">
        <f>$F30*$O30*HH_Size</f>
        <v>0</v>
      </c>
      <c r="Q30" s="23">
        <f>$F30*$O30*(HH_Children*Fatality_Rate_Child+HH_Adults*Fatality_Rate_Adult+HH_Over_60*Fatality_Rate_Over_60)</f>
        <v>0</v>
      </c>
      <c r="R30" s="79">
        <f>1-((1-Risk_of_Provider_Being_Infected*_xlfn.SINGLE(Transmission_Risk_Contact_Health_Care_Provider)*(1-Reduction_in_Risk_PPE))^($G30*(1-Reduction_in_Risk_TS)))*(1-Risk_of_Community_Member_being_Infected*Transmission_Risk_in_Community)^($G30*Contacts_During_Travel_to_Facility)</f>
        <v>0.00645776872157322</v>
      </c>
      <c r="S30" s="77">
        <f>R30*(1-(Percent_Prevalence_at_End_of_Projection_Period-Percent_Prevalence_at_Beginning_of_Projection_Period))</f>
        <v>0.0049509560198728</v>
      </c>
      <c r="T30" s="22">
        <f>$F30*$S30*HH_Size</f>
        <v>0</v>
      </c>
      <c r="U30" s="23">
        <f>$F30*$S30*(HH_Children*Fatality_Rate_Child+HH_Adults*Fatality_Rate_Adult+HH_Over_60*Fatality_Rate_Over_60)</f>
        <v>0</v>
      </c>
      <c r="V30" s="79">
        <f>1-((1-Risk_of_Provider_Being_Infected*_xlfn.SINGLE(Transmission_Risk_Contact_Health_Care_Provider)*(1-$I30)))*(1-Risk_of_Community_Member_being_Infected*Transmission_Risk_in_Community)^($H30*Contacts_During_Travel_to_Facility)</f>
        <v>0.00530876923207335</v>
      </c>
      <c r="W30" s="77">
        <f>V30*(1-(Percent_Prevalence_at_End_of_Projection_Period-Percent_Prevalence_at_Beginning_of_Projection_Period))</f>
        <v>0.00407005641125624</v>
      </c>
      <c r="X30" s="22">
        <f>$F30*$W30*HH_Size</f>
        <v>0</v>
      </c>
      <c r="Y30" s="23">
        <f>$F30*$W30*(HH_Children*Fatality_Rate_Child+HH_Adults*Fatality_Rate_Adult+HH_Over_60*Fatality_Rate_Over_60)</f>
        <v>0</v>
      </c>
      <c r="Z30" s="79">
        <f>1-((1-Risk_of_Provider_Being_Infected*Transmission_Risk_Contact_Health_Care_Provider*(1-$I30))^($H30)*(1-Risk_of_Community_Member_being_Infected*Transmission_Risk_in_Community)^($H30*Contacts_During_Travel_to_Facility))</f>
        <v>0.00545290733582859</v>
      </c>
      <c r="AA30" s="77">
        <f>Z30*(1-(Percent_Prevalence_at_End_of_Projection_Period-Percent_Prevalence_at_Beginning_of_Projection_Period))</f>
        <v>0.00418056229080192</v>
      </c>
      <c r="AB30" s="22">
        <f>$F30*$AA30*HH_Size*Infection_Rate_within_HH</f>
        <v>0</v>
      </c>
      <c r="AC30" s="23">
        <f>$F30*$AA30*Infection_Rate_within_HH*(HH_Children*Fatality_Rate_Child+HH_Adults*Fatality_Rate_Adult+HH_Over_60*Fatality_Rate_Over_60)</f>
        <v>0</v>
      </c>
      <c r="AD30" s="94"/>
    </row>
    <row r="31" spans="1:30">
      <c r="A31" s="38" t="str">
        <f>IF(VLOOKUP(B31,'[1]1. Select Services'!$A$6:$E$77,5,FALSE)="x","x","")</f>
        <v>x</v>
      </c>
      <c r="B31" s="44">
        <v>17</v>
      </c>
      <c r="C31" s="44">
        <v>22</v>
      </c>
      <c r="D31" s="46"/>
      <c r="E31" s="44" t="s">
        <v>56</v>
      </c>
      <c r="F31" s="22">
        <f>IF(Chosen_Scenario="Mitigation Impact Only",VLOOKUP($B31,'[1]Coverage Review Updated'!$B$5:$T$78,18,FALSE),VLOOKUP($B31,'[1]Coverage Review Updated'!$B$5:$T$78,19,FALSE))</f>
        <v>0</v>
      </c>
      <c r="G31" s="22">
        <f>VLOOKUP($B31,'[1]7. Number of HW Contacts'!$B$4:$I$84,6,FALSE)</f>
        <v>4</v>
      </c>
      <c r="H31" s="23">
        <f>G31*(1-HLOOKUP($B31,'[1]3. Mitigation Impact on Coverag'!$BY$5:$EQ$7,3,FALSE))</f>
        <v>3.8</v>
      </c>
      <c r="I31" s="76">
        <f>HLOOKUP(B31,'[1]3. Mitigation Impact on Coverag'!ES$5:HK$7,3,FALSE)</f>
        <v>0.87</v>
      </c>
      <c r="J31" s="77">
        <f>1-((1-Risk_of_Provider_Being_Infected*_xlfn.SINGLE(Transmission_Risk_Contact_Health_Care_Provider))^(G31)*(1-Risk_of_Community_Member_being_Infected*Transmission_Risk_in_Community)^(G31*Contacts_During_Travel_to_Facility))</f>
        <v>0.00673837706487967</v>
      </c>
      <c r="K31" s="77">
        <f>J31*(1-(Percent_Prevalence_at_End_of_Projection_Period-Percent_Prevalence_at_Beginning_of_Projection_Period))</f>
        <v>0.00516608908307442</v>
      </c>
      <c r="L31" s="22">
        <f>$F31*$K31*HH_Size</f>
        <v>0</v>
      </c>
      <c r="M31" s="23">
        <f>$F31*$J31*(HH_Children*Fatality_Rate_Child+HH_Adults*Fatality_Rate_Adult+HH_Over_60*Fatality_Rate_Over_60)</f>
        <v>0</v>
      </c>
      <c r="N31" s="79">
        <f>1-((1-Risk_of_Provider_Being_Infected*_xlfn.SINGLE(Transmission_Risk_Contact_Health_Care_Provider)*(1-Reduction_in_Risk_PPE))^($G31)*(1-Risk_of_Community_Member_being_Infected*Transmission_Risk_in_Community)^($G31*Contacts_During_Travel_to_Facility))</f>
        <v>0.00659068534366247</v>
      </c>
      <c r="O31" s="77">
        <f>N31*(1-(Percent_Prevalence_at_End_of_Projection_Period-Percent_Prevalence_at_Beginning_of_Projection_Period))</f>
        <v>0.00505285876347456</v>
      </c>
      <c r="P31" s="22">
        <f>$F31*$O31*HH_Size</f>
        <v>0</v>
      </c>
      <c r="Q31" s="23">
        <f>$F31*$O31*(HH_Children*Fatality_Rate_Child+HH_Adults*Fatality_Rate_Adult+HH_Over_60*Fatality_Rate_Over_60)</f>
        <v>0</v>
      </c>
      <c r="R31" s="79">
        <f>1-((1-Risk_of_Provider_Being_Infected*_xlfn.SINGLE(Transmission_Risk_Contact_Health_Care_Provider)*(1-Reduction_in_Risk_PPE))^($G31*(1-Reduction_in_Risk_TS)))*(1-Risk_of_Community_Member_being_Infected*Transmission_Risk_in_Community)^($G31*Contacts_During_Travel_to_Facility)</f>
        <v>0.00645776872157322</v>
      </c>
      <c r="S31" s="77">
        <f>R31*(1-(Percent_Prevalence_at_End_of_Projection_Period-Percent_Prevalence_at_Beginning_of_Projection_Period))</f>
        <v>0.0049509560198728</v>
      </c>
      <c r="T31" s="22">
        <f>$F31*$S31*HH_Size</f>
        <v>0</v>
      </c>
      <c r="U31" s="23">
        <f>$F31*$S31*(HH_Children*Fatality_Rate_Child+HH_Adults*Fatality_Rate_Adult+HH_Over_60*Fatality_Rate_Over_60)</f>
        <v>0</v>
      </c>
      <c r="V31" s="79">
        <f>1-((1-Risk_of_Provider_Being_Infected*_xlfn.SINGLE(Transmission_Risk_Contact_Health_Care_Provider)*(1-$I31)))*(1-Risk_of_Community_Member_being_Infected*Transmission_Risk_in_Community)^($H31*Contacts_During_Travel_to_Facility)</f>
        <v>0.00504640447693094</v>
      </c>
      <c r="W31" s="77">
        <f>V31*(1-(Percent_Prevalence_at_End_of_Projection_Period-Percent_Prevalence_at_Beginning_of_Projection_Period))</f>
        <v>0.00386891009898039</v>
      </c>
      <c r="X31" s="22">
        <f>$F31*$W31*HH_Size</f>
        <v>0</v>
      </c>
      <c r="Y31" s="23">
        <f>$F31*$W31*(HH_Children*Fatality_Rate_Child+HH_Adults*Fatality_Rate_Adult+HH_Over_60*Fatality_Rate_Over_60)</f>
        <v>0</v>
      </c>
      <c r="Z31" s="79">
        <f>1-((1-Risk_of_Provider_Being_Infected*Transmission_Risk_Contact_Health_Care_Provider*(1-$I31))^($H31)*(1-Risk_of_Community_Member_being_Infected*Transmission_Risk_in_Community)^($H31*Contacts_During_Travel_to_Facility))</f>
        <v>0.00518096950779923</v>
      </c>
      <c r="AA31" s="77">
        <f>Z31*(1-(Percent_Prevalence_at_End_of_Projection_Period-Percent_Prevalence_at_Beginning_of_Projection_Period))</f>
        <v>0.00397207662264607</v>
      </c>
      <c r="AB31" s="22">
        <f>$F31*$AA31*HH_Size*Infection_Rate_within_HH</f>
        <v>0</v>
      </c>
      <c r="AC31" s="23">
        <f>$F31*$AA31*Infection_Rate_within_HH*(HH_Children*Fatality_Rate_Child+HH_Adults*Fatality_Rate_Adult+HH_Over_60*Fatality_Rate_Over_60)</f>
        <v>0</v>
      </c>
      <c r="AD31" s="94"/>
    </row>
    <row r="32" spans="1:30">
      <c r="A32" s="38" t="str">
        <f>IF(VLOOKUP(B32,'[1]1. Select Services'!$A$6:$E$77,5,FALSE)="x","x","")</f>
        <v>x</v>
      </c>
      <c r="B32" s="44">
        <v>18</v>
      </c>
      <c r="C32" s="44">
        <v>23</v>
      </c>
      <c r="D32" s="46"/>
      <c r="E32" s="44" t="s">
        <v>57</v>
      </c>
      <c r="F32" s="22">
        <f>IF(Chosen_Scenario="Mitigation Impact Only",VLOOKUP($B32,'[1]Coverage Review Updated'!$B$5:$T$78,18,FALSE),VLOOKUP($B32,'[1]Coverage Review Updated'!$B$5:$T$78,19,FALSE))</f>
        <v>1800</v>
      </c>
      <c r="G32" s="22">
        <f>VLOOKUP($B32,'[1]7. Number of HW Contacts'!$B$4:$I$84,6,FALSE)</f>
        <v>4</v>
      </c>
      <c r="H32" s="23">
        <f>G32*(1-HLOOKUP($B32,'[1]3. Mitigation Impact on Coverag'!$BY$5:$EQ$7,3,FALSE))</f>
        <v>3.8</v>
      </c>
      <c r="I32" s="76">
        <f>HLOOKUP(B32,'[1]3. Mitigation Impact on Coverag'!ES$5:HK$7,3,FALSE)</f>
        <v>0.87</v>
      </c>
      <c r="J32" s="77">
        <f>1-((1-Risk_of_Provider_Being_Infected*_xlfn.SINGLE(Transmission_Risk_Contact_Health_Care_Provider))^(G32)*(1-Risk_of_Community_Member_being_Infected*Transmission_Risk_in_Community)^(G32*Contacts_During_Travel_to_Facility))</f>
        <v>0.00673837706487967</v>
      </c>
      <c r="K32" s="77">
        <f>J32*(1-(Percent_Prevalence_at_End_of_Projection_Period-Percent_Prevalence_at_Beginning_of_Projection_Period))</f>
        <v>0.00516608908307442</v>
      </c>
      <c r="L32" s="22">
        <f>$F32*$K32*HH_Size</f>
        <v>58.5834502020639</v>
      </c>
      <c r="M32" s="23">
        <f>$F32*$J32*(HH_Children*Fatality_Rate_Child+HH_Adults*Fatality_Rate_Adult+HH_Over_60*Fatality_Rate_Over_60)</f>
        <v>0.148857878566127</v>
      </c>
      <c r="N32" s="79">
        <f>1-((1-Risk_of_Provider_Being_Infected*_xlfn.SINGLE(Transmission_Risk_Contact_Health_Care_Provider)*(1-Reduction_in_Risk_PPE))^($G32)*(1-Risk_of_Community_Member_being_Infected*Transmission_Risk_in_Community)^($G32*Contacts_During_Travel_to_Facility))</f>
        <v>0.00659068534366247</v>
      </c>
      <c r="O32" s="77">
        <f>N32*(1-(Percent_Prevalence_at_End_of_Projection_Period-Percent_Prevalence_at_Beginning_of_Projection_Period))</f>
        <v>0.00505285876347456</v>
      </c>
      <c r="P32" s="22">
        <f>$F32*$O32*HH_Size</f>
        <v>57.2994183778015</v>
      </c>
      <c r="Q32" s="23">
        <f>$F32*$O32*(HH_Children*Fatality_Rate_Child+HH_Adults*Fatality_Rate_Adult+HH_Over_60*Fatality_Rate_Over_60)</f>
        <v>0.111622996009725</v>
      </c>
      <c r="R32" s="79">
        <f>1-((1-Risk_of_Provider_Being_Infected*_xlfn.SINGLE(Transmission_Risk_Contact_Health_Care_Provider)*(1-Reduction_in_Risk_PPE))^($G32*(1-Reduction_in_Risk_TS)))*(1-Risk_of_Community_Member_being_Infected*Transmission_Risk_in_Community)^($G32*Contacts_During_Travel_to_Facility)</f>
        <v>0.00645776872157322</v>
      </c>
      <c r="S32" s="77">
        <f>R32*(1-(Percent_Prevalence_at_End_of_Projection_Period-Percent_Prevalence_at_Beginning_of_Projection_Period))</f>
        <v>0.0049509560198728</v>
      </c>
      <c r="T32" s="22">
        <f>$F32*$S32*HH_Size</f>
        <v>56.1438412653576</v>
      </c>
      <c r="U32" s="23">
        <f>$F32*$S32*(HH_Children*Fatality_Rate_Child+HH_Adults*Fatality_Rate_Adult+HH_Over_60*Fatality_Rate_Over_60)</f>
        <v>0.109371856590459</v>
      </c>
      <c r="V32" s="79">
        <f>1-((1-Risk_of_Provider_Being_Infected*_xlfn.SINGLE(Transmission_Risk_Contact_Health_Care_Provider)*(1-$I32)))*(1-Risk_of_Community_Member_being_Infected*Transmission_Risk_in_Community)^($H32*Contacts_During_Travel_to_Facility)</f>
        <v>0.00504640447693094</v>
      </c>
      <c r="W32" s="77">
        <f>V32*(1-(Percent_Prevalence_at_End_of_Projection_Period-Percent_Prevalence_at_Beginning_of_Projection_Period))</f>
        <v>0.00386891009898039</v>
      </c>
      <c r="X32" s="22">
        <f>$F32*$W32*HH_Size</f>
        <v>43.8734405224376</v>
      </c>
      <c r="Y32" s="23">
        <f>$F32*$W32*(HH_Children*Fatality_Rate_Child+HH_Adults*Fatality_Rate_Adult+HH_Over_60*Fatality_Rate_Over_60)</f>
        <v>0.0854683173933615</v>
      </c>
      <c r="Z32" s="79">
        <f>1-((1-Risk_of_Provider_Being_Infected*Transmission_Risk_Contact_Health_Care_Provider*(1-$I32))^($H32)*(1-Risk_of_Community_Member_being_Infected*Transmission_Risk_in_Community)^($H32*Contacts_During_Travel_to_Facility))</f>
        <v>0.00518096950779923</v>
      </c>
      <c r="AA32" s="77">
        <f>Z32*(1-(Percent_Prevalence_at_End_of_Projection_Period-Percent_Prevalence_at_Beginning_of_Projection_Period))</f>
        <v>0.00397207662264607</v>
      </c>
      <c r="AB32" s="22">
        <f>$F32*$AA32*HH_Size*Infection_Rate_within_HH</f>
        <v>40.5390140107258</v>
      </c>
      <c r="AC32" s="23">
        <f>$F32*$AA32*Infection_Rate_within_HH*(HH_Children*Fatality_Rate_Child+HH_Adults*Fatality_Rate_Adult+HH_Over_60*Fatality_Rate_Over_60)</f>
        <v>0.0789726375461866</v>
      </c>
      <c r="AD32" s="94"/>
    </row>
    <row r="33" spans="1:30">
      <c r="A33" s="38" t="str">
        <f>IF(VLOOKUP(B33,'[1]1. Select Services'!$A$6:$E$77,5,FALSE)="x","x","")</f>
        <v>x</v>
      </c>
      <c r="B33" s="44">
        <v>19</v>
      </c>
      <c r="C33" s="44">
        <v>24</v>
      </c>
      <c r="D33" s="46"/>
      <c r="E33" s="44" t="s">
        <v>58</v>
      </c>
      <c r="F33" s="22">
        <f>IF(Chosen_Scenario="Mitigation Impact Only",VLOOKUP($B33,'[1]Coverage Review Updated'!$B$5:$T$78,18,FALSE),VLOOKUP($B33,'[1]Coverage Review Updated'!$B$5:$T$78,19,FALSE))</f>
        <v>2000</v>
      </c>
      <c r="G33" s="22">
        <f>VLOOKUP($B33,'[1]7. Number of HW Contacts'!$B$4:$I$84,6,FALSE)</f>
        <v>4</v>
      </c>
      <c r="H33" s="23">
        <f>G33*(1-HLOOKUP($B33,'[1]3. Mitigation Impact on Coverag'!$BY$5:$EQ$7,3,FALSE))</f>
        <v>4</v>
      </c>
      <c r="I33" s="76">
        <f>HLOOKUP(B33,'[1]3. Mitigation Impact on Coverag'!ES$5:HK$7,3,FALSE)</f>
        <v>0.87</v>
      </c>
      <c r="J33" s="77">
        <f>1-((1-Risk_of_Provider_Being_Infected*_xlfn.SINGLE(Transmission_Risk_Contact_Health_Care_Provider))^(G33)*(1-Risk_of_Community_Member_being_Infected*Transmission_Risk_in_Community)^(G33*Contacts_During_Travel_to_Facility))</f>
        <v>0.00673837706487967</v>
      </c>
      <c r="K33" s="77">
        <f>J33*(1-(Percent_Prevalence_at_End_of_Projection_Period-Percent_Prevalence_at_Beginning_of_Projection_Period))</f>
        <v>0.00516608908307442</v>
      </c>
      <c r="L33" s="22">
        <f>$F33*$K33*HH_Size</f>
        <v>65.0927224467377</v>
      </c>
      <c r="M33" s="23">
        <f>$F33*$J33*(HH_Children*Fatality_Rate_Child+HH_Adults*Fatality_Rate_Adult+HH_Over_60*Fatality_Rate_Over_60)</f>
        <v>0.165397642851252</v>
      </c>
      <c r="N33" s="79">
        <f>1-((1-Risk_of_Provider_Being_Infected*_xlfn.SINGLE(Transmission_Risk_Contact_Health_Care_Provider)*(1-Reduction_in_Risk_PPE))^($G33)*(1-Risk_of_Community_Member_being_Infected*Transmission_Risk_in_Community)^($G33*Contacts_During_Travel_to_Facility))</f>
        <v>0.00659068534366247</v>
      </c>
      <c r="O33" s="77">
        <f>N33*(1-(Percent_Prevalence_at_End_of_Projection_Period-Percent_Prevalence_at_Beginning_of_Projection_Period))</f>
        <v>0.00505285876347456</v>
      </c>
      <c r="P33" s="22">
        <f>$F33*$O33*HH_Size</f>
        <v>63.6660204197795</v>
      </c>
      <c r="Q33" s="23">
        <f>$F33*$O33*(HH_Children*Fatality_Rate_Child+HH_Adults*Fatality_Rate_Adult+HH_Over_60*Fatality_Rate_Over_60)</f>
        <v>0.124025551121916</v>
      </c>
      <c r="R33" s="79">
        <f>1-((1-Risk_of_Provider_Being_Infected*_xlfn.SINGLE(Transmission_Risk_Contact_Health_Care_Provider)*(1-Reduction_in_Risk_PPE))^($G33*(1-Reduction_in_Risk_TS)))*(1-Risk_of_Community_Member_being_Infected*Transmission_Risk_in_Community)^($G33*Contacts_During_Travel_to_Facility)</f>
        <v>0.00645776872157322</v>
      </c>
      <c r="S33" s="77">
        <f>R33*(1-(Percent_Prevalence_at_End_of_Projection_Period-Percent_Prevalence_at_Beginning_of_Projection_Period))</f>
        <v>0.0049509560198728</v>
      </c>
      <c r="T33" s="22">
        <f>$F33*$S33*HH_Size</f>
        <v>62.3820458503973</v>
      </c>
      <c r="U33" s="23">
        <f>$F33*$S33*(HH_Children*Fatality_Rate_Child+HH_Adults*Fatality_Rate_Adult+HH_Over_60*Fatality_Rate_Over_60)</f>
        <v>0.12152428510051</v>
      </c>
      <c r="V33" s="79">
        <f>1-((1-Risk_of_Provider_Being_Infected*_xlfn.SINGLE(Transmission_Risk_Contact_Health_Care_Provider)*(1-$I33)))*(1-Risk_of_Community_Member_being_Infected*Transmission_Risk_in_Community)^($H33*Contacts_During_Travel_to_Facility)</f>
        <v>0.00530876923207335</v>
      </c>
      <c r="W33" s="77">
        <f>V33*(1-(Percent_Prevalence_at_End_of_Projection_Period-Percent_Prevalence_at_Beginning_of_Projection_Period))</f>
        <v>0.00407005641125624</v>
      </c>
      <c r="X33" s="22">
        <f>$F33*$W33*HH_Size</f>
        <v>51.2827107818286</v>
      </c>
      <c r="Y33" s="23">
        <f>$F33*$W33*(HH_Children*Fatality_Rate_Child+HH_Adults*Fatality_Rate_Adult+HH_Over_60*Fatality_Rate_Over_60)</f>
        <v>0.0999020580492593</v>
      </c>
      <c r="Z33" s="79">
        <f>1-((1-Risk_of_Provider_Being_Infected*Transmission_Risk_Contact_Health_Care_Provider*(1-$I33))^($H33)*(1-Risk_of_Community_Member_being_Infected*Transmission_Risk_in_Community)^($H33*Contacts_During_Travel_to_Facility))</f>
        <v>0.00545290733582859</v>
      </c>
      <c r="AA33" s="77">
        <f>Z33*(1-(Percent_Prevalence_at_End_of_Projection_Period-Percent_Prevalence_at_Beginning_of_Projection_Period))</f>
        <v>0.00418056229080192</v>
      </c>
      <c r="AB33" s="22">
        <f>$F33*$AA33*HH_Size*Infection_Rate_within_HH</f>
        <v>47.4075763776938</v>
      </c>
      <c r="AC33" s="23">
        <f>$F33*$AA33*Infection_Rate_within_HH*(HH_Children*Fatality_Rate_Child+HH_Adults*Fatality_Rate_Adult+HH_Over_60*Fatality_Rate_Over_60)</f>
        <v>0.0923530440387181</v>
      </c>
      <c r="AD33" s="94"/>
    </row>
    <row r="34" spans="1:30">
      <c r="A34" s="38" t="str">
        <f>IF(VLOOKUP(B34,'[1]1. Select Services'!$A$6:$E$77,5,FALSE)="x","x","")</f>
        <v>x</v>
      </c>
      <c r="B34" s="44">
        <v>20</v>
      </c>
      <c r="C34" s="44">
        <v>25</v>
      </c>
      <c r="D34" s="46"/>
      <c r="E34" s="44" t="s">
        <v>59</v>
      </c>
      <c r="F34" s="22">
        <f>IF(Chosen_Scenario="Mitigation Impact Only",VLOOKUP($B34,'[1]Coverage Review Updated'!$B$5:$T$78,18,FALSE),VLOOKUP($B34,'[1]Coverage Review Updated'!$B$5:$T$78,19,FALSE))</f>
        <v>4200</v>
      </c>
      <c r="G34" s="22">
        <f>VLOOKUP($B34,'[1]7. Number of HW Contacts'!$B$4:$I$84,6,FALSE)</f>
        <v>2</v>
      </c>
      <c r="H34" s="23">
        <f>G34*(1-HLOOKUP($B34,'[1]3. Mitigation Impact on Coverag'!$BY$5:$EQ$7,3,FALSE))</f>
        <v>2</v>
      </c>
      <c r="I34" s="76">
        <f>HLOOKUP(B34,'[1]3. Mitigation Impact on Coverag'!ES$5:HK$7,3,FALSE)</f>
        <v>0.87</v>
      </c>
      <c r="J34" s="77">
        <f>1-((1-Risk_of_Provider_Being_Infected*_xlfn.SINGLE(Transmission_Risk_Contact_Health_Care_Provider))^(G34)*(1-Risk_of_Community_Member_being_Infected*Transmission_Risk_in_Community)^(G34*Contacts_During_Travel_to_Facility))</f>
        <v>0.00337488345159576</v>
      </c>
      <c r="K34" s="77">
        <f>J34*(1-(Percent_Prevalence_at_End_of_Projection_Period-Percent_Prevalence_at_Beginning_of_Projection_Period))</f>
        <v>0.00258741064622341</v>
      </c>
      <c r="L34" s="22">
        <f>$F34*$K34*HH_Size</f>
        <v>68.4628856990715</v>
      </c>
      <c r="M34" s="23">
        <f>$F34*$J34*(HH_Children*Fatality_Rate_Child+HH_Adults*Fatality_Rate_Adult+HH_Over_60*Fatality_Rate_Over_60)</f>
        <v>0.173961074169031</v>
      </c>
      <c r="N34" s="79">
        <f>1-((1-Risk_of_Provider_Being_Infected*_xlfn.SINGLE(Transmission_Risk_Contact_Health_Care_Provider)*(1-Reduction_in_Risk_PPE))^($G34)*(1-Risk_of_Community_Member_being_Infected*Transmission_Risk_in_Community)^($G34*Contacts_During_Travel_to_Facility))</f>
        <v>0.00330079028006769</v>
      </c>
      <c r="O34" s="77">
        <f>N34*(1-(Percent_Prevalence_at_End_of_Projection_Period-Percent_Prevalence_at_Beginning_of_Projection_Period))</f>
        <v>0.00253060588138523</v>
      </c>
      <c r="P34" s="22">
        <f>$F34*$O34*HH_Size</f>
        <v>66.9598316214531</v>
      </c>
      <c r="Q34" s="23">
        <f>$F34*$O34*(HH_Children*Fatality_Rate_Child+HH_Adults*Fatality_Rate_Adult+HH_Over_60*Fatality_Rate_Over_60)</f>
        <v>0.130442109701918</v>
      </c>
      <c r="R34" s="79">
        <f>1-((1-Risk_of_Provider_Being_Infected*_xlfn.SINGLE(Transmission_Risk_Contact_Health_Care_Provider)*(1-Reduction_in_Risk_PPE))^($G34*(1-Reduction_in_Risk_TS)))*(1-Risk_of_Community_Member_being_Infected*Transmission_Risk_in_Community)^($G34*Contacts_During_Travel_to_Facility)</f>
        <v>0.00323411410781771</v>
      </c>
      <c r="S34" s="77">
        <f>R34*(1-(Percent_Prevalence_at_End_of_Projection_Period-Percent_Prevalence_at_Beginning_of_Projection_Period))</f>
        <v>0.00247948748266024</v>
      </c>
      <c r="T34" s="22">
        <f>$F34*$S34*HH_Size</f>
        <v>65.60723879119</v>
      </c>
      <c r="U34" s="23">
        <f>$F34*$S34*(HH_Children*Fatality_Rate_Child+HH_Adults*Fatality_Rate_Adult+HH_Over_60*Fatality_Rate_Over_60)</f>
        <v>0.127807170842683</v>
      </c>
      <c r="V34" s="79">
        <f>1-((1-Risk_of_Provider_Being_Infected*_xlfn.SINGLE(Transmission_Risk_Contact_Health_Care_Provider)*(1-$I34)))*(1-Risk_of_Community_Member_being_Infected*Transmission_Risk_in_Community)^($H34*Contacts_During_Travel_to_Facility)</f>
        <v>0.00268200537019636</v>
      </c>
      <c r="W34" s="77">
        <f>V34*(1-(Percent_Prevalence_at_End_of_Projection_Period-Percent_Prevalence_at_Beginning_of_Projection_Period))</f>
        <v>0.00205620411715054</v>
      </c>
      <c r="X34" s="22">
        <f>$F34*$W34*HH_Size</f>
        <v>54.4071609398034</v>
      </c>
      <c r="Y34" s="23">
        <f>$F34*$W34*(HH_Children*Fatality_Rate_Child+HH_Adults*Fatality_Rate_Adult+HH_Over_60*Fatality_Rate_Over_60)</f>
        <v>0.105988690294227</v>
      </c>
      <c r="Z34" s="79">
        <f>1-((1-Risk_of_Provider_Being_Infected*Transmission_Risk_Contact_Health_Care_Provider*(1-$I34))^($H34)*(1-Risk_of_Community_Member_being_Infected*Transmission_Risk_in_Community)^($H34*Contacts_During_Travel_to_Facility))</f>
        <v>0.00273018061099861</v>
      </c>
      <c r="AA34" s="77">
        <f>Z34*(1-(Percent_Prevalence_at_End_of_Projection_Period-Percent_Prevalence_at_Beginning_of_Projection_Period))</f>
        <v>0.00209313846843227</v>
      </c>
      <c r="AB34" s="22">
        <f>$F34*$AA34*HH_Size*Infection_Rate_within_HH</f>
        <v>49.845999487246</v>
      </c>
      <c r="AC34" s="23">
        <f>$F34*$AA34*Infection_Rate_within_HH*(HH_Children*Fatality_Rate_Child+HH_Adults*Fatality_Rate_Adult+HH_Over_60*Fatality_Rate_Over_60)</f>
        <v>0.0971032509471537</v>
      </c>
      <c r="AD34" s="94"/>
    </row>
    <row r="35" spans="1:30">
      <c r="A35" s="38" t="str">
        <f>IF(VLOOKUP(B35,'[1]1. Select Services'!$A$6:$E$77,5,FALSE)="x","x","")</f>
        <v>x</v>
      </c>
      <c r="B35" s="44">
        <v>21</v>
      </c>
      <c r="C35" s="44">
        <v>26</v>
      </c>
      <c r="D35" s="47"/>
      <c r="E35" s="44" t="s">
        <v>60</v>
      </c>
      <c r="F35" s="48">
        <f>IF(Chosen_Scenario="Mitigation Impact Only",VLOOKUP($B35,'[1]Coverage Review Updated'!$B$5:$T$78,18,FALSE),VLOOKUP($B35,'[1]Coverage Review Updated'!$B$5:$T$78,19,FALSE))</f>
        <v>300</v>
      </c>
      <c r="G35" s="49">
        <f>VLOOKUP($B35,'[1]7. Number of HW Contacts'!$B$4:$I$84,6,FALSE)</f>
        <v>2</v>
      </c>
      <c r="H35" s="50">
        <f>G35*(1-HLOOKUP($B35,'[1]3. Mitigation Impact on Coverag'!$BY$5:$EQ$7,3,FALSE))</f>
        <v>1.9</v>
      </c>
      <c r="I35" s="88">
        <f>HLOOKUP(B35,'[1]3. Mitigation Impact on Coverag'!ES$5:HK$7,3,FALSE)</f>
        <v>0.87</v>
      </c>
      <c r="J35" s="80">
        <f>1-((1-Risk_of_Provider_Being_Infected*_xlfn.SINGLE(Transmission_Risk_Hospital_Stay))^(G35)*(1-Risk_of_Community_Member_being_Infected*Transmission_Risk_in_Community)^(G35*Contacts_During_Travel_to_Facility))</f>
        <v>0.00485616852289095</v>
      </c>
      <c r="K35" s="80">
        <f>J35*(1-(Percent_Prevalence_at_End_of_Projection_Period-Percent_Prevalence_at_Beginning_of_Projection_Period))</f>
        <v>0.00372306253421639</v>
      </c>
      <c r="L35" s="48">
        <f>$F35*$K35*HH_Size</f>
        <v>7.03658818966898</v>
      </c>
      <c r="M35" s="50">
        <f>$F35*$J35*(HH_Children*Fatality_Rate_Child+HH_Adults*Fatality_Rate_Adult+HH_Over_60*Fatality_Rate_Over_60)</f>
        <v>0.0178796500828264</v>
      </c>
      <c r="N35" s="81">
        <f>1-((1-Risk_of_Provider_Being_Infected*_xlfn.SINGLE(Transmission_Risk_Hospital_Stay)*(1-Reduction_in_Risk_PPE))^(G35)*(1-Risk_of_Community_Member_being_Infected*Transmission_Risk_in_Community)^($G35*Contacts_During_Travel_to_Facility))</f>
        <v>0.00463404599153627</v>
      </c>
      <c r="O35" s="80">
        <f>N35*(1-(Percent_Prevalence_at_End_of_Projection_Period-Percent_Prevalence_at_Beginning_of_Projection_Period))</f>
        <v>0.00355276859351114</v>
      </c>
      <c r="P35" s="48">
        <f>$F35*$O35*HH_Size</f>
        <v>6.71473264173606</v>
      </c>
      <c r="Q35" s="50">
        <f>$F35*$O35*(HH_Children*Fatality_Rate_Child+HH_Adults*Fatality_Rate_Adult+HH_Over_60*Fatality_Rate_Over_60)</f>
        <v>0.0130807361766388</v>
      </c>
      <c r="R35" s="81">
        <f>1-((1-Risk_of_Provider_Being_Infected*_xlfn.SINGLE(Transmission_Risk_Hospital_Stay)*(1-Reduction_in_Risk_PPE))^(G35*(1-Reduction_in_Risk_TS)))*(1-Risk_of_Community_Member_being_Infected*Transmission_Risk_in_Community)^($G35*Contacts_During_Travel_to_Facility)</f>
        <v>0.00443420482020362</v>
      </c>
      <c r="S35" s="80">
        <f>R35*(1-(Percent_Prevalence_at_End_of_Projection_Period-Percent_Prevalence_at_Beginning_of_Projection_Period))</f>
        <v>0.00339955702882278</v>
      </c>
      <c r="T35" s="48">
        <f>$F35*$S35*HH_Size</f>
        <v>6.42516278447505</v>
      </c>
      <c r="U35" s="50">
        <f>$F35*$S35*(HH_Children*Fatality_Rate_Child+HH_Adults*Fatality_Rate_Adult+HH_Over_60*Fatality_Rate_Over_60)</f>
        <v>0.0125166352496719</v>
      </c>
      <c r="V35" s="81">
        <f>1-((1-Risk_of_Provider_Being_Infected*_xlfn.SINGLE(Transmission_Risk_Hospital_Stay)*(1-Reduction_in_Risk_PPE))^(H35*(1-Reduction_in_Risk_TS)))*(1-Risk_of_Community_Member_being_Infected*Transmission_Risk_in_Community)^($H35*Contacts_During_Travel_to_Facility)</f>
        <v>0.00421296228217349</v>
      </c>
      <c r="W35" s="80">
        <f>V35*(1-(Percent_Prevalence_at_End_of_Projection_Period-Percent_Prevalence_at_Beginning_of_Projection_Period))</f>
        <v>0.00322993774966634</v>
      </c>
      <c r="X35" s="48">
        <f>$F35*$W35*HH_Size</f>
        <v>6.10458234686939</v>
      </c>
      <c r="Y35" s="50">
        <f>$F35*$W35*(HH_Children*Fatality_Rate_Child+HH_Adults*Fatality_Rate_Adult+HH_Over_60*Fatality_Rate_Over_60)</f>
        <v>0.0118921236940448</v>
      </c>
      <c r="Z35" s="96">
        <f>1-((1-Risk_of_Provider_Being_Infected*Transmission_Risk_Hospital_Stay*(1-$I35)))*(1-Risk_of_Community_Member_being_Infected*Transmission_Risk_in_Community)^($H35*Contacts_During_Travel_to_Facility)</f>
        <v>0.00264685308317991</v>
      </c>
      <c r="AA35" s="80">
        <f>Z35*(1-(Percent_Prevalence_at_End_of_Projection_Period-Percent_Prevalence_at_Beginning_of_Projection_Period))</f>
        <v>0.00202925403043793</v>
      </c>
      <c r="AB35" s="48">
        <f>$F35*$AA35*HH_Size*Infection_Rate_within_HH</f>
        <v>3.45176110577492</v>
      </c>
      <c r="AC35" s="50">
        <f>$F35*$AA35*Infection_Rate_within_HH*(HH_Children*Fatality_Rate_Child+HH_Adults*Fatality_Rate_Adult+HH_Over_60*Fatality_Rate_Over_60)</f>
        <v>0.00672425527247072</v>
      </c>
      <c r="AD35" s="94" t="s">
        <v>61</v>
      </c>
    </row>
    <row r="36" spans="1:30">
      <c r="A36" s="38" t="str">
        <f>IF(VLOOKUP(B36,'[1]1. Select Services'!$A$6:$E$77,5,FALSE)="x","x","")</f>
        <v>x</v>
      </c>
      <c r="B36" s="51">
        <v>22</v>
      </c>
      <c r="C36" s="51">
        <v>27</v>
      </c>
      <c r="D36" s="52" t="s">
        <v>29</v>
      </c>
      <c r="E36" s="53" t="s">
        <v>62</v>
      </c>
      <c r="F36" s="48">
        <f>IF(Chosen_Scenario="Mitigation Impact Only",VLOOKUP($B36,'[1]Coverage Review Updated'!$B$5:$T$78,18,FALSE),VLOOKUP($B36,'[1]Coverage Review Updated'!$B$5:$T$78,19,FALSE))</f>
        <v>56100</v>
      </c>
      <c r="G36" s="48">
        <f>VLOOKUP(200,'[1]7. Number of HW Contacts'!$B$4:$I$84,6,FALSE)</f>
        <v>4</v>
      </c>
      <c r="H36" s="50">
        <f>G36*(1-HLOOKUP($B36,'[1]3. Mitigation Impact on Coverag'!$BY$5:$EQ$7,3,FALSE))</f>
        <v>4</v>
      </c>
      <c r="I36" s="88">
        <f>HLOOKUP(B36,'[1]3. Mitigation Impact on Coverag'!ES$5:HK$7,3,FALSE)</f>
        <v>0.77</v>
      </c>
      <c r="J36" s="80">
        <f>1-((1-Risk_of_Provider_Being_Infected*_xlfn.SINGLE(Transmission_Risk_Hospital_Stay))^(G36)*(1-Risk_of_Community_Member_being_Infected*Transmission_Risk_in_Community)^(G36*Contacts_During_Travel_to_Facility))</f>
        <v>0.0096887546730593</v>
      </c>
      <c r="K36" s="80">
        <f>J36*(1-(Percent_Prevalence_at_End_of_Projection_Period-Percent_Prevalence_at_Beginning_of_Projection_Period))</f>
        <v>0.00742804524934546</v>
      </c>
      <c r="L36" s="48">
        <f>$F36*$K36*HH_Size</f>
        <v>2625.29403247617</v>
      </c>
      <c r="M36" s="50">
        <f>$F36*$J36*(HH_Children*Fatality_Rate_Child+HH_Adults*Fatality_Rate_Adult+HH_Over_60*Fatality_Rate_Over_60)</f>
        <v>6.67075255791176</v>
      </c>
      <c r="N36" s="81">
        <f>1-((1-Risk_of_Provider_Being_Infected*_xlfn.SINGLE(Transmission_Risk_Hospital_Stay)*(1-Reduction_in_Risk_PPE))^(G36)*(1-Risk_of_Community_Member_being_Infected*Transmission_Risk_in_Community)^($G36*Contacts_During_Travel_to_Facility))</f>
        <v>0.00924661760082079</v>
      </c>
      <c r="O36" s="80">
        <f>N36*(1-(Percent_Prevalence_at_End_of_Projection_Period-Percent_Prevalence_at_Beginning_of_Projection_Period))</f>
        <v>0.00708907349396261</v>
      </c>
      <c r="P36" s="48">
        <f>$F36*$O36*HH_Size</f>
        <v>2505.4912449712</v>
      </c>
      <c r="Q36" s="50">
        <f>$F36*$O36*(HH_Children*Fatality_Rate_Child+HH_Adults*Fatality_Rate_Adult+HH_Over_60*Fatality_Rate_Over_60)</f>
        <v>4.88086000098334</v>
      </c>
      <c r="R36" s="81">
        <f>1-((1-Risk_of_Provider_Being_Infected*_xlfn.SINGLE(Transmission_Risk_Hospital_Stay)*(1-Reduction_in_Risk_PPE))^(G36*(1-Reduction_in_Risk_TS)))*(1-Risk_of_Community_Member_being_Infected*Transmission_Risk_in_Community)^($G36*Contacts_During_Travel_to_Facility)</f>
        <v>0.00884874746801978</v>
      </c>
      <c r="S36" s="80">
        <f>R36*(1-(Percent_Prevalence_at_End_of_Projection_Period-Percent_Prevalence_at_Beginning_of_Projection_Period))</f>
        <v>0.00678403972548183</v>
      </c>
      <c r="T36" s="48">
        <f>$F36*$S36*HH_Size</f>
        <v>2397.68316017704</v>
      </c>
      <c r="U36" s="50">
        <f>$F36*$S36*(HH_Children*Fatality_Rate_Child+HH_Adults*Fatality_Rate_Adult+HH_Over_60*Fatality_Rate_Over_60)</f>
        <v>4.67084283572261</v>
      </c>
      <c r="V36" s="81">
        <f>1-((1-Risk_of_Provider_Being_Infected*_xlfn.SINGLE(Transmission_Risk_Hospital_Stay)*(1-Reduction_in_Risk_PPE))^(H36*(1-Reduction_in_Risk_TS)))*(1-Risk_of_Community_Member_being_Infected*Transmission_Risk_in_Community)^($H36*Contacts_During_Travel_to_Facility)</f>
        <v>0.00884874746801978</v>
      </c>
      <c r="W36" s="80">
        <f>V36*(1-(Percent_Prevalence_at_End_of_Projection_Period-Percent_Prevalence_at_Beginning_of_Projection_Period))</f>
        <v>0.00678403972548183</v>
      </c>
      <c r="X36" s="48">
        <f>$F36*$W36*HH_Size</f>
        <v>2397.68316017704</v>
      </c>
      <c r="Y36" s="50">
        <f>$F36*$W36*(HH_Children*Fatality_Rate_Child+HH_Adults*Fatality_Rate_Adult+HH_Over_60*Fatality_Rate_Over_60)</f>
        <v>4.67084283572261</v>
      </c>
      <c r="Z36" s="96">
        <f>1-((1-Risk_of_Provider_Being_Infected*Transmission_Risk_Hospital_Stay*(1-$I36)))*(1-Risk_of_Community_Member_being_Infected*Transmission_Risk_in_Community)^($H36*Contacts_During_Travel_to_Facility)</f>
        <v>0.00551575676200677</v>
      </c>
      <c r="AA36" s="80">
        <f>Z36*(1-(Percent_Prevalence_at_End_of_Projection_Period-Percent_Prevalence_at_Beginning_of_Projection_Period))</f>
        <v>0.00422874685087186</v>
      </c>
      <c r="AB36" s="48">
        <f>$F36*$AA36*HH_Size*Infection_Rate_within_HH</f>
        <v>1345.10939955328</v>
      </c>
      <c r="AC36" s="50">
        <f>$F36*$AA36*Infection_Rate_within_HH*(HH_Children*Fatality_Rate_Child+HH_Adults*Fatality_Rate_Adult+HH_Over_60*Fatality_Rate_Over_60)</f>
        <v>2.62036064919547</v>
      </c>
      <c r="AD36" s="94" t="s">
        <v>61</v>
      </c>
    </row>
    <row r="37" spans="1:30">
      <c r="A37" s="38" t="str">
        <f>IF(VLOOKUP(B37,'[1]1. Select Services'!$A$6:$E$77,5,FALSE)="x","x","")</f>
        <v>x</v>
      </c>
      <c r="B37" s="51">
        <v>23</v>
      </c>
      <c r="C37" s="51">
        <v>28</v>
      </c>
      <c r="D37" s="54"/>
      <c r="E37" s="53" t="s">
        <v>63</v>
      </c>
      <c r="F37" s="48">
        <f>IF(Chosen_Scenario="Mitigation Impact Only",VLOOKUP($B37,'[1]Coverage Review Updated'!$B$5:$T$78,18,FALSE),VLOOKUP($B37,'[1]Coverage Review Updated'!$B$5:$T$78,19,FALSE))</f>
        <v>46000</v>
      </c>
      <c r="G37" s="48">
        <f>VLOOKUP($B37,'[1]7. Number of HW Contacts'!$B$4:$I$84,6,FALSE)</f>
        <v>0</v>
      </c>
      <c r="H37" s="50">
        <f>G37*(1-HLOOKUP($B37,'[1]3. Mitigation Impact on Coverag'!$BY$5:$EQ$7,3,FALSE))</f>
        <v>0</v>
      </c>
      <c r="I37" s="88">
        <f>HLOOKUP(B37,'[1]3. Mitigation Impact on Coverag'!ES$5:HK$7,3,FALSE)</f>
        <v>0.77</v>
      </c>
      <c r="J37" s="80">
        <f>1-((1-Risk_of_Provider_Being_Infected*_xlfn.SINGLE(Transmission_Risk_Hospital_Stay))^(G37)*(1-Risk_of_Community_Member_being_Infected*Transmission_Risk_in_Community)^(G37*Contacts_During_Travel_to_Facility))</f>
        <v>0</v>
      </c>
      <c r="K37" s="80">
        <f>J37*(1-(Percent_Prevalence_at_End_of_Projection_Period-Percent_Prevalence_at_Beginning_of_Projection_Period))</f>
        <v>0</v>
      </c>
      <c r="L37" s="48">
        <f>$F37*$K37*HH_Size</f>
        <v>0</v>
      </c>
      <c r="M37" s="50">
        <f>$F37*$J37*(HH_Children*Fatality_Rate_Child+HH_Adults*Fatality_Rate_Adult+HH_Over_60*Fatality_Rate_Over_60)</f>
        <v>0</v>
      </c>
      <c r="N37" s="81">
        <f>1-((1-Risk_of_Provider_Being_Infected*_xlfn.SINGLE(Transmission_Risk_Hospital_Stay)*(1-Reduction_in_Risk_PPE))^(G37)*(1-Risk_of_Community_Member_being_Infected*Transmission_Risk_in_Community)^($G37*Contacts_During_Travel_to_Facility))</f>
        <v>0</v>
      </c>
      <c r="O37" s="80">
        <f>N37*(1-(Percent_Prevalence_at_End_of_Projection_Period-Percent_Prevalence_at_Beginning_of_Projection_Period))</f>
        <v>0</v>
      </c>
      <c r="P37" s="48">
        <f>$F37*$O37*HH_Size</f>
        <v>0</v>
      </c>
      <c r="Q37" s="50">
        <f>$F37*$O37*(HH_Children*Fatality_Rate_Child+HH_Adults*Fatality_Rate_Adult+HH_Over_60*Fatality_Rate_Over_60)</f>
        <v>0</v>
      </c>
      <c r="R37" s="81">
        <f>1-((1-Risk_of_Provider_Being_Infected*_xlfn.SINGLE(Transmission_Risk_Hospital_Stay)*(1-Reduction_in_Risk_PPE))^(G37*(1-Reduction_in_Risk_TS)))*(1-Risk_of_Community_Member_being_Infected*Transmission_Risk_in_Community)^($G37*Contacts_During_Travel_to_Facility)</f>
        <v>0</v>
      </c>
      <c r="S37" s="80">
        <f>R37*(1-(Percent_Prevalence_at_End_of_Projection_Period-Percent_Prevalence_at_Beginning_of_Projection_Period))</f>
        <v>0</v>
      </c>
      <c r="T37" s="48">
        <f>$F37*$S37*HH_Size</f>
        <v>0</v>
      </c>
      <c r="U37" s="50">
        <f>$F37*$S37*(HH_Children*Fatality_Rate_Child+HH_Adults*Fatality_Rate_Adult+HH_Over_60*Fatality_Rate_Over_60)</f>
        <v>0</v>
      </c>
      <c r="V37" s="81">
        <f>1-((1-Risk_of_Provider_Being_Infected*_xlfn.SINGLE(Transmission_Risk_Hospital_Stay)*(1-Reduction_in_Risk_PPE))^(H37*(1-Reduction_in_Risk_TS)))*(1-Risk_of_Community_Member_being_Infected*Transmission_Risk_in_Community)^($H37*Contacts_During_Travel_to_Facility)</f>
        <v>0</v>
      </c>
      <c r="W37" s="80">
        <f>V37*(1-(Percent_Prevalence_at_End_of_Projection_Period-Percent_Prevalence_at_Beginning_of_Projection_Period))</f>
        <v>0</v>
      </c>
      <c r="X37" s="48">
        <f>$F37*$W37*HH_Size</f>
        <v>0</v>
      </c>
      <c r="Y37" s="50">
        <f>$F37*$W37*(HH_Children*Fatality_Rate_Child+HH_Adults*Fatality_Rate_Adult+HH_Over_60*Fatality_Rate_Over_60)</f>
        <v>0</v>
      </c>
      <c r="Z37" s="96">
        <f>1-((1-Risk_of_Provider_Being_Infected*Transmission_Risk_Hospital_Stay*(1-$I37)))*(1-Risk_of_Community_Member_being_Infected*Transmission_Risk_in_Community)^($H37*Contacts_During_Travel_to_Facility)</f>
        <v>0.000256386986301371</v>
      </c>
      <c r="AA37" s="80">
        <f>Z37*(1-(Percent_Prevalence_at_End_of_Projection_Period-Percent_Prevalence_at_Beginning_of_Projection_Period))</f>
        <v>0.000196563356164385</v>
      </c>
      <c r="AB37" s="48">
        <f>$F37*$AA37*HH_Size*Infection_Rate_within_HH</f>
        <v>51.2676545547948</v>
      </c>
      <c r="AC37" s="50">
        <f>$F37*$AA37*Infection_Rate_within_HH*(HH_Children*Fatality_Rate_Child+HH_Adults*Fatality_Rate_Adult+HH_Over_60*Fatality_Rate_Over_60)</f>
        <v>0.0998727275391478</v>
      </c>
      <c r="AD37" s="94" t="s">
        <v>61</v>
      </c>
    </row>
    <row r="38" spans="1:30">
      <c r="A38" s="38" t="str">
        <f>IF(VLOOKUP(B38,'[1]1. Select Services'!$A$6:$E$77,5,FALSE)="x","x","")</f>
        <v>x</v>
      </c>
      <c r="B38" s="51">
        <v>24</v>
      </c>
      <c r="C38" s="51">
        <v>32</v>
      </c>
      <c r="D38" s="54"/>
      <c r="E38" s="53" t="s">
        <v>64</v>
      </c>
      <c r="F38" s="48">
        <f>IF(Chosen_Scenario="Mitigation Impact Only",VLOOKUP($B38,'[1]Coverage Review Updated'!$B$5:$T$78,18,FALSE),VLOOKUP($B38,'[1]Coverage Review Updated'!$B$5:$T$78,19,FALSE))</f>
        <v>400</v>
      </c>
      <c r="G38" s="48">
        <f>VLOOKUP($B38,'[1]7. Number of HW Contacts'!$B$4:$I$84,6,FALSE)</f>
        <v>4</v>
      </c>
      <c r="H38" s="50">
        <f>G38*(1-HLOOKUP($B38,'[1]3. Mitigation Impact on Coverag'!$BY$5:$EQ$7,3,FALSE))</f>
        <v>4</v>
      </c>
      <c r="I38" s="88">
        <f>HLOOKUP(B38,'[1]3. Mitigation Impact on Coverag'!ES$5:HK$7,3,FALSE)</f>
        <v>0.77</v>
      </c>
      <c r="J38" s="80">
        <f>1-((1-Risk_of_Provider_Being_Infected*_xlfn.SINGLE(Transmission_Risk_Hospital_Stay))^(G38)*(1-Risk_of_Community_Member_being_Infected*Transmission_Risk_in_Community)^(G38*Contacts_During_Travel_to_Facility))</f>
        <v>0.0096887546730593</v>
      </c>
      <c r="K38" s="80">
        <f>J38*(1-(Percent_Prevalence_at_End_of_Projection_Period-Percent_Prevalence_at_Beginning_of_Projection_Period))</f>
        <v>0.00742804524934546</v>
      </c>
      <c r="L38" s="48">
        <f>$F38*$K38*HH_Size</f>
        <v>18.7186740283506</v>
      </c>
      <c r="M38" s="50">
        <f>$F38*$J38*(HH_Children*Fatality_Rate_Child+HH_Adults*Fatality_Rate_Adult+HH_Over_60*Fatality_Rate_Over_60)</f>
        <v>0.0475632980956275</v>
      </c>
      <c r="N38" s="81">
        <f>1-((1-Risk_of_Provider_Being_Infected*_xlfn.SINGLE(Transmission_Risk_Hospital_Stay)*(1-Reduction_in_Risk_PPE))^(G38)*(1-Risk_of_Community_Member_being_Infected*Transmission_Risk_in_Community)^($G38*Contacts_During_Travel_to_Facility))</f>
        <v>0.00924661760082079</v>
      </c>
      <c r="O38" s="80">
        <f>N38*(1-(Percent_Prevalence_at_End_of_Projection_Period-Percent_Prevalence_at_Beginning_of_Projection_Period))</f>
        <v>0.00708907349396261</v>
      </c>
      <c r="P38" s="48">
        <f>$F38*$O38*HH_Size</f>
        <v>17.8644652047858</v>
      </c>
      <c r="Q38" s="50">
        <f>$F38*$O38*(HH_Children*Fatality_Rate_Child+HH_Adults*Fatality_Rate_Adult+HH_Over_60*Fatality_Rate_Over_60)</f>
        <v>0.0348011408269757</v>
      </c>
      <c r="R38" s="81">
        <f>1-((1-Risk_of_Provider_Being_Infected*_xlfn.SINGLE(Transmission_Risk_Hospital_Stay)*(1-Reduction_in_Risk_PPE))^(G38*(1-Reduction_in_Risk_TS)))*(1-Risk_of_Community_Member_being_Infected*Transmission_Risk_in_Community)^($G38*Contacts_During_Travel_to_Facility)</f>
        <v>0.00884874746801978</v>
      </c>
      <c r="S38" s="80">
        <f>R38*(1-(Percent_Prevalence_at_End_of_Projection_Period-Percent_Prevalence_at_Beginning_of_Projection_Period))</f>
        <v>0.00678403972548183</v>
      </c>
      <c r="T38" s="48">
        <f>$F38*$S38*HH_Size</f>
        <v>17.0957801082142</v>
      </c>
      <c r="U38" s="50">
        <f>$F38*$S38*(HH_Children*Fatality_Rate_Child+HH_Adults*Fatality_Rate_Adult+HH_Over_60*Fatality_Rate_Over_60)</f>
        <v>0.0333036922333163</v>
      </c>
      <c r="V38" s="81">
        <f>1-((1-Risk_of_Provider_Being_Infected*_xlfn.SINGLE(Transmission_Risk_Hospital_Stay)*(1-Reduction_in_Risk_PPE))^(H38*(1-Reduction_in_Risk_TS)))*(1-Risk_of_Community_Member_being_Infected*Transmission_Risk_in_Community)^($H38*Contacts_During_Travel_to_Facility)</f>
        <v>0.00884874746801978</v>
      </c>
      <c r="W38" s="80">
        <f>V38*(1-(Percent_Prevalence_at_End_of_Projection_Period-Percent_Prevalence_at_Beginning_of_Projection_Period))</f>
        <v>0.00678403972548183</v>
      </c>
      <c r="X38" s="48">
        <f>$F38*$W38*HH_Size</f>
        <v>17.0957801082142</v>
      </c>
      <c r="Y38" s="50">
        <f>$F38*$W38*(HH_Children*Fatality_Rate_Child+HH_Adults*Fatality_Rate_Adult+HH_Over_60*Fatality_Rate_Over_60)</f>
        <v>0.0333036922333163</v>
      </c>
      <c r="Z38" s="96">
        <f>1-((1-Risk_of_Provider_Being_Infected*Transmission_Risk_Hospital_Stay*(1-$I38)))*(1-Risk_of_Community_Member_being_Infected*Transmission_Risk_in_Community)^($H38*Contacts_During_Travel_to_Facility)</f>
        <v>0.00551575676200677</v>
      </c>
      <c r="AA38" s="80">
        <f>Z38*(1-(Percent_Prevalence_at_End_of_Projection_Period-Percent_Prevalence_at_Beginning_of_Projection_Period))</f>
        <v>0.00422874685087186</v>
      </c>
      <c r="AB38" s="48">
        <f>$F38*$AA38*HH_Size*Infection_Rate_within_HH</f>
        <v>9.59079785777738</v>
      </c>
      <c r="AC38" s="50">
        <f>$F38*$AA38*Infection_Rate_within_HH*(HH_Children*Fatality_Rate_Child+HH_Adults*Fatality_Rate_Adult+HH_Over_60*Fatality_Rate_Over_60)</f>
        <v>0.0186834983899855</v>
      </c>
      <c r="AD38" s="94" t="s">
        <v>61</v>
      </c>
    </row>
    <row r="39" spans="1:30">
      <c r="A39" s="38" t="str">
        <f>IF(VLOOKUP(B39,'[1]1. Select Services'!$A$6:$E$77,5,FALSE)="x","x","")</f>
        <v>x</v>
      </c>
      <c r="B39" s="51">
        <v>25</v>
      </c>
      <c r="C39" s="51">
        <v>33</v>
      </c>
      <c r="D39" s="54"/>
      <c r="E39" s="53" t="s">
        <v>65</v>
      </c>
      <c r="F39" s="48">
        <f>IF(Chosen_Scenario="Mitigation Impact Only",VLOOKUP($B39,'[1]Coverage Review Updated'!$B$5:$T$78,18,FALSE),VLOOKUP($B39,'[1]Coverage Review Updated'!$B$5:$T$78,19,FALSE))</f>
        <v>100</v>
      </c>
      <c r="G39" s="48">
        <f>VLOOKUP($B39,'[1]7. Number of HW Contacts'!$B$4:$I$84,6,FALSE)</f>
        <v>10</v>
      </c>
      <c r="H39" s="50">
        <f>G39*(1-HLOOKUP($B39,'[1]3. Mitigation Impact on Coverag'!$BY$5:$EQ$7,3,FALSE))</f>
        <v>10</v>
      </c>
      <c r="I39" s="88">
        <f>HLOOKUP(B39,'[1]3. Mitigation Impact on Coverag'!ES$5:HK$7,3,FALSE)</f>
        <v>0.77</v>
      </c>
      <c r="J39" s="80">
        <f>1-((1-Risk_of_Provider_Being_Infected*_xlfn.SINGLE(Transmission_Risk_Hospital_Stay))^(G39)*(1-Risk_of_Community_Member_being_Infected*Transmission_Risk_in_Community)^(G39*Contacts_During_Travel_to_Facility))</f>
        <v>0.0240461613090481</v>
      </c>
      <c r="K39" s="80">
        <f>J39*(1-(Percent_Prevalence_at_End_of_Projection_Period-Percent_Prevalence_at_Beginning_of_Projection_Period))</f>
        <v>0.0184353903369369</v>
      </c>
      <c r="L39" s="48">
        <f>$F39*$K39*HH_Size</f>
        <v>11.6142959122702</v>
      </c>
      <c r="M39" s="50">
        <f>$F39*$J39*(HH_Children*Fatality_Rate_Child+HH_Adults*Fatality_Rate_Adult+HH_Over_60*Fatality_Rate_Over_60)</f>
        <v>0.0295113968975299</v>
      </c>
      <c r="N39" s="81">
        <f>1-((1-Risk_of_Provider_Being_Infected*_xlfn.SINGLE(Transmission_Risk_Hospital_Stay)*(1-Reduction_in_Risk_PPE))^(G39)*(1-Risk_of_Community_Member_being_Infected*Transmission_Risk_in_Community)^($G39*Contacts_During_Travel_to_Facility))</f>
        <v>0.0229564789643059</v>
      </c>
      <c r="O39" s="80">
        <f>N39*(1-(Percent_Prevalence_at_End_of_Projection_Period-Percent_Prevalence_at_Beginning_of_Projection_Period))</f>
        <v>0.0175999672059678</v>
      </c>
      <c r="P39" s="48">
        <f>$F39*$O39*HH_Size</f>
        <v>11.0879793397597</v>
      </c>
      <c r="Q39" s="50">
        <f>$F39*$O39*(HH_Children*Fatality_Rate_Child+HH_Adults*Fatality_Rate_Adult+HH_Over_60*Fatality_Rate_Over_60)</f>
        <v>0.0216001053525074</v>
      </c>
      <c r="R39" s="81">
        <f>1-((1-Risk_of_Provider_Being_Infected*_xlfn.SINGLE(Transmission_Risk_Hospital_Stay)*(1-Reduction_in_Risk_PPE))^(G39*(1-Reduction_in_Risk_TS)))*(1-Risk_of_Community_Member_being_Infected*Transmission_Risk_in_Community)^($G39*Contacts_During_Travel_to_Facility)</f>
        <v>0.021975272306848</v>
      </c>
      <c r="S39" s="80">
        <f>R39*(1-(Percent_Prevalence_at_End_of_Projection_Period-Percent_Prevalence_at_Beginning_of_Projection_Period))</f>
        <v>0.0168477087685835</v>
      </c>
      <c r="T39" s="48">
        <f>$F39*$S39*HH_Size</f>
        <v>10.6140565242076</v>
      </c>
      <c r="U39" s="50">
        <f>$F39*$S39*(HH_Children*Fatality_Rate_Child+HH_Adults*Fatality_Rate_Adult+HH_Over_60*Fatality_Rate_Over_60)</f>
        <v>0.0206768728652159</v>
      </c>
      <c r="V39" s="81">
        <f>1-((1-Risk_of_Provider_Being_Infected*_xlfn.SINGLE(Transmission_Risk_Hospital_Stay)*(1-Reduction_in_Risk_PPE))^(H39*(1-Reduction_in_Risk_TS)))*(1-Risk_of_Community_Member_being_Infected*Transmission_Risk_in_Community)^($H39*Contacts_During_Travel_to_Facility)</f>
        <v>0.021975272306848</v>
      </c>
      <c r="W39" s="80">
        <f>V39*(1-(Percent_Prevalence_at_End_of_Projection_Period-Percent_Prevalence_at_Beginning_of_Projection_Period))</f>
        <v>0.0168477087685835</v>
      </c>
      <c r="X39" s="48">
        <f>$F39*$W39*HH_Size</f>
        <v>10.6140565242076</v>
      </c>
      <c r="Y39" s="50">
        <f>$F39*$W39*(HH_Children*Fatality_Rate_Child+HH_Adults*Fatality_Rate_Adult+HH_Over_60*Fatality_Rate_Over_60)</f>
        <v>0.0206768728652159</v>
      </c>
      <c r="Z39" s="96">
        <f>1-((1-Risk_of_Provider_Being_Infected*Transmission_Risk_Hospital_Stay*(1-$I39)))*(1-Risk_of_Community_Member_being_Infected*Transmission_Risk_in_Community)^($H39*Contacts_During_Travel_to_Facility)</f>
        <v>0.013352979320799</v>
      </c>
      <c r="AA39" s="80">
        <f>Z39*(1-(Percent_Prevalence_at_End_of_Projection_Period-Percent_Prevalence_at_Beginning_of_Projection_Period))</f>
        <v>0.0102372841459459</v>
      </c>
      <c r="AB39" s="48">
        <f>$F39*$AA39*HH_Size*Infection_Rate_within_HH</f>
        <v>5.80454011075134</v>
      </c>
      <c r="AC39" s="50">
        <f>$F39*$AA39*Infection_Rate_within_HH*(HH_Children*Fatality_Rate_Child+HH_Adults*Fatality_Rate_Adult+HH_Over_60*Fatality_Rate_Over_60)</f>
        <v>0.0113076218915286</v>
      </c>
      <c r="AD39" s="94" t="s">
        <v>61</v>
      </c>
    </row>
    <row r="40" spans="1:30">
      <c r="A40" s="38" t="str">
        <f>IF(VLOOKUP(B40,'[1]1. Select Services'!$A$6:$E$77,5,FALSE)="x","x","")</f>
        <v>x</v>
      </c>
      <c r="B40" s="51">
        <v>26</v>
      </c>
      <c r="C40" s="51">
        <v>34</v>
      </c>
      <c r="D40" s="54"/>
      <c r="E40" s="53" t="s">
        <v>66</v>
      </c>
      <c r="F40" s="48">
        <f>IF(Chosen_Scenario="Mitigation Impact Only",VLOOKUP($B40,'[1]Coverage Review Updated'!$B$5:$T$78,18,FALSE),VLOOKUP($B40,'[1]Coverage Review Updated'!$B$5:$T$78,19,FALSE))</f>
        <v>2700</v>
      </c>
      <c r="G40" s="48">
        <f>VLOOKUP($B40,'[1]7. Number of HW Contacts'!$B$4:$I$84,6,FALSE)</f>
        <v>6</v>
      </c>
      <c r="H40" s="50">
        <f>G40*(1-HLOOKUP($B40,'[1]3. Mitigation Impact on Coverag'!$BY$5:$EQ$7,3,FALSE))</f>
        <v>6</v>
      </c>
      <c r="I40" s="88">
        <f>HLOOKUP(B40,'[1]3. Mitigation Impact on Coverag'!ES$5:HK$7,3,FALSE)</f>
        <v>0.77</v>
      </c>
      <c r="J40" s="80">
        <f>1-((1-Risk_of_Provider_Being_Infected*_xlfn.SINGLE(Transmission_Risk_Hospital_Stay))^(G40)*(1-Risk_of_Community_Member_being_Infected*Transmission_Risk_in_Community)^(G40*Contacts_During_Travel_to_Facility))</f>
        <v>0.0144978729704809</v>
      </c>
      <c r="K40" s="80">
        <f>J40*(1-(Percent_Prevalence_at_End_of_Projection_Period-Percent_Prevalence_at_Beginning_of_Projection_Period))</f>
        <v>0.0111150359440353</v>
      </c>
      <c r="L40" s="48">
        <f>$F40*$K40*HH_Size</f>
        <v>189.066761408041</v>
      </c>
      <c r="M40" s="50">
        <f>$F40*$J40*(HH_Children*Fatality_Rate_Child+HH_Adults*Fatality_Rate_Adult+HH_Over_60*Fatality_Rate_Over_60)</f>
        <v>0.480410029001288</v>
      </c>
      <c r="N40" s="81">
        <f>1-((1-Risk_of_Provider_Being_Infected*_xlfn.SINGLE(Transmission_Risk_Hospital_Stay)*(1-Reduction_in_Risk_PPE))^(G40)*(1-Risk_of_Community_Member_being_Infected*Transmission_Risk_in_Community)^($G40*Contacts_During_Travel_to_Facility))</f>
        <v>0.0138378143411286</v>
      </c>
      <c r="O40" s="80">
        <f>N40*(1-(Percent_Prevalence_at_End_of_Projection_Period-Percent_Prevalence_at_Beginning_of_Projection_Period))</f>
        <v>0.0106089909948653</v>
      </c>
      <c r="P40" s="48">
        <f>$F40*$O40*HH_Size</f>
        <v>180.458936822658</v>
      </c>
      <c r="Q40" s="50">
        <f>$F40*$O40*(HH_Children*Fatality_Rate_Child+HH_Adults*Fatality_Rate_Adult+HH_Over_60*Fatality_Rate_Over_60)</f>
        <v>0.35154575308357</v>
      </c>
      <c r="R40" s="81">
        <f>1-((1-Risk_of_Provider_Being_Infected*_xlfn.SINGLE(Transmission_Risk_Hospital_Stay)*(1-Reduction_in_Risk_PPE))^(G40*(1-Reduction_in_Risk_TS)))*(1-Risk_of_Community_Member_being_Infected*Transmission_Risk_in_Community)^($G40*Contacts_During_Travel_to_Facility)</f>
        <v>0.0132437151295479</v>
      </c>
      <c r="S40" s="80">
        <f>R40*(1-(Percent_Prevalence_at_End_of_Projection_Period-Percent_Prevalence_at_Beginning_of_Projection_Period))</f>
        <v>0.0101535149326534</v>
      </c>
      <c r="T40" s="48">
        <f>$F40*$S40*HH_Size</f>
        <v>172.711289004434</v>
      </c>
      <c r="U40" s="50">
        <f>$F40*$S40*(HH_Children*Fatality_Rate_Child+HH_Adults*Fatality_Rate_Adult+HH_Over_60*Fatality_Rate_Over_60)</f>
        <v>0.336452830921669</v>
      </c>
      <c r="V40" s="81">
        <f>1-((1-Risk_of_Provider_Being_Infected*_xlfn.SINGLE(Transmission_Risk_Hospital_Stay)*(1-Reduction_in_Risk_PPE))^(H40*(1-Reduction_in_Risk_TS)))*(1-Risk_of_Community_Member_being_Infected*Transmission_Risk_in_Community)^($H40*Contacts_During_Travel_to_Facility)</f>
        <v>0.0132437151295479</v>
      </c>
      <c r="W40" s="80">
        <f>V40*(1-(Percent_Prevalence_at_End_of_Projection_Period-Percent_Prevalence_at_Beginning_of_Projection_Period))</f>
        <v>0.0101535149326534</v>
      </c>
      <c r="X40" s="48">
        <f>$F40*$W40*HH_Size</f>
        <v>172.711289004434</v>
      </c>
      <c r="Y40" s="50">
        <f>$F40*$W40*(HH_Children*Fatality_Rate_Child+HH_Adults*Fatality_Rate_Adult+HH_Over_60*Fatality_Rate_Over_60)</f>
        <v>0.336452830921669</v>
      </c>
      <c r="Z40" s="96">
        <f>1-((1-Risk_of_Provider_Being_Infected*Transmission_Risk_Hospital_Stay*(1-$I40)))*(1-Risk_of_Community_Member_being_Infected*Transmission_Risk_in_Community)^($H40*Contacts_During_Travel_to_Facility)</f>
        <v>0.0081350570106834</v>
      </c>
      <c r="AA40" s="80">
        <f>Z40*(1-(Percent_Prevalence_at_End_of_Projection_Period-Percent_Prevalence_at_Beginning_of_Projection_Period))</f>
        <v>0.00623687704152394</v>
      </c>
      <c r="AB40" s="48">
        <f>$F40*$AA40*HH_Size*Infection_Rate_within_HH</f>
        <v>95.48035062869</v>
      </c>
      <c r="AC40" s="50">
        <f>$F40*$AA40*Infection_Rate_within_HH*(HH_Children*Fatality_Rate_Child+HH_Adults*Fatality_Rate_Adult+HH_Over_60*Fatality_Rate_Over_60)</f>
        <v>0.186001936825285</v>
      </c>
      <c r="AD40" s="94" t="s">
        <v>61</v>
      </c>
    </row>
    <row r="41" spans="1:30">
      <c r="A41" s="38" t="str">
        <f>IF(VLOOKUP(B41,'[1]1. Select Services'!$A$6:$E$77,5,FALSE)="x","x","")</f>
        <v>x</v>
      </c>
      <c r="B41" s="51">
        <v>27</v>
      </c>
      <c r="C41" s="51">
        <v>35</v>
      </c>
      <c r="D41" s="54"/>
      <c r="E41" s="53" t="s">
        <v>67</v>
      </c>
      <c r="F41" s="48">
        <f>IF(Chosen_Scenario="Mitigation Impact Only",VLOOKUP($B41,'[1]Coverage Review Updated'!$B$5:$T$78,18,FALSE),VLOOKUP($B41,'[1]Coverage Review Updated'!$B$5:$T$78,19,FALSE))</f>
        <v>4200</v>
      </c>
      <c r="G41" s="48">
        <f>VLOOKUP($B41,'[1]7. Number of HW Contacts'!$B$4:$I$84,6,FALSE)</f>
        <v>10</v>
      </c>
      <c r="H41" s="50">
        <f>G41*(1-HLOOKUP($B41,'[1]3. Mitigation Impact on Coverag'!$BY$5:$EQ$7,3,FALSE))</f>
        <v>10</v>
      </c>
      <c r="I41" s="88">
        <f>HLOOKUP(B41,'[1]3. Mitigation Impact on Coverag'!ES$5:HK$7,3,FALSE)</f>
        <v>0.77</v>
      </c>
      <c r="J41" s="80">
        <f>1-((1-Risk_of_Provider_Being_Infected*_xlfn.SINGLE(Transmission_Risk_Hospital_Stay))^(G41)*(1-Risk_of_Community_Member_being_Infected*Transmission_Risk_in_Community)^(G41*Contacts_During_Travel_to_Facility))</f>
        <v>0.0240461613090481</v>
      </c>
      <c r="K41" s="80">
        <f>J41*(1-(Percent_Prevalence_at_End_of_Projection_Period-Percent_Prevalence_at_Beginning_of_Projection_Period))</f>
        <v>0.0184353903369369</v>
      </c>
      <c r="L41" s="48">
        <f>$F41*$K41*HH_Size</f>
        <v>487.80042831535</v>
      </c>
      <c r="M41" s="50">
        <f>$F41*$J41*(HH_Children*Fatality_Rate_Child+HH_Adults*Fatality_Rate_Adult+HH_Over_60*Fatality_Rate_Over_60)</f>
        <v>1.23947866969626</v>
      </c>
      <c r="N41" s="81">
        <f>1-((1-Risk_of_Provider_Being_Infected*_xlfn.SINGLE(Transmission_Risk_Hospital_Stay)*(1-Reduction_in_Risk_PPE))^(G41)*(1-Risk_of_Community_Member_being_Infected*Transmission_Risk_in_Community)^($G41*Contacts_During_Travel_to_Facility))</f>
        <v>0.0229564789643059</v>
      </c>
      <c r="O41" s="80">
        <f>N41*(1-(Percent_Prevalence_at_End_of_Projection_Period-Percent_Prevalence_at_Beginning_of_Projection_Period))</f>
        <v>0.0175999672059678</v>
      </c>
      <c r="P41" s="48">
        <f>$F41*$O41*HH_Size</f>
        <v>465.695132269909</v>
      </c>
      <c r="Q41" s="50">
        <f>$F41*$O41*(HH_Children*Fatality_Rate_Child+HH_Adults*Fatality_Rate_Adult+HH_Over_60*Fatality_Rate_Over_60)</f>
        <v>0.907204424805311</v>
      </c>
      <c r="R41" s="81">
        <f>1-((1-Risk_of_Provider_Being_Infected*_xlfn.SINGLE(Transmission_Risk_Hospital_Stay)*(1-Reduction_in_Risk_PPE))^(G41*(1-Reduction_in_Risk_TS)))*(1-Risk_of_Community_Member_being_Infected*Transmission_Risk_in_Community)^($G41*Contacts_During_Travel_to_Facility)</f>
        <v>0.021975272306848</v>
      </c>
      <c r="S41" s="80">
        <f>R41*(1-(Percent_Prevalence_at_End_of_Projection_Period-Percent_Prevalence_at_Beginning_of_Projection_Period))</f>
        <v>0.0168477087685835</v>
      </c>
      <c r="T41" s="48">
        <f>$F41*$S41*HH_Size</f>
        <v>445.790374016719</v>
      </c>
      <c r="U41" s="50">
        <f>$F41*$S41*(HH_Children*Fatality_Rate_Child+HH_Adults*Fatality_Rate_Adult+HH_Over_60*Fatality_Rate_Over_60)</f>
        <v>0.868428660339069</v>
      </c>
      <c r="V41" s="81">
        <f>1-((1-Risk_of_Provider_Being_Infected*_xlfn.SINGLE(Transmission_Risk_Hospital_Stay)*(1-Reduction_in_Risk_PPE))^(H41*(1-Reduction_in_Risk_TS)))*(1-Risk_of_Community_Member_being_Infected*Transmission_Risk_in_Community)^($H41*Contacts_During_Travel_to_Facility)</f>
        <v>0.021975272306848</v>
      </c>
      <c r="W41" s="80">
        <f>V41*(1-(Percent_Prevalence_at_End_of_Projection_Period-Percent_Prevalence_at_Beginning_of_Projection_Period))</f>
        <v>0.0168477087685835</v>
      </c>
      <c r="X41" s="48">
        <f>$F41*$W41*HH_Size</f>
        <v>445.790374016719</v>
      </c>
      <c r="Y41" s="50">
        <f>$F41*$W41*(HH_Children*Fatality_Rate_Child+HH_Adults*Fatality_Rate_Adult+HH_Over_60*Fatality_Rate_Over_60)</f>
        <v>0.868428660339069</v>
      </c>
      <c r="Z41" s="96">
        <f>1-((1-Risk_of_Provider_Being_Infected*Transmission_Risk_Hospital_Stay*(1-$I41)))*(1-Risk_of_Community_Member_being_Infected*Transmission_Risk_in_Community)^($H41*Contacts_During_Travel_to_Facility)</f>
        <v>0.013352979320799</v>
      </c>
      <c r="AA41" s="80">
        <f>Z41*(1-(Percent_Prevalence_at_End_of_Projection_Period-Percent_Prevalence_at_Beginning_of_Projection_Period))</f>
        <v>0.0102372841459459</v>
      </c>
      <c r="AB41" s="48">
        <f>$F41*$AA41*HH_Size*Infection_Rate_within_HH</f>
        <v>243.790684651556</v>
      </c>
      <c r="AC41" s="50">
        <f>$F41*$AA41*Infection_Rate_within_HH*(HH_Children*Fatality_Rate_Child+HH_Adults*Fatality_Rate_Adult+HH_Over_60*Fatality_Rate_Over_60)</f>
        <v>0.474920119444201</v>
      </c>
      <c r="AD41" s="94" t="s">
        <v>61</v>
      </c>
    </row>
    <row r="42" spans="1:30">
      <c r="A42" s="38" t="str">
        <f>IF(VLOOKUP(B42,'[1]1. Select Services'!$A$6:$E$77,5,FALSE)="x","x","")</f>
        <v>x</v>
      </c>
      <c r="B42" s="51">
        <v>28</v>
      </c>
      <c r="C42" s="51">
        <v>36</v>
      </c>
      <c r="D42" s="54"/>
      <c r="E42" s="53" t="s">
        <v>68</v>
      </c>
      <c r="F42" s="48">
        <f>IF(Chosen_Scenario="Mitigation Impact Only",VLOOKUP($B42,'[1]Coverage Review Updated'!$B$5:$T$78,18,FALSE),VLOOKUP($B42,'[1]Coverage Review Updated'!$B$5:$T$78,19,FALSE))</f>
        <v>1500</v>
      </c>
      <c r="G42" s="48">
        <f>VLOOKUP($B42,'[1]7. Number of HW Contacts'!$B$4:$I$84,6,FALSE)</f>
        <v>4</v>
      </c>
      <c r="H42" s="50">
        <f>G42*(1-HLOOKUP($B42,'[1]3. Mitigation Impact on Coverag'!$BY$5:$EQ$7,3,FALSE))</f>
        <v>4</v>
      </c>
      <c r="I42" s="88">
        <f>HLOOKUP(B42,'[1]3. Mitigation Impact on Coverag'!ES$5:HK$7,3,FALSE)</f>
        <v>0.77</v>
      </c>
      <c r="J42" s="80">
        <f>1-((1-Risk_of_Provider_Being_Infected*_xlfn.SINGLE(Transmission_Risk_Hospital_Stay))^(G42)*(1-Risk_of_Community_Member_being_Infected*Transmission_Risk_in_Community)^(G42*Contacts_During_Travel_to_Facility))</f>
        <v>0.0096887546730593</v>
      </c>
      <c r="K42" s="80">
        <f>J42*(1-(Percent_Prevalence_at_End_of_Projection_Period-Percent_Prevalence_at_Beginning_of_Projection_Period))</f>
        <v>0.00742804524934546</v>
      </c>
      <c r="L42" s="48">
        <f>$F42*$K42*HH_Size</f>
        <v>70.1950276063146</v>
      </c>
      <c r="M42" s="50">
        <f>$F42*$J42*(HH_Children*Fatality_Rate_Child+HH_Adults*Fatality_Rate_Adult+HH_Over_60*Fatality_Rate_Over_60)</f>
        <v>0.178362367858603</v>
      </c>
      <c r="N42" s="81">
        <f>1-((1-Risk_of_Provider_Being_Infected*_xlfn.SINGLE(Transmission_Risk_Hospital_Stay)*(1-Reduction_in_Risk_PPE))^(G42)*(1-Risk_of_Community_Member_being_Infected*Transmission_Risk_in_Community)^($G42*Contacts_During_Travel_to_Facility))</f>
        <v>0.00924661760082079</v>
      </c>
      <c r="O42" s="80">
        <f>N42*(1-(Percent_Prevalence_at_End_of_Projection_Period-Percent_Prevalence_at_Beginning_of_Projection_Period))</f>
        <v>0.00708907349396261</v>
      </c>
      <c r="P42" s="48">
        <f>$F42*$O42*HH_Size</f>
        <v>66.9917445179466</v>
      </c>
      <c r="Q42" s="50">
        <f>$F42*$O42*(HH_Children*Fatality_Rate_Child+HH_Adults*Fatality_Rate_Adult+HH_Over_60*Fatality_Rate_Over_60)</f>
        <v>0.130504278101159</v>
      </c>
      <c r="R42" s="81">
        <f>1-((1-Risk_of_Provider_Being_Infected*_xlfn.SINGLE(Transmission_Risk_Hospital_Stay)*(1-Reduction_in_Risk_PPE))^(G42*(1-Reduction_in_Risk_TS)))*(1-Risk_of_Community_Member_being_Infected*Transmission_Risk_in_Community)^($G42*Contacts_During_Travel_to_Facility)</f>
        <v>0.00884874746801978</v>
      </c>
      <c r="S42" s="80">
        <f>R42*(1-(Percent_Prevalence_at_End_of_Projection_Period-Percent_Prevalence_at_Beginning_of_Projection_Period))</f>
        <v>0.00678403972548183</v>
      </c>
      <c r="T42" s="48">
        <f>$F42*$S42*HH_Size</f>
        <v>64.1091754058033</v>
      </c>
      <c r="U42" s="50">
        <f>$F42*$S42*(HH_Children*Fatality_Rate_Child+HH_Adults*Fatality_Rate_Adult+HH_Over_60*Fatality_Rate_Over_60)</f>
        <v>0.124888845874936</v>
      </c>
      <c r="V42" s="81">
        <f>1-((1-Risk_of_Provider_Being_Infected*_xlfn.SINGLE(Transmission_Risk_Hospital_Stay)*(1-Reduction_in_Risk_PPE))^(H42*(1-Reduction_in_Risk_TS)))*(1-Risk_of_Community_Member_being_Infected*Transmission_Risk_in_Community)^($H42*Contacts_During_Travel_to_Facility)</f>
        <v>0.00884874746801978</v>
      </c>
      <c r="W42" s="80">
        <f>V42*(1-(Percent_Prevalence_at_End_of_Projection_Period-Percent_Prevalence_at_Beginning_of_Projection_Period))</f>
        <v>0.00678403972548183</v>
      </c>
      <c r="X42" s="48">
        <f>$F42*$W42*HH_Size</f>
        <v>64.1091754058033</v>
      </c>
      <c r="Y42" s="50">
        <f>$F42*$W42*(HH_Children*Fatality_Rate_Child+HH_Adults*Fatality_Rate_Adult+HH_Over_60*Fatality_Rate_Over_60)</f>
        <v>0.124888845874936</v>
      </c>
      <c r="Z42" s="96">
        <f>1-((1-Risk_of_Provider_Being_Infected*Transmission_Risk_Hospital_Stay*(1-$I42)))*(1-Risk_of_Community_Member_being_Infected*Transmission_Risk_in_Community)^($H42*Contacts_During_Travel_to_Facility)</f>
        <v>0.00551575676200677</v>
      </c>
      <c r="AA42" s="80">
        <f>Z42*(1-(Percent_Prevalence_at_End_of_Projection_Period-Percent_Prevalence_at_Beginning_of_Projection_Period))</f>
        <v>0.00422874685087186</v>
      </c>
      <c r="AB42" s="48">
        <f>$F42*$AA42*HH_Size*Infection_Rate_within_HH</f>
        <v>35.9654919666652</v>
      </c>
      <c r="AC42" s="50">
        <f>$F42*$AA42*Infection_Rate_within_HH*(HH_Children*Fatality_Rate_Child+HH_Adults*Fatality_Rate_Adult+HH_Over_60*Fatality_Rate_Over_60)</f>
        <v>0.0700631189624457</v>
      </c>
      <c r="AD42" s="94" t="s">
        <v>61</v>
      </c>
    </row>
    <row r="43" spans="1:30">
      <c r="A43" s="38" t="str">
        <f>IF(VLOOKUP(B43,'[1]1. Select Services'!$A$6:$E$77,5,FALSE)="x","x","")</f>
        <v>x</v>
      </c>
      <c r="B43" s="51">
        <v>29</v>
      </c>
      <c r="C43" s="51">
        <v>38</v>
      </c>
      <c r="D43" s="54"/>
      <c r="E43" s="53" t="s">
        <v>69</v>
      </c>
      <c r="F43" s="48">
        <f>IF(Chosen_Scenario="Mitigation Impact Only",VLOOKUP($B43,'[1]Coverage Review Updated'!$B$5:$T$78,18,FALSE),VLOOKUP($B43,'[1]Coverage Review Updated'!$B$5:$T$78,19,FALSE))</f>
        <v>50200</v>
      </c>
      <c r="G43" s="48">
        <f>VLOOKUP($B43,'[1]7. Number of HW Contacts'!$B$4:$I$84,6,FALSE)</f>
        <v>2</v>
      </c>
      <c r="H43" s="50">
        <f>G43*(1-HLOOKUP($B43,'[1]3. Mitigation Impact on Coverag'!$BY$5:$EQ$7,3,FALSE))</f>
        <v>2</v>
      </c>
      <c r="I43" s="88">
        <f>HLOOKUP(B43,'[1]3. Mitigation Impact on Coverag'!ES$5:HK$7,3,FALSE)</f>
        <v>0.77</v>
      </c>
      <c r="J43" s="80">
        <f>1-((1-Risk_of_Provider_Being_Infected*_xlfn.SINGLE(Transmission_Risk_Hospital_Stay))^(G43)*(1-Risk_of_Community_Member_being_Infected*Transmission_Risk_in_Community)^(G43*Contacts_During_Travel_to_Facility))</f>
        <v>0.00485616852289095</v>
      </c>
      <c r="K43" s="80">
        <f>J43*(1-(Percent_Prevalence_at_End_of_Projection_Period-Percent_Prevalence_at_Beginning_of_Projection_Period))</f>
        <v>0.00372306253421639</v>
      </c>
      <c r="L43" s="48">
        <f>$F43*$K43*HH_Size</f>
        <v>1177.45575707128</v>
      </c>
      <c r="M43" s="50">
        <f>$F43*$J43*(HH_Children*Fatality_Rate_Child+HH_Adults*Fatality_Rate_Adult+HH_Over_60*Fatality_Rate_Over_60)</f>
        <v>2.99186144719295</v>
      </c>
      <c r="N43" s="81">
        <f>1-((1-Risk_of_Provider_Being_Infected*_xlfn.SINGLE(Transmission_Risk_Hospital_Stay)*(1-Reduction_in_Risk_PPE))^(G43)*(1-Risk_of_Community_Member_being_Infected*Transmission_Risk_in_Community)^($G43*Contacts_During_Travel_to_Facility))</f>
        <v>0.00463404599153627</v>
      </c>
      <c r="O43" s="80">
        <f>N43*(1-(Percent_Prevalence_at_End_of_Projection_Period-Percent_Prevalence_at_Beginning_of_Projection_Period))</f>
        <v>0.00355276859351114</v>
      </c>
      <c r="P43" s="48">
        <f>$F43*$O43*HH_Size</f>
        <v>1123.59859538383</v>
      </c>
      <c r="Q43" s="50">
        <f>$F43*$O43*(HH_Children*Fatality_Rate_Child+HH_Adults*Fatality_Rate_Adult+HH_Over_60*Fatality_Rate_Over_60)</f>
        <v>2.1888431868909</v>
      </c>
      <c r="R43" s="81">
        <f>1-((1-Risk_of_Provider_Being_Infected*_xlfn.SINGLE(Transmission_Risk_Hospital_Stay)*(1-Reduction_in_Risk_PPE))^(G43*(1-Reduction_in_Risk_TS)))*(1-Risk_of_Community_Member_being_Infected*Transmission_Risk_in_Community)^($G43*Contacts_During_Travel_to_Facility)</f>
        <v>0.00443420482020362</v>
      </c>
      <c r="S43" s="80">
        <f>R43*(1-(Percent_Prevalence_at_End_of_Projection_Period-Percent_Prevalence_at_Beginning_of_Projection_Period))</f>
        <v>0.00339955702882278</v>
      </c>
      <c r="T43" s="48">
        <f>$F43*$S43*HH_Size</f>
        <v>1075.14390593549</v>
      </c>
      <c r="U43" s="50">
        <f>$F43*$S43*(HH_Children*Fatality_Rate_Child+HH_Adults*Fatality_Rate_Adult+HH_Over_60*Fatality_Rate_Over_60)</f>
        <v>2.09445029844511</v>
      </c>
      <c r="V43" s="81">
        <f>1-((1-Risk_of_Provider_Being_Infected*_xlfn.SINGLE(Transmission_Risk_Hospital_Stay)*(1-Reduction_in_Risk_PPE))^(H43*(1-Reduction_in_Risk_TS)))*(1-Risk_of_Community_Member_being_Infected*Transmission_Risk_in_Community)^($H43*Contacts_During_Travel_to_Facility)</f>
        <v>0.00443420482020362</v>
      </c>
      <c r="W43" s="80">
        <f>V43*(1-(Percent_Prevalence_at_End_of_Projection_Period-Percent_Prevalence_at_Beginning_of_Projection_Period))</f>
        <v>0.00339955702882278</v>
      </c>
      <c r="X43" s="48">
        <f>$F43*$W43*HH_Size</f>
        <v>1075.14390593549</v>
      </c>
      <c r="Y43" s="50">
        <f>$F43*$W43*(HH_Children*Fatality_Rate_Child+HH_Adults*Fatality_Rate_Adult+HH_Over_60*Fatality_Rate_Over_60)</f>
        <v>2.09445029844511</v>
      </c>
      <c r="Z43" s="96">
        <f>1-((1-Risk_of_Provider_Being_Infected*Transmission_Risk_Hospital_Stay*(1-$I43)))*(1-Risk_of_Community_Member_being_Infected*Transmission_Risk_in_Community)^($H43*Contacts_During_Travel_to_Facility)</f>
        <v>0.00288953950931525</v>
      </c>
      <c r="AA43" s="80">
        <f>Z43*(1-(Percent_Prevalence_at_End_of_Projection_Period-Percent_Prevalence_at_Beginning_of_Projection_Period))</f>
        <v>0.00221531362380836</v>
      </c>
      <c r="AB43" s="48">
        <f>$F43*$AA43*HH_Size*Infection_Rate_within_HH</f>
        <v>630.553577999069</v>
      </c>
      <c r="AC43" s="50">
        <f>$F43*$AA43*Infection_Rate_within_HH*(HH_Children*Fatality_Rate_Child+HH_Adults*Fatality_Rate_Adult+HH_Over_60*Fatality_Rate_Over_60)</f>
        <v>1.22835940596869</v>
      </c>
      <c r="AD43" s="94" t="s">
        <v>61</v>
      </c>
    </row>
    <row r="44" spans="1:30">
      <c r="A44" s="38" t="str">
        <f>IF(VLOOKUP(B44,'[1]1. Select Services'!$A$6:$E$77,5,FALSE)="x","x","")</f>
        <v>x</v>
      </c>
      <c r="B44" s="51">
        <v>30</v>
      </c>
      <c r="C44" s="51">
        <v>39</v>
      </c>
      <c r="D44" s="54"/>
      <c r="E44" s="53" t="s">
        <v>70</v>
      </c>
      <c r="F44" s="48">
        <f>IF(Chosen_Scenario="Mitigation Impact Only",VLOOKUP($B44,'[1]Coverage Review Updated'!$B$5:$T$78,18,FALSE),VLOOKUP($B44,'[1]Coverage Review Updated'!$B$5:$T$78,19,FALSE))</f>
        <v>200</v>
      </c>
      <c r="G44" s="48">
        <f>VLOOKUP($B44,'[1]7. Number of HW Contacts'!$B$4:$I$84,6,FALSE)</f>
        <v>4</v>
      </c>
      <c r="H44" s="50">
        <f>G44*(1-HLOOKUP($B44,'[1]3. Mitigation Impact on Coverag'!$BY$5:$EQ$7,3,FALSE))</f>
        <v>4</v>
      </c>
      <c r="I44" s="88">
        <f>HLOOKUP(B44,'[1]3. Mitigation Impact on Coverag'!ES$5:HK$7,3,FALSE)</f>
        <v>0.77</v>
      </c>
      <c r="J44" s="80">
        <f>1-((1-Risk_of_Provider_Being_Infected*_xlfn.SINGLE(Transmission_Risk_Hospital_Stay))^(G44)*(1-Risk_of_Community_Member_being_Infected*Transmission_Risk_in_Community)^(G44*Contacts_During_Travel_to_Facility))</f>
        <v>0.0096887546730593</v>
      </c>
      <c r="K44" s="80">
        <f>J44*(1-(Percent_Prevalence_at_End_of_Projection_Period-Percent_Prevalence_at_Beginning_of_Projection_Period))</f>
        <v>0.00742804524934546</v>
      </c>
      <c r="L44" s="48">
        <f>$F44*$K44*HH_Size</f>
        <v>9.35933701417528</v>
      </c>
      <c r="M44" s="50">
        <f>$F44*$J44*(HH_Children*Fatality_Rate_Child+HH_Adults*Fatality_Rate_Adult+HH_Over_60*Fatality_Rate_Over_60)</f>
        <v>0.0237816490478138</v>
      </c>
      <c r="N44" s="81">
        <f>1-((1-Risk_of_Provider_Being_Infected*_xlfn.SINGLE(Transmission_Risk_Hospital_Stay)*(1-Reduction_in_Risk_PPE))^(G44)*(1-Risk_of_Community_Member_being_Infected*Transmission_Risk_in_Community)^($G44*Contacts_During_Travel_to_Facility))</f>
        <v>0.00924661760082079</v>
      </c>
      <c r="O44" s="80">
        <f>N44*(1-(Percent_Prevalence_at_End_of_Projection_Period-Percent_Prevalence_at_Beginning_of_Projection_Period))</f>
        <v>0.00708907349396261</v>
      </c>
      <c r="P44" s="48">
        <f>$F44*$O44*HH_Size</f>
        <v>8.93223260239288</v>
      </c>
      <c r="Q44" s="50">
        <f>$F44*$O44*(HH_Children*Fatality_Rate_Child+HH_Adults*Fatality_Rate_Adult+HH_Over_60*Fatality_Rate_Over_60)</f>
        <v>0.0174005704134878</v>
      </c>
      <c r="R44" s="81">
        <f>1-((1-Risk_of_Provider_Being_Infected*_xlfn.SINGLE(Transmission_Risk_Hospital_Stay)*(1-Reduction_in_Risk_PPE))^(G44*(1-Reduction_in_Risk_TS)))*(1-Risk_of_Community_Member_being_Infected*Transmission_Risk_in_Community)^($G44*Contacts_During_Travel_to_Facility)</f>
        <v>0.00884874746801978</v>
      </c>
      <c r="S44" s="80">
        <f>R44*(1-(Percent_Prevalence_at_End_of_Projection_Period-Percent_Prevalence_at_Beginning_of_Projection_Period))</f>
        <v>0.00678403972548183</v>
      </c>
      <c r="T44" s="48">
        <f>$F44*$S44*HH_Size</f>
        <v>8.54789005410711</v>
      </c>
      <c r="U44" s="50">
        <f>$F44*$S44*(HH_Children*Fatality_Rate_Child+HH_Adults*Fatality_Rate_Adult+HH_Over_60*Fatality_Rate_Over_60)</f>
        <v>0.0166518461166581</v>
      </c>
      <c r="V44" s="81">
        <f>1-((1-Risk_of_Provider_Being_Infected*_xlfn.SINGLE(Transmission_Risk_Hospital_Stay)*(1-Reduction_in_Risk_PPE))^(H44*(1-Reduction_in_Risk_TS)))*(1-Risk_of_Community_Member_being_Infected*Transmission_Risk_in_Community)^($H44*Contacts_During_Travel_to_Facility)</f>
        <v>0.00884874746801978</v>
      </c>
      <c r="W44" s="80">
        <f>V44*(1-(Percent_Prevalence_at_End_of_Projection_Period-Percent_Prevalence_at_Beginning_of_Projection_Period))</f>
        <v>0.00678403972548183</v>
      </c>
      <c r="X44" s="48">
        <f>$F44*$W44*HH_Size</f>
        <v>8.54789005410711</v>
      </c>
      <c r="Y44" s="50">
        <f>$F44*$W44*(HH_Children*Fatality_Rate_Child+HH_Adults*Fatality_Rate_Adult+HH_Over_60*Fatality_Rate_Over_60)</f>
        <v>0.0166518461166581</v>
      </c>
      <c r="Z44" s="96">
        <f>1-((1-Risk_of_Provider_Being_Infected*Transmission_Risk_Hospital_Stay*(1-$I44)))*(1-Risk_of_Community_Member_being_Infected*Transmission_Risk_in_Community)^($H44*Contacts_During_Travel_to_Facility)</f>
        <v>0.00551575676200677</v>
      </c>
      <c r="AA44" s="80">
        <f>Z44*(1-(Percent_Prevalence_at_End_of_Projection_Period-Percent_Prevalence_at_Beginning_of_Projection_Period))</f>
        <v>0.00422874685087186</v>
      </c>
      <c r="AB44" s="48">
        <f>$F44*$AA44*HH_Size*Infection_Rate_within_HH</f>
        <v>4.79539892888869</v>
      </c>
      <c r="AC44" s="50">
        <f>$F44*$AA44*Infection_Rate_within_HH*(HH_Children*Fatality_Rate_Child+HH_Adults*Fatality_Rate_Adult+HH_Over_60*Fatality_Rate_Over_60)</f>
        <v>0.00934174919499276</v>
      </c>
      <c r="AD44" s="94" t="s">
        <v>61</v>
      </c>
    </row>
    <row r="45" spans="1:30">
      <c r="A45" s="38" t="str">
        <f>IF(VLOOKUP(B45,'[1]1. Select Services'!$A$6:$E$77,5,FALSE)="x","x","")</f>
        <v>x</v>
      </c>
      <c r="B45" s="51">
        <v>31</v>
      </c>
      <c r="C45" s="51">
        <v>40</v>
      </c>
      <c r="D45" s="54"/>
      <c r="E45" s="53" t="s">
        <v>71</v>
      </c>
      <c r="F45" s="48">
        <f>IF(Chosen_Scenario="Mitigation Impact Only",VLOOKUP($B45,'[1]Coverage Review Updated'!$B$5:$T$78,18,FALSE),VLOOKUP($B45,'[1]Coverage Review Updated'!$B$5:$T$78,19,FALSE))</f>
        <v>100</v>
      </c>
      <c r="G45" s="48">
        <f>VLOOKUP($B45,'[1]7. Number of HW Contacts'!$B$4:$I$84,6,FALSE)</f>
        <v>1</v>
      </c>
      <c r="H45" s="50">
        <f>G45*(1-HLOOKUP($B45,'[1]3. Mitigation Impact on Coverag'!$BY$5:$EQ$7,3,FALSE))</f>
        <v>1</v>
      </c>
      <c r="I45" s="88">
        <f>HLOOKUP(B45,'[1]3. Mitigation Impact on Coverag'!ES$5:HK$7,3,FALSE)</f>
        <v>0.77</v>
      </c>
      <c r="J45" s="80">
        <f>1-((1-Risk_of_Provider_Being_Infected*_xlfn.SINGLE(Transmission_Risk_Hospital_Stay))^(G45)*(1-Risk_of_Community_Member_being_Infected*Transmission_Risk_in_Community)^(G45*Contacts_During_Travel_to_Facility))</f>
        <v>0.00243103923733212</v>
      </c>
      <c r="K45" s="80">
        <f>J45*(1-(Percent_Prevalence_at_End_of_Projection_Period-Percent_Prevalence_at_Beginning_of_Projection_Period))</f>
        <v>0.00186379674862129</v>
      </c>
      <c r="L45" s="48">
        <f>$F45*$K45*HH_Size</f>
        <v>1.17419195163141</v>
      </c>
      <c r="M45" s="50">
        <f>$F45*$J45*(HH_Children*Fatality_Rate_Child+HH_Adults*Fatality_Rate_Adult+HH_Over_60*Fatality_Rate_Over_60)</f>
        <v>0.0029835682662322</v>
      </c>
      <c r="N45" s="81">
        <f>1-((1-Risk_of_Provider_Being_Infected*_xlfn.SINGLE(Transmission_Risk_Hospital_Stay)*(1-Reduction_in_Risk_PPE))^(G45)*(1-Risk_of_Community_Member_being_Infected*Transmission_Risk_in_Community)^($G45*Contacts_During_Travel_to_Facility))</f>
        <v>0.00231971353120153</v>
      </c>
      <c r="O45" s="80">
        <f>N45*(1-(Percent_Prevalence_at_End_of_Projection_Period-Percent_Prevalence_at_Beginning_of_Projection_Period))</f>
        <v>0.00177844704058784</v>
      </c>
      <c r="P45" s="48">
        <f>$F45*$O45*HH_Size</f>
        <v>1.12042163557034</v>
      </c>
      <c r="Q45" s="50">
        <f>$F45*$O45*(HH_Children*Fatality_Rate_Child+HH_Adults*Fatality_Rate_Adult+HH_Over_60*Fatality_Rate_Over_60)</f>
        <v>0.00218265426241968</v>
      </c>
      <c r="R45" s="81">
        <f>1-((1-Risk_of_Provider_Being_Infected*_xlfn.SINGLE(Transmission_Risk_Hospital_Stay)*(1-Reduction_in_Risk_PPE))^(G45*(1-Reduction_in_Risk_TS)))*(1-Risk_of_Community_Member_being_Infected*Transmission_Risk_in_Community)^($G45*Contacts_During_Travel_to_Facility)</f>
        <v>0.00221956564593007</v>
      </c>
      <c r="S45" s="80">
        <f>R45*(1-(Percent_Prevalence_at_End_of_Projection_Period-Percent_Prevalence_at_Beginning_of_Projection_Period))</f>
        <v>0.00170166699521305</v>
      </c>
      <c r="T45" s="48">
        <f>$F45*$S45*HH_Size</f>
        <v>1.07205020698422</v>
      </c>
      <c r="U45" s="50">
        <f>$F45*$S45*(HH_Children*Fatality_Rate_Child+HH_Adults*Fatality_Rate_Adult+HH_Over_60*Fatality_Rate_Over_60)</f>
        <v>0.00208842357155207</v>
      </c>
      <c r="V45" s="81">
        <f>1-((1-Risk_of_Provider_Being_Infected*_xlfn.SINGLE(Transmission_Risk_Hospital_Stay)*(1-Reduction_in_Risk_PPE))^(H45*(1-Reduction_in_Risk_TS)))*(1-Risk_of_Community_Member_being_Infected*Transmission_Risk_in_Community)^($H45*Contacts_During_Travel_to_Facility)</f>
        <v>0.00221956564593007</v>
      </c>
      <c r="W45" s="80">
        <f>V45*(1-(Percent_Prevalence_at_End_of_Projection_Period-Percent_Prevalence_at_Beginning_of_Projection_Period))</f>
        <v>0.00170166699521305</v>
      </c>
      <c r="X45" s="48">
        <f>$F45*$W45*HH_Size</f>
        <v>1.07205020698422</v>
      </c>
      <c r="Y45" s="50">
        <f>$F45*$W45*(HH_Children*Fatality_Rate_Child+HH_Adults*Fatality_Rate_Adult+HH_Over_60*Fatality_Rate_Over_60)</f>
        <v>0.00208842357155207</v>
      </c>
      <c r="Z45" s="96">
        <f>1-((1-Risk_of_Provider_Being_Infected*Transmission_Risk_Hospital_Stay*(1-$I45)))*(1-Risk_of_Community_Member_being_Infected*Transmission_Risk_in_Community)^($H45*Contacts_During_Travel_to_Facility)</f>
        <v>0.00157383130012567</v>
      </c>
      <c r="AA45" s="80">
        <f>Z45*(1-(Percent_Prevalence_at_End_of_Projection_Period-Percent_Prevalence_at_Beginning_of_Projection_Period))</f>
        <v>0.00120660399676302</v>
      </c>
      <c r="AB45" s="48">
        <f>$F45*$AA45*HH_Size*Infection_Rate_within_HH</f>
        <v>0.68414446616463</v>
      </c>
      <c r="AC45" s="50">
        <f>$F45*$AA45*Infection_Rate_within_HH*(HH_Children*Fatality_Rate_Child+HH_Adults*Fatality_Rate_Adult+HH_Over_60*Fatality_Rate_Over_60)</f>
        <v>0.00133275794377618</v>
      </c>
      <c r="AD45" s="94" t="s">
        <v>61</v>
      </c>
    </row>
    <row r="46" spans="1:30">
      <c r="A46" s="38" t="str">
        <f>IF(VLOOKUP(B46,'[1]1. Select Services'!$A$6:$E$77,5,FALSE)="x","x","")</f>
        <v>x</v>
      </c>
      <c r="B46" s="51">
        <v>32</v>
      </c>
      <c r="C46" s="51">
        <v>41</v>
      </c>
      <c r="D46" s="54"/>
      <c r="E46" s="53" t="s">
        <v>72</v>
      </c>
      <c r="F46" s="48">
        <f>IF(Chosen_Scenario="Mitigation Impact Only",VLOOKUP($B46,'[1]Coverage Review Updated'!$B$5:$T$78,18,FALSE),VLOOKUP($B46,'[1]Coverage Review Updated'!$B$5:$T$78,19,FALSE))</f>
        <v>0</v>
      </c>
      <c r="G46" s="48">
        <f>VLOOKUP($B46,'[1]7. Number of HW Contacts'!$B$4:$I$84,6,FALSE)</f>
        <v>4</v>
      </c>
      <c r="H46" s="50">
        <f>G46*(1-HLOOKUP($B46,'[1]3. Mitigation Impact on Coverag'!$BY$5:$EQ$7,3,FALSE))</f>
        <v>4</v>
      </c>
      <c r="I46" s="88">
        <f>HLOOKUP(B46,'[1]3. Mitigation Impact on Coverag'!ES$5:HK$7,3,FALSE)</f>
        <v>0.77</v>
      </c>
      <c r="J46" s="80">
        <f>1-((1-Risk_of_Provider_Being_Infected*_xlfn.SINGLE(Transmission_Risk_Hospital_Stay))^(G46)*(1-Risk_of_Community_Member_being_Infected*Transmission_Risk_in_Community)^(G46*Contacts_During_Travel_to_Facility))</f>
        <v>0.0096887546730593</v>
      </c>
      <c r="K46" s="80">
        <f>J46*(1-(Percent_Prevalence_at_End_of_Projection_Period-Percent_Prevalence_at_Beginning_of_Projection_Period))</f>
        <v>0.00742804524934546</v>
      </c>
      <c r="L46" s="48">
        <f>$F46*$K46*HH_Size</f>
        <v>0</v>
      </c>
      <c r="M46" s="50">
        <f>$F46*$J46*(HH_Children*Fatality_Rate_Child+HH_Adults*Fatality_Rate_Adult+HH_Over_60*Fatality_Rate_Over_60)</f>
        <v>0</v>
      </c>
      <c r="N46" s="81">
        <f>1-((1-Risk_of_Provider_Being_Infected*_xlfn.SINGLE(Transmission_Risk_Hospital_Stay)*(1-Reduction_in_Risk_PPE))^(G46)*(1-Risk_of_Community_Member_being_Infected*Transmission_Risk_in_Community)^($G46*Contacts_During_Travel_to_Facility))</f>
        <v>0.00924661760082079</v>
      </c>
      <c r="O46" s="80">
        <f>N46*(1-(Percent_Prevalence_at_End_of_Projection_Period-Percent_Prevalence_at_Beginning_of_Projection_Period))</f>
        <v>0.00708907349396261</v>
      </c>
      <c r="P46" s="48">
        <f>$F46*$O46*HH_Size</f>
        <v>0</v>
      </c>
      <c r="Q46" s="50">
        <f>$F46*$O46*(HH_Children*Fatality_Rate_Child+HH_Adults*Fatality_Rate_Adult+HH_Over_60*Fatality_Rate_Over_60)</f>
        <v>0</v>
      </c>
      <c r="R46" s="81">
        <f>1-((1-Risk_of_Provider_Being_Infected*_xlfn.SINGLE(Transmission_Risk_Hospital_Stay)*(1-Reduction_in_Risk_PPE))^(G46*(1-Reduction_in_Risk_TS)))*(1-Risk_of_Community_Member_being_Infected*Transmission_Risk_in_Community)^($G46*Contacts_During_Travel_to_Facility)</f>
        <v>0.00884874746801978</v>
      </c>
      <c r="S46" s="80">
        <f>R46*(1-(Percent_Prevalence_at_End_of_Projection_Period-Percent_Prevalence_at_Beginning_of_Projection_Period))</f>
        <v>0.00678403972548183</v>
      </c>
      <c r="T46" s="48">
        <f>$F46*$S46*HH_Size</f>
        <v>0</v>
      </c>
      <c r="U46" s="50">
        <f>$F46*$S46*(HH_Children*Fatality_Rate_Child+HH_Adults*Fatality_Rate_Adult+HH_Over_60*Fatality_Rate_Over_60)</f>
        <v>0</v>
      </c>
      <c r="V46" s="81">
        <f>1-((1-Risk_of_Provider_Being_Infected*_xlfn.SINGLE(Transmission_Risk_Hospital_Stay)*(1-Reduction_in_Risk_PPE))^(H46*(1-Reduction_in_Risk_TS)))*(1-Risk_of_Community_Member_being_Infected*Transmission_Risk_in_Community)^($H46*Contacts_During_Travel_to_Facility)</f>
        <v>0.00884874746801978</v>
      </c>
      <c r="W46" s="80">
        <f>V46*(1-(Percent_Prevalence_at_End_of_Projection_Period-Percent_Prevalence_at_Beginning_of_Projection_Period))</f>
        <v>0.00678403972548183</v>
      </c>
      <c r="X46" s="48">
        <f>$F46*$W46*HH_Size</f>
        <v>0</v>
      </c>
      <c r="Y46" s="50">
        <f>$F46*$W46*(HH_Children*Fatality_Rate_Child+HH_Adults*Fatality_Rate_Adult+HH_Over_60*Fatality_Rate_Over_60)</f>
        <v>0</v>
      </c>
      <c r="Z46" s="96">
        <f>1-((1-Risk_of_Provider_Being_Infected*Transmission_Risk_Hospital_Stay*(1-$I46)))*(1-Risk_of_Community_Member_being_Infected*Transmission_Risk_in_Community)^($H46*Contacts_During_Travel_to_Facility)</f>
        <v>0.00551575676200677</v>
      </c>
      <c r="AA46" s="80">
        <f>Z46*(1-(Percent_Prevalence_at_End_of_Projection_Period-Percent_Prevalence_at_Beginning_of_Projection_Period))</f>
        <v>0.00422874685087186</v>
      </c>
      <c r="AB46" s="48">
        <f>$F46*$AA46*HH_Size*Infection_Rate_within_HH</f>
        <v>0</v>
      </c>
      <c r="AC46" s="50">
        <f>$F46*$AA46*Infection_Rate_within_HH*(HH_Children*Fatality_Rate_Child+HH_Adults*Fatality_Rate_Adult+HH_Over_60*Fatality_Rate_Over_60)</f>
        <v>0</v>
      </c>
      <c r="AD46" s="94" t="s">
        <v>61</v>
      </c>
    </row>
    <row r="47" spans="1:30">
      <c r="A47" s="38" t="str">
        <f>IF(VLOOKUP(B47,'[1]1. Select Services'!$A$6:$E$77,5,FALSE)="x","x","")</f>
        <v>x</v>
      </c>
      <c r="B47" s="51">
        <v>33</v>
      </c>
      <c r="C47" s="55">
        <v>65</v>
      </c>
      <c r="D47" s="54"/>
      <c r="E47" s="56" t="s">
        <v>73</v>
      </c>
      <c r="F47" s="48">
        <f>IF(Chosen_Scenario="Mitigation Impact Only",VLOOKUP($B47,'[1]Coverage Review Updated'!$B$5:$T$78,18,FALSE),VLOOKUP($B47,'[1]Coverage Review Updated'!$B$5:$T$78,19,FALSE))</f>
        <v>0</v>
      </c>
      <c r="G47" s="48">
        <f>VLOOKUP($B47,'[1]7. Number of HW Contacts'!$B$4:$I$84,6,FALSE)</f>
        <v>10</v>
      </c>
      <c r="H47" s="50">
        <f>G47*(1-HLOOKUP($B47,'[1]3. Mitigation Impact on Coverag'!$BY$5:$EQ$7,3,FALSE))</f>
        <v>10</v>
      </c>
      <c r="I47" s="88">
        <f>HLOOKUP(B47,'[1]3. Mitigation Impact on Coverag'!ES$5:HK$7,3,FALSE)</f>
        <v>0.77</v>
      </c>
      <c r="J47" s="80">
        <f>1-((1-Risk_of_Provider_Being_Infected*_xlfn.SINGLE(Transmission_Risk_Hospital_Stay))^(G47)*(1-Risk_of_Community_Member_being_Infected*Transmission_Risk_in_Community)^(G47*Contacts_During_Travel_to_Facility))</f>
        <v>0.0240461613090481</v>
      </c>
      <c r="K47" s="80">
        <f>J47*(1-(Percent_Prevalence_at_End_of_Projection_Period-Percent_Prevalence_at_Beginning_of_Projection_Period))</f>
        <v>0.0184353903369369</v>
      </c>
      <c r="L47" s="48">
        <f>$F47*$K47*HH_Size</f>
        <v>0</v>
      </c>
      <c r="M47" s="50">
        <f>$F47*$J47*(HH_Children*Fatality_Rate_Child+HH_Adults*Fatality_Rate_Adult+HH_Over_60*Fatality_Rate_Over_60)</f>
        <v>0</v>
      </c>
      <c r="N47" s="81">
        <f>1-((1-Risk_of_Provider_Being_Infected*_xlfn.SINGLE(Transmission_Risk_Hospital_Stay)*(1-Reduction_in_Risk_PPE))^(G47)*(1-Risk_of_Community_Member_being_Infected*Transmission_Risk_in_Community)^($G47*Contacts_During_Travel_to_Facility))</f>
        <v>0.0229564789643059</v>
      </c>
      <c r="O47" s="80">
        <f>N47*(1-(Percent_Prevalence_at_End_of_Projection_Period-Percent_Prevalence_at_Beginning_of_Projection_Period))</f>
        <v>0.0175999672059678</v>
      </c>
      <c r="P47" s="48">
        <f>$F47*$O47*HH_Size</f>
        <v>0</v>
      </c>
      <c r="Q47" s="50">
        <f>$F47*$O47*(HH_Children*Fatality_Rate_Child+HH_Adults*Fatality_Rate_Adult+HH_Over_60*Fatality_Rate_Over_60)</f>
        <v>0</v>
      </c>
      <c r="R47" s="81">
        <f>1-((1-Risk_of_Provider_Being_Infected*_xlfn.SINGLE(Transmission_Risk_Hospital_Stay)*(1-Reduction_in_Risk_PPE))^(G47*(1-Reduction_in_Risk_TS)))*(1-Risk_of_Community_Member_being_Infected*Transmission_Risk_in_Community)^($G47*Contacts_During_Travel_to_Facility)</f>
        <v>0.021975272306848</v>
      </c>
      <c r="S47" s="80">
        <f>R47*(1-(Percent_Prevalence_at_End_of_Projection_Period-Percent_Prevalence_at_Beginning_of_Projection_Period))</f>
        <v>0.0168477087685835</v>
      </c>
      <c r="T47" s="48">
        <f>$F47*$S47*HH_Size</f>
        <v>0</v>
      </c>
      <c r="U47" s="50">
        <f>$F47*$S47*(HH_Children*Fatality_Rate_Child+HH_Adults*Fatality_Rate_Adult+HH_Over_60*Fatality_Rate_Over_60)</f>
        <v>0</v>
      </c>
      <c r="V47" s="81">
        <f>1-((1-Risk_of_Provider_Being_Infected*_xlfn.SINGLE(Transmission_Risk_Hospital_Stay)*(1-Reduction_in_Risk_PPE))^(H47*(1-Reduction_in_Risk_TS)))*(1-Risk_of_Community_Member_being_Infected*Transmission_Risk_in_Community)^($H47*Contacts_During_Travel_to_Facility)</f>
        <v>0.021975272306848</v>
      </c>
      <c r="W47" s="80">
        <f>V47*(1-(Percent_Prevalence_at_End_of_Projection_Period-Percent_Prevalence_at_Beginning_of_Projection_Period))</f>
        <v>0.0168477087685835</v>
      </c>
      <c r="X47" s="48">
        <f>$F47*$W47*HH_Size</f>
        <v>0</v>
      </c>
      <c r="Y47" s="50">
        <f>$F47*$W47*(HH_Children*Fatality_Rate_Child+HH_Adults*Fatality_Rate_Adult+HH_Over_60*Fatality_Rate_Over_60)</f>
        <v>0</v>
      </c>
      <c r="Z47" s="96">
        <f>1-((1-Risk_of_Provider_Being_Infected*Transmission_Risk_Hospital_Stay*(1-$I47)))*(1-Risk_of_Community_Member_being_Infected*Transmission_Risk_in_Community)^($H47*Contacts_During_Travel_to_Facility)</f>
        <v>0.013352979320799</v>
      </c>
      <c r="AA47" s="80">
        <f>Z47*(1-(Percent_Prevalence_at_End_of_Projection_Period-Percent_Prevalence_at_Beginning_of_Projection_Period))</f>
        <v>0.0102372841459459</v>
      </c>
      <c r="AB47" s="48">
        <f>$F47*$AA47*HH_Size*Infection_Rate_within_HH</f>
        <v>0</v>
      </c>
      <c r="AC47" s="50">
        <f>$F47*$AA47*Infection_Rate_within_HH*(HH_Children*Fatality_Rate_Child+HH_Adults*Fatality_Rate_Adult+HH_Over_60*Fatality_Rate_Over_60)</f>
        <v>0</v>
      </c>
      <c r="AD47" s="94" t="s">
        <v>61</v>
      </c>
    </row>
    <row r="48" spans="1:30">
      <c r="A48" s="38" t="str">
        <f>IF(VLOOKUP(B48,'[1]1. Select Services'!$A$6:$E$77,5,FALSE)="x","x","")</f>
        <v>x</v>
      </c>
      <c r="B48" s="55">
        <v>34</v>
      </c>
      <c r="C48" s="55">
        <v>10</v>
      </c>
      <c r="D48" s="54"/>
      <c r="E48" s="53" t="s">
        <v>74</v>
      </c>
      <c r="F48" s="22">
        <f>IF(Chosen_Scenario="Mitigation Impact Only",VLOOKUP($B48,'[1]Coverage Review Updated'!$B$5:$T$78,18,FALSE),VLOOKUP($B48,'[1]Coverage Review Updated'!$B$5:$T$78,19,FALSE))</f>
        <v>0</v>
      </c>
      <c r="G48" s="22">
        <f>VLOOKUP($B48,'[1]7. Number of HW Contacts'!$B$4:$I$84,6,FALSE)</f>
        <v>2</v>
      </c>
      <c r="H48" s="23">
        <f>G48*(1-HLOOKUP($B48,'[1]3. Mitigation Impact on Coverag'!$BY$5:$EQ$7,3,FALSE))</f>
        <v>2</v>
      </c>
      <c r="I48" s="76">
        <f>HLOOKUP(B48,'[1]3. Mitigation Impact on Coverag'!ES$5:HK$7,3,FALSE)</f>
        <v>0.77</v>
      </c>
      <c r="J48" s="77">
        <f>1-((1-Risk_of_Provider_Being_Infected*_xlfn.SINGLE(Transmission_Risk_Contact_Health_Care_Provider))^(G48)*(1-Risk_of_Community_Member_being_Infected*Transmission_Risk_in_Community)^(G48*Contacts_During_Travel_to_Facility))</f>
        <v>0.00337488345159576</v>
      </c>
      <c r="K48" s="77">
        <f>J48*(1-(Percent_Prevalence_at_End_of_Projection_Period-Percent_Prevalence_at_Beginning_of_Projection_Period))</f>
        <v>0.00258741064622341</v>
      </c>
      <c r="L48" s="22">
        <f>$F48*$K48*HH_Size</f>
        <v>0</v>
      </c>
      <c r="M48" s="23">
        <f>$F48*$J48*(HH_Children*Fatality_Rate_Child+HH_Adults*Fatality_Rate_Adult+HH_Over_60*Fatality_Rate_Over_60)</f>
        <v>0</v>
      </c>
      <c r="N48" s="79">
        <f>1-((1-Risk_of_Provider_Being_Infected*_xlfn.SINGLE(Transmission_Risk_Contact_Health_Care_Provider)*(1-Reduction_in_Risk_PPE))^($G48)*(1-Risk_of_Community_Member_being_Infected*Transmission_Risk_in_Community)^($G48*Contacts_During_Travel_to_Facility))</f>
        <v>0.00330079028006769</v>
      </c>
      <c r="O48" s="77">
        <f>N48*(1-(Percent_Prevalence_at_End_of_Projection_Period-Percent_Prevalence_at_Beginning_of_Projection_Period))</f>
        <v>0.00253060588138523</v>
      </c>
      <c r="P48" s="22">
        <f>$F48*$O48*HH_Size</f>
        <v>0</v>
      </c>
      <c r="Q48" s="23">
        <f>$F48*$O48*(HH_Children*Fatality_Rate_Child+HH_Adults*Fatality_Rate_Adult+HH_Over_60*Fatality_Rate_Over_60)</f>
        <v>0</v>
      </c>
      <c r="R48" s="79">
        <f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0.00323411410781771</v>
      </c>
      <c r="S48" s="77">
        <f>R48*(1-(Percent_Prevalence_at_End_of_Projection_Period-Percent_Prevalence_at_Beginning_of_Projection_Period))</f>
        <v>0.00247948748266024</v>
      </c>
      <c r="T48" s="22">
        <f>$F48*$S48*HH_Size</f>
        <v>0</v>
      </c>
      <c r="U48" s="23">
        <f>$F48*$S48*(HH_Children*Fatality_Rate_Child+HH_Adults*Fatality_Rate_Adult+HH_Over_60*Fatality_Rate_Over_60)</f>
        <v>0</v>
      </c>
      <c r="V48" s="79">
        <f>1-((1-Risk_of_Provider_Being_Infected*_xlfn.SINGLE(Transmission_Risk_Contact_Health_Care_Provider)*(1-$I48)))*(1-Risk_of_Community_Member_being_Infected*Transmission_Risk_in_Community)^($H48*Contacts_During_Travel_to_Facility)</f>
        <v>0.00271906503789621</v>
      </c>
      <c r="W48" s="77">
        <f>V48*(1-(Percent_Prevalence_at_End_of_Projection_Period-Percent_Prevalence_at_Beginning_of_Projection_Period))</f>
        <v>0.00208461652905376</v>
      </c>
      <c r="X48" s="22">
        <f>$F48*$W48*HH_Size</f>
        <v>0</v>
      </c>
      <c r="Y48" s="23">
        <f>$F48*$W48*(HH_Children*Fatality_Rate_Child+HH_Adults*Fatality_Rate_Adult+HH_Over_60*Fatality_Rate_Over_60)</f>
        <v>0</v>
      </c>
      <c r="Z48" s="79">
        <f>1-((1-Risk_of_Provider_Being_Infected*Transmission_Risk_Contact_Health_Care_Provider*(1-$I48))^($H48)*(1-Risk_of_Community_Member_being_Infected*Transmission_Risk_in_Community)^($H48*Contacts_During_Travel_to_Facility))</f>
        <v>0.00280429498903312</v>
      </c>
      <c r="AA48" s="77">
        <f>Z48*(1-(Percent_Prevalence_at_End_of_Projection_Period-Percent_Prevalence_at_Beginning_of_Projection_Period))</f>
        <v>0.00214995949159206</v>
      </c>
      <c r="AB48" s="22">
        <f>$F48*$AA48*HH_Size*Infection_Rate_within_HH</f>
        <v>0</v>
      </c>
      <c r="AC48" s="23">
        <f>$F48*$AA48*Infection_Rate_within_HH*(HH_Children*Fatality_Rate_Child+HH_Adults*Fatality_Rate_Adult+HH_Over_60*Fatality_Rate_Over_60)</f>
        <v>0</v>
      </c>
      <c r="AD48" s="97"/>
    </row>
    <row r="49" spans="1:30">
      <c r="A49" s="38" t="str">
        <f>IF(VLOOKUP(B49,'[1]1. Select Services'!$A$6:$E$77,5,FALSE)="x","x","")</f>
        <v>x</v>
      </c>
      <c r="B49" s="55">
        <v>35</v>
      </c>
      <c r="C49" s="55">
        <v>11</v>
      </c>
      <c r="D49" s="54"/>
      <c r="E49" s="53" t="s">
        <v>75</v>
      </c>
      <c r="F49" s="48">
        <f>IF(Chosen_Scenario="Mitigation Impact Only",VLOOKUP($B49,'[1]Coverage Review Updated'!$B$5:$T$78,18,FALSE),VLOOKUP($B49,'[1]Coverage Review Updated'!$B$5:$T$78,19,FALSE))</f>
        <v>0</v>
      </c>
      <c r="G49" s="48">
        <f>VLOOKUP($B49,'[1]7. Number of HW Contacts'!$B$4:$I$84,6,FALSE)</f>
        <v>6</v>
      </c>
      <c r="H49" s="50">
        <f>G49*(1-HLOOKUP($B49,'[1]3. Mitigation Impact on Coverag'!$BY$5:$EQ$7,3,FALSE))</f>
        <v>6</v>
      </c>
      <c r="I49" s="88">
        <f>HLOOKUP(B49,'[1]3. Mitigation Impact on Coverag'!ES$5:HK$7,3,FALSE)</f>
        <v>0.77</v>
      </c>
      <c r="J49" s="80">
        <f>1-((1-Risk_of_Provider_Being_Infected*_xlfn.SINGLE(Transmission_Risk_Hospital_Stay))^(G49)*(1-Risk_of_Community_Member_being_Infected*Transmission_Risk_in_Community)^(G49*Contacts_During_Travel_to_Facility))</f>
        <v>0.0144978729704809</v>
      </c>
      <c r="K49" s="80">
        <f>J49*(1-(Percent_Prevalence_at_End_of_Projection_Period-Percent_Prevalence_at_Beginning_of_Projection_Period))</f>
        <v>0.0111150359440353</v>
      </c>
      <c r="L49" s="48">
        <f>$F49*$K49*HH_Size</f>
        <v>0</v>
      </c>
      <c r="M49" s="50">
        <f>$F49*$J49*(HH_Children*Fatality_Rate_Child+HH_Adults*Fatality_Rate_Adult+HH_Over_60*Fatality_Rate_Over_60)</f>
        <v>0</v>
      </c>
      <c r="N49" s="81">
        <f>1-((1-Risk_of_Provider_Being_Infected*_xlfn.SINGLE(Transmission_Risk_Hospital_Stay)*(1-Reduction_in_Risk_PPE))^(G49)*(1-Risk_of_Community_Member_being_Infected*Transmission_Risk_in_Community)^($G49*Contacts_During_Travel_to_Facility))</f>
        <v>0.0138378143411286</v>
      </c>
      <c r="O49" s="80">
        <f>N49*(1-(Percent_Prevalence_at_End_of_Projection_Period-Percent_Prevalence_at_Beginning_of_Projection_Period))</f>
        <v>0.0106089909948653</v>
      </c>
      <c r="P49" s="48">
        <f>$F49*$O49*HH_Size</f>
        <v>0</v>
      </c>
      <c r="Q49" s="50">
        <f>$F49*$O49*(HH_Children*Fatality_Rate_Child+HH_Adults*Fatality_Rate_Adult+HH_Over_60*Fatality_Rate_Over_60)</f>
        <v>0</v>
      </c>
      <c r="R49" s="81">
        <f>1-((1-Risk_of_Provider_Being_Infected*_xlfn.SINGLE(Transmission_Risk_Hospital_Stay)*(1-Reduction_in_Risk_PPE))^(G49*(1-Reduction_in_Risk_TS)))*(1-Risk_of_Community_Member_being_Infected*Transmission_Risk_in_Community)^($G49*Contacts_During_Travel_to_Facility)</f>
        <v>0.0132437151295479</v>
      </c>
      <c r="S49" s="80">
        <f>R49*(1-(Percent_Prevalence_at_End_of_Projection_Period-Percent_Prevalence_at_Beginning_of_Projection_Period))</f>
        <v>0.0101535149326534</v>
      </c>
      <c r="T49" s="48">
        <f>$F49*$S49*HH_Size</f>
        <v>0</v>
      </c>
      <c r="U49" s="50">
        <f>$F49*$S49*(HH_Children*Fatality_Rate_Child+HH_Adults*Fatality_Rate_Adult+HH_Over_60*Fatality_Rate_Over_60)</f>
        <v>0</v>
      </c>
      <c r="V49" s="81">
        <f>1-((1-Risk_of_Provider_Being_Infected*_xlfn.SINGLE(Transmission_Risk_Hospital_Stay)*(1-Reduction_in_Risk_PPE))^(H49*(1-Reduction_in_Risk_TS)))*(1-Risk_of_Community_Member_being_Infected*Transmission_Risk_in_Community)^($H49*Contacts_During_Travel_to_Facility)</f>
        <v>0.0132437151295479</v>
      </c>
      <c r="W49" s="80">
        <f>V49*(1-(Percent_Prevalence_at_End_of_Projection_Period-Percent_Prevalence_at_Beginning_of_Projection_Period))</f>
        <v>0.0101535149326534</v>
      </c>
      <c r="X49" s="48">
        <f>$F49*$W49*HH_Size</f>
        <v>0</v>
      </c>
      <c r="Y49" s="50">
        <f>$F49*$W49*(HH_Children*Fatality_Rate_Child+HH_Adults*Fatality_Rate_Adult+HH_Over_60*Fatality_Rate_Over_60)</f>
        <v>0</v>
      </c>
      <c r="Z49" s="96">
        <f>1-((1-Risk_of_Provider_Being_Infected*Transmission_Risk_Hospital_Stay*(1-$I49)))*(1-Risk_of_Community_Member_being_Infected*Transmission_Risk_in_Community)^($H49*Contacts_During_Travel_to_Facility)</f>
        <v>0.0081350570106834</v>
      </c>
      <c r="AA49" s="80">
        <f>Z49*(1-(Percent_Prevalence_at_End_of_Projection_Period-Percent_Prevalence_at_Beginning_of_Projection_Period))</f>
        <v>0.00623687704152394</v>
      </c>
      <c r="AB49" s="48">
        <f>$F49*$AA49*HH_Size*Infection_Rate_within_HH</f>
        <v>0</v>
      </c>
      <c r="AC49" s="50">
        <f>$F49*$AA49*Infection_Rate_within_HH*(HH_Children*Fatality_Rate_Child+HH_Adults*Fatality_Rate_Adult+HH_Over_60*Fatality_Rate_Over_60)</f>
        <v>0</v>
      </c>
      <c r="AD49" s="94" t="s">
        <v>61</v>
      </c>
    </row>
    <row r="50" spans="1:30">
      <c r="A50" s="38" t="str">
        <f>IF(VLOOKUP(B50,'[1]1. Select Services'!$A$6:$E$77,5,FALSE)="x","x","")</f>
        <v>x</v>
      </c>
      <c r="B50" s="55">
        <v>36</v>
      </c>
      <c r="C50" s="55">
        <v>42</v>
      </c>
      <c r="D50" s="54"/>
      <c r="E50" s="53" t="s">
        <v>76</v>
      </c>
      <c r="F50" s="48">
        <f>IF(Chosen_Scenario="Mitigation Impact Only",VLOOKUP($B50,'[1]Coverage Review Updated'!$B$5:$T$78,18,FALSE),VLOOKUP($B50,'[1]Coverage Review Updated'!$B$5:$T$78,19,FALSE))</f>
        <v>2100</v>
      </c>
      <c r="G50" s="48">
        <f>VLOOKUP($B50,'[1]7. Number of HW Contacts'!$B$4:$I$84,6,FALSE)</f>
        <v>21</v>
      </c>
      <c r="H50" s="50">
        <f>G50*(1-HLOOKUP($B50,'[1]3. Mitigation Impact on Coverag'!$BY$5:$EQ$7,3,FALSE))</f>
        <v>21</v>
      </c>
      <c r="I50" s="88">
        <f>HLOOKUP(B50,'[1]3. Mitigation Impact on Coverag'!ES$5:HK$7,3,FALSE)</f>
        <v>0.77</v>
      </c>
      <c r="J50" s="80">
        <f>1-((1-Risk_of_Provider_Being_Infected*_xlfn.SINGLE(Transmission_Risk_Hospital_Stay))^(G50)*(1-Risk_of_Community_Member_being_Infected*Transmission_Risk_in_Community)^(G50*Contacts_During_Travel_to_Facility))</f>
        <v>0.0498296353287672</v>
      </c>
      <c r="K50" s="80">
        <f>J50*(1-(Percent_Prevalence_at_End_of_Projection_Period-Percent_Prevalence_at_Beginning_of_Projection_Period))</f>
        <v>0.0382027204187215</v>
      </c>
      <c r="L50" s="48">
        <f>$F50*$K50*HH_Size</f>
        <v>505.421991139685</v>
      </c>
      <c r="M50" s="50">
        <f>$F50*$J50*(HH_Children*Fatality_Rate_Child+HH_Adults*Fatality_Rate_Adult+HH_Over_60*Fatality_Rate_Over_60)</f>
        <v>1.28425425819442</v>
      </c>
      <c r="N50" s="81">
        <f>1-((1-Risk_of_Provider_Being_Infected*_xlfn.SINGLE(Transmission_Risk_Hospital_Stay)*(1-Reduction_in_Risk_PPE))^(G50)*(1-Risk_of_Community_Member_being_Infected*Transmission_Risk_in_Community)^($G50*Contacts_During_Travel_to_Facility))</f>
        <v>0.0476003891124704</v>
      </c>
      <c r="O50" s="80">
        <f>N50*(1-(Percent_Prevalence_at_End_of_Projection_Period-Percent_Prevalence_at_Beginning_of_Projection_Period))</f>
        <v>0.036493631652894</v>
      </c>
      <c r="P50" s="48">
        <f>$F50*$O50*HH_Size</f>
        <v>482.810746767788</v>
      </c>
      <c r="Q50" s="50">
        <f>$F50*$O50*(HH_Children*Fatality_Rate_Child+HH_Adults*Fatality_Rate_Adult+HH_Over_60*Fatality_Rate_Over_60)</f>
        <v>0.940546755720503</v>
      </c>
      <c r="R50" s="81">
        <f>1-((1-Risk_of_Provider_Being_Infected*_xlfn.SINGLE(Transmission_Risk_Hospital_Stay)*(1-Reduction_in_Risk_PPE))^(G50*(1-Reduction_in_Risk_TS)))*(1-Risk_of_Community_Member_being_Infected*Transmission_Risk_in_Community)^($G50*Contacts_During_Travel_to_Facility)</f>
        <v>0.0455907184039227</v>
      </c>
      <c r="S50" s="80">
        <f>R50*(1-(Percent_Prevalence_at_End_of_Projection_Period-Percent_Prevalence_at_Beginning_of_Projection_Period))</f>
        <v>0.0349528841096741</v>
      </c>
      <c r="T50" s="48">
        <f>$F50*$S50*HH_Size</f>
        <v>462.426656770988</v>
      </c>
      <c r="U50" s="50">
        <f>$F50*$S50*(HH_Children*Fatality_Rate_Child+HH_Adults*Fatality_Rate_Adult+HH_Over_60*Fatality_Rate_Over_60)</f>
        <v>0.900837221823103</v>
      </c>
      <c r="V50" s="81">
        <f>1-((1-Risk_of_Provider_Being_Infected*_xlfn.SINGLE(Transmission_Risk_Hospital_Stay)*(1-Reduction_in_Risk_PPE))^(H50*(1-Reduction_in_Risk_TS)))*(1-Risk_of_Community_Member_being_Infected*Transmission_Risk_in_Community)^($H50*Contacts_During_Travel_to_Facility)</f>
        <v>0.0455907184039227</v>
      </c>
      <c r="W50" s="80">
        <f>V50*(1-(Percent_Prevalence_at_End_of_Projection_Period-Percent_Prevalence_at_Beginning_of_Projection_Period))</f>
        <v>0.0349528841096741</v>
      </c>
      <c r="X50" s="48">
        <f>$F50*$W50*HH_Size</f>
        <v>462.426656770988</v>
      </c>
      <c r="Y50" s="50">
        <f>$F50*$W50*(HH_Children*Fatality_Rate_Child+HH_Adults*Fatality_Rate_Adult+HH_Over_60*Fatality_Rate_Over_60)</f>
        <v>0.900837221823103</v>
      </c>
      <c r="Z50" s="96">
        <f>1-((1-Risk_of_Provider_Being_Infected*Transmission_Risk_Hospital_Stay*(1-$I50)))*(1-Risk_of_Community_Member_being_Infected*Transmission_Risk_in_Community)^($H50*Contacts_During_Travel_to_Facility)</f>
        <v>0.027561160424421</v>
      </c>
      <c r="AA50" s="80">
        <f>Z50*(1-(Percent_Prevalence_at_End_of_Projection_Period-Percent_Prevalence_at_Beginning_of_Projection_Period))</f>
        <v>0.0211302229920561</v>
      </c>
      <c r="AB50" s="48">
        <f>$F50*$AA50*HH_Size*Infection_Rate_within_HH</f>
        <v>251.597565166412</v>
      </c>
      <c r="AC50" s="50">
        <f>$F50*$AA50*Infection_Rate_within_HH*(HH_Children*Fatality_Rate_Child+HH_Adults*Fatality_Rate_Adult+HH_Over_60*Fatality_Rate_Over_60)</f>
        <v>0.490128430753967</v>
      </c>
      <c r="AD50" s="94" t="s">
        <v>61</v>
      </c>
    </row>
    <row r="51" spans="1:30">
      <c r="A51" s="38" t="str">
        <f>IF(VLOOKUP(B51,'[1]1. Select Services'!$A$6:$E$77,5,FALSE)="x","x","")</f>
        <v>x</v>
      </c>
      <c r="B51" s="55">
        <v>37</v>
      </c>
      <c r="C51" s="55">
        <v>43</v>
      </c>
      <c r="D51" s="54"/>
      <c r="E51" s="53" t="s">
        <v>77</v>
      </c>
      <c r="F51" s="48">
        <f>IF(Chosen_Scenario="Mitigation Impact Only",VLOOKUP($B51,'[1]Coverage Review Updated'!$B$5:$T$78,18,FALSE),VLOOKUP($B51,'[1]Coverage Review Updated'!$B$5:$T$78,19,FALSE))</f>
        <v>0</v>
      </c>
      <c r="G51" s="48">
        <f>VLOOKUP($B51,'[1]7. Number of HW Contacts'!$B$4:$I$84,6,FALSE)</f>
        <v>10</v>
      </c>
      <c r="H51" s="50">
        <f>G51*(1-HLOOKUP($B51,'[1]3. Mitigation Impact on Coverag'!$BY$5:$EQ$7,3,FALSE))</f>
        <v>10</v>
      </c>
      <c r="I51" s="88">
        <f>HLOOKUP(B51,'[1]3. Mitigation Impact on Coverag'!ES$5:HK$7,3,FALSE)</f>
        <v>0.77</v>
      </c>
      <c r="J51" s="80">
        <f>1-((1-Risk_of_Provider_Being_Infected*_xlfn.SINGLE(Transmission_Risk_Hospital_Stay))^(G51)*(1-Risk_of_Community_Member_being_Infected*Transmission_Risk_in_Community)^(G51*Contacts_During_Travel_to_Facility))</f>
        <v>0.0240461613090481</v>
      </c>
      <c r="K51" s="80">
        <f>J51*(1-(Percent_Prevalence_at_End_of_Projection_Period-Percent_Prevalence_at_Beginning_of_Projection_Period))</f>
        <v>0.0184353903369369</v>
      </c>
      <c r="L51" s="48">
        <f>$F51*$K51*HH_Size</f>
        <v>0</v>
      </c>
      <c r="M51" s="50">
        <f>$F51*$J51*(HH_Children*Fatality_Rate_Child+HH_Adults*Fatality_Rate_Adult+HH_Over_60*Fatality_Rate_Over_60)</f>
        <v>0</v>
      </c>
      <c r="N51" s="81">
        <f>1-((1-Risk_of_Provider_Being_Infected*_xlfn.SINGLE(Transmission_Risk_Hospital_Stay)*(1-Reduction_in_Risk_PPE))^(G51)*(1-Risk_of_Community_Member_being_Infected*Transmission_Risk_in_Community)^($G51*Contacts_During_Travel_to_Facility))</f>
        <v>0.0229564789643059</v>
      </c>
      <c r="O51" s="80">
        <f>N51*(1-(Percent_Prevalence_at_End_of_Projection_Period-Percent_Prevalence_at_Beginning_of_Projection_Period))</f>
        <v>0.0175999672059678</v>
      </c>
      <c r="P51" s="48">
        <f>$F51*$O51*HH_Size</f>
        <v>0</v>
      </c>
      <c r="Q51" s="50">
        <f>$F51*$O51*(HH_Children*Fatality_Rate_Child+HH_Adults*Fatality_Rate_Adult+HH_Over_60*Fatality_Rate_Over_60)</f>
        <v>0</v>
      </c>
      <c r="R51" s="81">
        <f>1-((1-Risk_of_Provider_Being_Infected*_xlfn.SINGLE(Transmission_Risk_Hospital_Stay)*(1-Reduction_in_Risk_PPE))^(G51*(1-Reduction_in_Risk_TS)))*(1-Risk_of_Community_Member_being_Infected*Transmission_Risk_in_Community)^($G51*Contacts_During_Travel_to_Facility)</f>
        <v>0.021975272306848</v>
      </c>
      <c r="S51" s="80">
        <f>R51*(1-(Percent_Prevalence_at_End_of_Projection_Period-Percent_Prevalence_at_Beginning_of_Projection_Period))</f>
        <v>0.0168477087685835</v>
      </c>
      <c r="T51" s="48">
        <f>$F51*$S51*HH_Size</f>
        <v>0</v>
      </c>
      <c r="U51" s="50">
        <f>$F51*$S51*(HH_Children*Fatality_Rate_Child+HH_Adults*Fatality_Rate_Adult+HH_Over_60*Fatality_Rate_Over_60)</f>
        <v>0</v>
      </c>
      <c r="V51" s="81">
        <f>1-((1-Risk_of_Provider_Being_Infected*_xlfn.SINGLE(Transmission_Risk_Hospital_Stay)*(1-Reduction_in_Risk_PPE))^(H51*(1-Reduction_in_Risk_TS)))*(1-Risk_of_Community_Member_being_Infected*Transmission_Risk_in_Community)^($H51*Contacts_During_Travel_to_Facility)</f>
        <v>0.021975272306848</v>
      </c>
      <c r="W51" s="80">
        <f>V51*(1-(Percent_Prevalence_at_End_of_Projection_Period-Percent_Prevalence_at_Beginning_of_Projection_Period))</f>
        <v>0.0168477087685835</v>
      </c>
      <c r="X51" s="48">
        <f>$F51*$W51*HH_Size</f>
        <v>0</v>
      </c>
      <c r="Y51" s="50">
        <f>$F51*$W51*(HH_Children*Fatality_Rate_Child+HH_Adults*Fatality_Rate_Adult+HH_Over_60*Fatality_Rate_Over_60)</f>
        <v>0</v>
      </c>
      <c r="Z51" s="96">
        <f>1-((1-Risk_of_Provider_Being_Infected*Transmission_Risk_Hospital_Stay*(1-$I51)))*(1-Risk_of_Community_Member_being_Infected*Transmission_Risk_in_Community)^($H51*Contacts_During_Travel_to_Facility)</f>
        <v>0.013352979320799</v>
      </c>
      <c r="AA51" s="80">
        <f>Z51*(1-(Percent_Prevalence_at_End_of_Projection_Period-Percent_Prevalence_at_Beginning_of_Projection_Period))</f>
        <v>0.0102372841459459</v>
      </c>
      <c r="AB51" s="48">
        <f>$F51*$AA51*HH_Size*Infection_Rate_within_HH</f>
        <v>0</v>
      </c>
      <c r="AC51" s="50">
        <f>$F51*$AA51*Infection_Rate_within_HH*(HH_Children*Fatality_Rate_Child+HH_Adults*Fatality_Rate_Adult+HH_Over_60*Fatality_Rate_Over_60)</f>
        <v>0</v>
      </c>
      <c r="AD51" s="94" t="s">
        <v>61</v>
      </c>
    </row>
    <row r="52" spans="1:30">
      <c r="A52" s="38" t="str">
        <f>IF(VLOOKUP(B52,'[1]1. Select Services'!$A$6:$E$77,5,FALSE)="x","x","")</f>
        <v/>
      </c>
      <c r="B52" s="55">
        <v>38</v>
      </c>
      <c r="C52" s="55">
        <v>12</v>
      </c>
      <c r="D52" s="57"/>
      <c r="E52" s="53" t="s">
        <v>78</v>
      </c>
      <c r="F52" s="48">
        <f>IF(Chosen_Scenario="Mitigation Impact Only",VLOOKUP($B52,'[1]Coverage Review Updated'!$B$5:$T$78,18,FALSE),VLOOKUP($B52,'[1]Coverage Review Updated'!$B$5:$T$78,19,FALSE))</f>
        <v>0</v>
      </c>
      <c r="G52" s="48">
        <f>VLOOKUP($B52,'[1]7. Number of HW Contacts'!$B$4:$I$84,6,FALSE)</f>
        <v>10</v>
      </c>
      <c r="H52" s="50">
        <f>G52*(1-HLOOKUP($B52,'[1]3. Mitigation Impact on Coverag'!$BY$5:$EQ$7,3,FALSE))</f>
        <v>10</v>
      </c>
      <c r="I52" s="88">
        <f>HLOOKUP(B52,'[1]3. Mitigation Impact on Coverag'!ES$5:HK$7,3,FALSE)</f>
        <v>0.77</v>
      </c>
      <c r="J52" s="80">
        <f>1-((1-Risk_of_Provider_Being_Infected*_xlfn.SINGLE(Transmission_Risk_Hospital_Stay))^(G52)*(1-Risk_of_Community_Member_being_Infected*Transmission_Risk_in_Community)^(G52*Contacts_During_Travel_to_Facility))</f>
        <v>0.0240461613090481</v>
      </c>
      <c r="K52" s="80">
        <f>J52*(1-(Percent_Prevalence_at_End_of_Projection_Period-Percent_Prevalence_at_Beginning_of_Projection_Period))</f>
        <v>0.0184353903369369</v>
      </c>
      <c r="L52" s="48">
        <f>$F52*$K52*HH_Size</f>
        <v>0</v>
      </c>
      <c r="M52" s="50">
        <f>$F52*$J52*(HH_Children*Fatality_Rate_Child+HH_Adults*Fatality_Rate_Adult+HH_Over_60*Fatality_Rate_Over_60)</f>
        <v>0</v>
      </c>
      <c r="N52" s="81">
        <f>1-((1-Risk_of_Provider_Being_Infected*_xlfn.SINGLE(Transmission_Risk_Hospital_Stay)*(1-Reduction_in_Risk_PPE))^(G52)*(1-Risk_of_Community_Member_being_Infected*Transmission_Risk_in_Community)^($G52*Contacts_During_Travel_to_Facility))</f>
        <v>0.0229564789643059</v>
      </c>
      <c r="O52" s="80">
        <f>N52*(1-(Percent_Prevalence_at_End_of_Projection_Period-Percent_Prevalence_at_Beginning_of_Projection_Period))</f>
        <v>0.0175999672059678</v>
      </c>
      <c r="P52" s="48">
        <f>$F52*$O52*HH_Size</f>
        <v>0</v>
      </c>
      <c r="Q52" s="50">
        <f>$F52*$O52*(HH_Children*Fatality_Rate_Child+HH_Adults*Fatality_Rate_Adult+HH_Over_60*Fatality_Rate_Over_60)</f>
        <v>0</v>
      </c>
      <c r="R52" s="81">
        <f>1-((1-Risk_of_Provider_Being_Infected*_xlfn.SINGLE(Transmission_Risk_Hospital_Stay)*(1-Reduction_in_Risk_PPE))^(G52*(1-Reduction_in_Risk_TS)))*(1-Risk_of_Community_Member_being_Infected*Transmission_Risk_in_Community)^($G52*Contacts_During_Travel_to_Facility)</f>
        <v>0.021975272306848</v>
      </c>
      <c r="S52" s="80">
        <f>R52*(1-(Percent_Prevalence_at_End_of_Projection_Period-Percent_Prevalence_at_Beginning_of_Projection_Period))</f>
        <v>0.0168477087685835</v>
      </c>
      <c r="T52" s="48">
        <f>$F52*$S52*HH_Size</f>
        <v>0</v>
      </c>
      <c r="U52" s="50">
        <f>$F52*$S52*(HH_Children*Fatality_Rate_Child+HH_Adults*Fatality_Rate_Adult+HH_Over_60*Fatality_Rate_Over_60)</f>
        <v>0</v>
      </c>
      <c r="V52" s="81">
        <f>1-((1-Risk_of_Provider_Being_Infected*_xlfn.SINGLE(Transmission_Risk_Hospital_Stay)*(1-Reduction_in_Risk_PPE))^(H52*(1-Reduction_in_Risk_TS)))*(1-Risk_of_Community_Member_being_Infected*Transmission_Risk_in_Community)^($H52*Contacts_During_Travel_to_Facility)</f>
        <v>0.021975272306848</v>
      </c>
      <c r="W52" s="80">
        <f>V52*(1-(Percent_Prevalence_at_End_of_Projection_Period-Percent_Prevalence_at_Beginning_of_Projection_Period))</f>
        <v>0.0168477087685835</v>
      </c>
      <c r="X52" s="48">
        <f>$F52*$W52*HH_Size</f>
        <v>0</v>
      </c>
      <c r="Y52" s="50">
        <f>$F52*$W52*(HH_Children*Fatality_Rate_Child+HH_Adults*Fatality_Rate_Adult+HH_Over_60*Fatality_Rate_Over_60)</f>
        <v>0</v>
      </c>
      <c r="Z52" s="96">
        <f>1-((1-Risk_of_Provider_Being_Infected*Transmission_Risk_Hospital_Stay*(1-$I52)))*(1-Risk_of_Community_Member_being_Infected*Transmission_Risk_in_Community)^($H52*Contacts_During_Travel_to_Facility)</f>
        <v>0.013352979320799</v>
      </c>
      <c r="AA52" s="80">
        <f>Z52*(1-(Percent_Prevalence_at_End_of_Projection_Period-Percent_Prevalence_at_Beginning_of_Projection_Period))</f>
        <v>0.0102372841459459</v>
      </c>
      <c r="AB52" s="48">
        <f>$F52*$AA52*HH_Size*Infection_Rate_within_HH</f>
        <v>0</v>
      </c>
      <c r="AC52" s="50">
        <f>$F52*$AA52*Infection_Rate_within_HH*(HH_Children*Fatality_Rate_Child+HH_Adults*Fatality_Rate_Adult+HH_Over_60*Fatality_Rate_Over_60)</f>
        <v>0</v>
      </c>
      <c r="AD52" s="94" t="s">
        <v>61</v>
      </c>
    </row>
    <row r="53" spans="1:30">
      <c r="A53" s="38" t="str">
        <f>IF(VLOOKUP(B53,'[1]1. Select Services'!$A$6:$E$77,5,FALSE)="x","x","")</f>
        <v>x</v>
      </c>
      <c r="B53" s="58">
        <v>39</v>
      </c>
      <c r="C53" s="59">
        <v>29</v>
      </c>
      <c r="D53" s="60" t="s">
        <v>31</v>
      </c>
      <c r="E53" s="61" t="s">
        <v>79</v>
      </c>
      <c r="F53" s="22">
        <f>IF(Chosen_Scenario="Mitigation Impact Only",VLOOKUP($B53,'[1]Coverage Review Updated'!$B$5:$T$78,18,FALSE),VLOOKUP($B53,'[1]Coverage Review Updated'!$B$5:$T$78,19,FALSE))</f>
        <v>186800</v>
      </c>
      <c r="G53" s="22">
        <f>VLOOKUP($B53,'[1]7. Number of HW Contacts'!$B$4:$I$84,6,FALSE)</f>
        <v>2</v>
      </c>
      <c r="H53" s="23">
        <f>G53*(1-HLOOKUP($B53,'[1]3. Mitigation Impact on Coverag'!$BY$5:$EQ$7,3,FALSE))</f>
        <v>2</v>
      </c>
      <c r="I53" s="76">
        <f>HLOOKUP(B53,'[1]3. Mitigation Impact on Coverag'!ES$5:HK$7,3,FALSE)</f>
        <v>0.79</v>
      </c>
      <c r="J53" s="77">
        <f>1-((1-Risk_of_Provider_Being_Infected*_xlfn.SINGLE(Transmission_Risk_Contact_Health_Care_Provider))^(G53)*(1-Risk_of_Community_Member_being_Infected*Transmission_Risk_in_Community)^(G53*Contacts_During_Travel_to_Facility))</f>
        <v>0.00337488345159576</v>
      </c>
      <c r="K53" s="77">
        <f>J53*(1-(Percent_Prevalence_at_End_of_Projection_Period-Percent_Prevalence_at_Beginning_of_Projection_Period))</f>
        <v>0.00258741064622341</v>
      </c>
      <c r="L53" s="22">
        <f>$F53*$K53*HH_Size</f>
        <v>3044.96834490156</v>
      </c>
      <c r="M53" s="23">
        <f>$F53*$J53*(HH_Children*Fatality_Rate_Child+HH_Adults*Fatality_Rate_Adult+HH_Over_60*Fatality_Rate_Over_60)</f>
        <v>7.73712587018454</v>
      </c>
      <c r="N53" s="79">
        <f>1-((1-Risk_of_Provider_Being_Infected*_xlfn.SINGLE(Transmission_Risk_Contact_Health_Care_Provider)*(1-Reduction_in_Risk_PPE))^($G53)*(1-Risk_of_Community_Member_being_Infected*Transmission_Risk_in_Community)^($G53*Contacts_During_Travel_to_Facility))</f>
        <v>0.00330079028006769</v>
      </c>
      <c r="O53" s="77">
        <f>N53*(1-(Percent_Prevalence_at_End_of_Projection_Period-Percent_Prevalence_at_Beginning_of_Projection_Period))</f>
        <v>0.00253060588138523</v>
      </c>
      <c r="P53" s="22">
        <f>$F53*$O53*HH_Size</f>
        <v>2978.11822544939</v>
      </c>
      <c r="Q53" s="23">
        <f>$F53*$O53*(HH_Children*Fatality_Rate_Child+HH_Adults*Fatality_Rate_Adult+HH_Over_60*Fatality_Rate_Over_60)</f>
        <v>5.80156811721866</v>
      </c>
      <c r="R53" s="79">
        <f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0.00323411410781771</v>
      </c>
      <c r="S53" s="77">
        <f>R53*(1-(Percent_Prevalence_at_End_of_Projection_Period-Percent_Prevalence_at_Beginning_of_Projection_Period))</f>
        <v>0.00247948748266024</v>
      </c>
      <c r="T53" s="22">
        <f>$F53*$S53*HH_Size</f>
        <v>2917.96004909388</v>
      </c>
      <c r="U53" s="23">
        <f>$F53*$S53*(HH_Children*Fatality_Rate_Child+HH_Adults*Fatality_Rate_Adult+HH_Over_60*Fatality_Rate_Over_60)</f>
        <v>5.6843760746222</v>
      </c>
      <c r="V53" s="79">
        <f>1-((1-Risk_of_Provider_Being_Infected*_xlfn.SINGLE(Transmission_Risk_Contact_Health_Care_Provider)*(1-$I53)))*(1-Risk_of_Community_Member_being_Infected*Transmission_Risk_in_Community)^($H53*Contacts_During_Travel_to_Facility)</f>
        <v>0.00271165310435617</v>
      </c>
      <c r="W53" s="77">
        <f>V53*(1-(Percent_Prevalence_at_End_of_Projection_Period-Percent_Prevalence_at_Beginning_of_Projection_Period))</f>
        <v>0.00207893404667306</v>
      </c>
      <c r="X53" s="22">
        <f>$F53*$W53*HH_Size</f>
        <v>2446.57274348673</v>
      </c>
      <c r="Y53" s="23">
        <f>$F53*$W53*(HH_Children*Fatality_Rate_Child+HH_Adults*Fatality_Rate_Adult+HH_Over_60*Fatality_Rate_Over_60)</f>
        <v>4.76608292571291</v>
      </c>
      <c r="Z53" s="79">
        <f>1-((1-Risk_of_Provider_Being_Infected*Transmission_Risk_Contact_Health_Care_Provider*(1-$I53))^($H53)*(1-Risk_of_Community_Member_being_Infected*Transmission_Risk_in_Community)^($H53*Contacts_During_Travel_to_Facility))</f>
        <v>0.0027894723337536</v>
      </c>
      <c r="AA53" s="77">
        <f>Z53*(1-(Percent_Prevalence_at_End_of_Projection_Period-Percent_Prevalence_at_Beginning_of_Projection_Period))</f>
        <v>0.00213859545587776</v>
      </c>
      <c r="AB53" s="22">
        <f>$F53*$AA53*HH_Size*Infection_Rate_within_HH</f>
        <v>2265.10620866566</v>
      </c>
      <c r="AC53" s="23">
        <f>$F53*$AA53*Infection_Rate_within_HH*(HH_Children*Fatality_Rate_Child+HH_Adults*Fatality_Rate_Adult+HH_Over_60*Fatality_Rate_Over_60)</f>
        <v>4.4125743061546</v>
      </c>
      <c r="AD53" s="94"/>
    </row>
    <row r="54" spans="1:30">
      <c r="A54" s="38" t="str">
        <f>IF(VLOOKUP(B54,'[1]1. Select Services'!$A$6:$E$77,5,FALSE)="x","x","")</f>
        <v>x</v>
      </c>
      <c r="B54" s="58">
        <v>40</v>
      </c>
      <c r="C54" s="59">
        <v>30</v>
      </c>
      <c r="D54" s="62"/>
      <c r="E54" s="61" t="s">
        <v>80</v>
      </c>
      <c r="F54" s="22">
        <f>IF(Chosen_Scenario="Mitigation Impact Only",VLOOKUP($B54,'[1]Coverage Review Updated'!$B$5:$T$78,18,FALSE),VLOOKUP($B54,'[1]Coverage Review Updated'!$B$5:$T$78,19,FALSE))</f>
        <v>13200</v>
      </c>
      <c r="G54" s="22">
        <f>VLOOKUP($B54,'[1]7. Number of HW Contacts'!$B$4:$I$84,6,FALSE)</f>
        <v>2</v>
      </c>
      <c r="H54" s="23">
        <f>G54*(1-HLOOKUP($B54,'[1]3. Mitigation Impact on Coverag'!$BY$5:$EQ$7,3,FALSE))</f>
        <v>2</v>
      </c>
      <c r="I54" s="76">
        <f>HLOOKUP(B54,'[1]3. Mitigation Impact on Coverag'!ES$5:HK$7,3,FALSE)</f>
        <v>0.79</v>
      </c>
      <c r="J54" s="77">
        <f>1-((1-Risk_of_Provider_Being_Infected*_xlfn.SINGLE(Transmission_Risk_Contact_Health_Care_Provider))^(G54)*(1-Risk_of_Community_Member_being_Infected*Transmission_Risk_in_Community)^(G54*Contacts_During_Travel_to_Facility))</f>
        <v>0.00337488345159576</v>
      </c>
      <c r="K54" s="77">
        <f>J54*(1-(Percent_Prevalence_at_End_of_Projection_Period-Percent_Prevalence_at_Beginning_of_Projection_Period))</f>
        <v>0.00258741064622341</v>
      </c>
      <c r="L54" s="22">
        <f>$F54*$K54*HH_Size</f>
        <v>215.169069339939</v>
      </c>
      <c r="M54" s="23">
        <f>$F54*$J54*(HH_Children*Fatality_Rate_Child+HH_Adults*Fatality_Rate_Adult+HH_Over_60*Fatality_Rate_Over_60)</f>
        <v>0.546734804531242</v>
      </c>
      <c r="N54" s="79">
        <f>1-((1-Risk_of_Provider_Being_Infected*_xlfn.SINGLE(Transmission_Risk_Contact_Health_Care_Provider)*(1-Reduction_in_Risk_PPE))^($G54)*(1-Risk_of_Community_Member_being_Infected*Transmission_Risk_in_Community)^($G54*Contacts_During_Travel_to_Facility))</f>
        <v>0.00330079028006769</v>
      </c>
      <c r="O54" s="77">
        <f>N54*(1-(Percent_Prevalence_at_End_of_Projection_Period-Percent_Prevalence_at_Beginning_of_Projection_Period))</f>
        <v>0.00253060588138523</v>
      </c>
      <c r="P54" s="22">
        <f>$F54*$O54*HH_Size</f>
        <v>210.445185095996</v>
      </c>
      <c r="Q54" s="23">
        <f>$F54*$O54*(HH_Children*Fatality_Rate_Child+HH_Adults*Fatality_Rate_Adult+HH_Over_60*Fatality_Rate_Over_60)</f>
        <v>0.409960916206029</v>
      </c>
      <c r="R54" s="79">
        <f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0.00323411410781771</v>
      </c>
      <c r="S54" s="77">
        <f>R54*(1-(Percent_Prevalence_at_End_of_Projection_Period-Percent_Prevalence_at_Beginning_of_Projection_Period))</f>
        <v>0.00247948748266024</v>
      </c>
      <c r="T54" s="22">
        <f>$F54*$S54*HH_Size</f>
        <v>206.194179058026</v>
      </c>
      <c r="U54" s="23">
        <f>$F54*$S54*(HH_Children*Fatality_Rate_Child+HH_Adults*Fatality_Rate_Adult+HH_Over_60*Fatality_Rate_Over_60)</f>
        <v>0.40167967979129</v>
      </c>
      <c r="V54" s="79">
        <f>1-((1-Risk_of_Provider_Being_Infected*_xlfn.SINGLE(Transmission_Risk_Contact_Health_Care_Provider)*(1-$I54)))*(1-Risk_of_Community_Member_being_Infected*Transmission_Risk_in_Community)^($H54*Contacts_During_Travel_to_Facility)</f>
        <v>0.00271165310435617</v>
      </c>
      <c r="W54" s="77">
        <f>V54*(1-(Percent_Prevalence_at_End_of_Projection_Period-Percent_Prevalence_at_Beginning_of_Projection_Period))</f>
        <v>0.00207893404667306</v>
      </c>
      <c r="X54" s="22">
        <f>$F54*$W54*HH_Size</f>
        <v>172.884155321332</v>
      </c>
      <c r="Y54" s="23">
        <f>$F54*$W54*(HH_Children*Fatality_Rate_Child+HH_Adults*Fatality_Rate_Adult+HH_Over_60*Fatality_Rate_Over_60)</f>
        <v>0.336789585757015</v>
      </c>
      <c r="Z54" s="79">
        <f>1-((1-Risk_of_Provider_Being_Infected*Transmission_Risk_Contact_Health_Care_Provider*(1-$I54))^($H54)*(1-Risk_of_Community_Member_being_Infected*Transmission_Risk_in_Community)^($H54*Contacts_During_Travel_to_Facility))</f>
        <v>0.0027894723337536</v>
      </c>
      <c r="AA54" s="77">
        <f>Z54*(1-(Percent_Prevalence_at_End_of_Projection_Period-Percent_Prevalence_at_Beginning_of_Projection_Period))</f>
        <v>0.00213859545587776</v>
      </c>
      <c r="AB54" s="22">
        <f>$F54*$AA54*HH_Size*Infection_Rate_within_HH</f>
        <v>160.061038299715</v>
      </c>
      <c r="AC54" s="23">
        <f>$F54*$AA54*Infection_Rate_within_HH*(HH_Children*Fatality_Rate_Child+HH_Adults*Fatality_Rate_Adult+HH_Over_60*Fatality_Rate_Over_60)</f>
        <v>0.311809319278591</v>
      </c>
      <c r="AD54" s="94"/>
    </row>
    <row r="55" spans="1:30">
      <c r="A55" s="38" t="str">
        <f>IF(VLOOKUP(B55,'[1]1. Select Services'!$A$6:$E$77,5,FALSE)="x","x","")</f>
        <v>x</v>
      </c>
      <c r="B55" s="58">
        <v>41</v>
      </c>
      <c r="C55" s="59">
        <v>31</v>
      </c>
      <c r="D55" s="62"/>
      <c r="E55" s="61" t="s">
        <v>81</v>
      </c>
      <c r="F55" s="22">
        <f>IF(Chosen_Scenario="Mitigation Impact Only",VLOOKUP($B55,'[1]Coverage Review Updated'!$B$5:$T$78,18,FALSE),VLOOKUP($B55,'[1]Coverage Review Updated'!$B$5:$T$78,19,FALSE))</f>
        <v>194600</v>
      </c>
      <c r="G55" s="22">
        <f>VLOOKUP($B55,'[1]7. Number of HW Contacts'!$B$4:$I$84,6,FALSE)</f>
        <v>1</v>
      </c>
      <c r="H55" s="23">
        <f>G55*(1-HLOOKUP($B55,'[1]3. Mitigation Impact on Coverag'!$BY$5:$EQ$7,3,FALSE))</f>
        <v>1</v>
      </c>
      <c r="I55" s="76">
        <f>HLOOKUP(B55,'[1]3. Mitigation Impact on Coverag'!ES$5:HK$7,3,FALSE)</f>
        <v>0.79</v>
      </c>
      <c r="J55" s="77">
        <f>1-((1-Risk_of_Provider_Being_Infected*_xlfn.SINGLE(Transmission_Risk_Contact_Health_Care_Provider))^(G55)*(1-Risk_of_Community_Member_being_Infected*Transmission_Risk_in_Community)^(G55*Contacts_During_Travel_to_Facility))</f>
        <v>0.00168886786312739</v>
      </c>
      <c r="K55" s="77">
        <f>J55*(1-(Percent_Prevalence_at_End_of_Projection_Period-Percent_Prevalence_at_Beginning_of_Projection_Period))</f>
        <v>0.00129479869506433</v>
      </c>
      <c r="L55" s="22">
        <f>$F55*$K55*HH_Size</f>
        <v>1587.39730417497</v>
      </c>
      <c r="M55" s="23">
        <f>$F55*$J55*(HH_Children*Fatality_Rate_Child+HH_Adults*Fatality_Rate_Adult+HH_Over_60*Fatality_Rate_Over_60)</f>
        <v>4.03350424609763</v>
      </c>
      <c r="N55" s="79">
        <f>1-((1-Risk_of_Provider_Being_Infected*_xlfn.SINGLE(Transmission_Risk_Contact_Health_Care_Provider)*(1-Reduction_in_Risk_PPE))^($G55)*(1-Risk_of_Community_Member_being_Infected*Transmission_Risk_in_Community)^($G55*Contacts_During_Travel_to_Facility))</f>
        <v>0.00165175929441719</v>
      </c>
      <c r="O55" s="77">
        <f>N55*(1-(Percent_Prevalence_at_End_of_Projection_Period-Percent_Prevalence_at_Beginning_of_Projection_Period))</f>
        <v>0.00126634879238651</v>
      </c>
      <c r="P55" s="22">
        <f>$F55*$O55*HH_Size</f>
        <v>1552.51829249001</v>
      </c>
      <c r="Q55" s="23">
        <f>$F55*$O55*(HH_Children*Fatality_Rate_Child+HH_Adults*Fatality_Rate_Adult+HH_Over_60*Fatality_Rate_Over_60)</f>
        <v>3.0244066706753</v>
      </c>
      <c r="R55" s="79">
        <f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0.0016183666091496</v>
      </c>
      <c r="S55" s="77">
        <f>R55*(1-(Percent_Prevalence_at_End_of_Projection_Period-Percent_Prevalence_at_Beginning_of_Projection_Period))</f>
        <v>0.00124074773368136</v>
      </c>
      <c r="T55" s="22">
        <f>$F55*$S55*HH_Size</f>
        <v>1521.13190653868</v>
      </c>
      <c r="U55" s="23">
        <f>$F55*$S55*(HH_Children*Fatality_Rate_Child+HH_Adults*Fatality_Rate_Adult+HH_Over_60*Fatality_Rate_Over_60)</f>
        <v>2.96326394823602</v>
      </c>
      <c r="V55" s="79">
        <f>1-((1-Risk_of_Provider_Being_Infected*_xlfn.SINGLE(Transmission_Risk_Contact_Health_Care_Provider)*(1-$I55)))*(1-Risk_of_Community_Member_being_Infected*Transmission_Risk_in_Community)^($H55*Contacts_During_Travel_to_Facility)</f>
        <v>0.00139571017031648</v>
      </c>
      <c r="W55" s="77">
        <f>V55*(1-(Percent_Prevalence_at_End_of_Projection_Period-Percent_Prevalence_at_Beginning_of_Projection_Period))</f>
        <v>0.0010700444639093</v>
      </c>
      <c r="X55" s="22">
        <f>$F55*$W55*HH_Size</f>
        <v>1311.85311186352</v>
      </c>
      <c r="Y55" s="23">
        <f>$F55*$W55*(HH_Children*Fatality_Rate_Child+HH_Adults*Fatality_Rate_Adult+HH_Over_60*Fatality_Rate_Over_60)</f>
        <v>2.55557523647774</v>
      </c>
      <c r="Z55" s="79">
        <f>1-((1-Risk_of_Provider_Being_Infected*Transmission_Risk_Contact_Health_Care_Provider*(1-$I55))^($H55)*(1-Risk_of_Community_Member_being_Infected*Transmission_Risk_in_Community)^($H55*Contacts_During_Travel_to_Facility))</f>
        <v>0.00139571017031648</v>
      </c>
      <c r="AA55" s="77">
        <f>Z55*(1-(Percent_Prevalence_at_End_of_Projection_Period-Percent_Prevalence_at_Beginning_of_Projection_Period))</f>
        <v>0.0010700444639093</v>
      </c>
      <c r="AB55" s="22">
        <f>$F55*$AA55*HH_Size*Infection_Rate_within_HH</f>
        <v>1180.66780067717</v>
      </c>
      <c r="AC55" s="23">
        <f>$F55*$AA55*Infection_Rate_within_HH*(HH_Children*Fatality_Rate_Child+HH_Adults*Fatality_Rate_Adult+HH_Over_60*Fatality_Rate_Over_60)</f>
        <v>2.30001771282997</v>
      </c>
      <c r="AD55" s="94"/>
    </row>
    <row r="56" spans="1:30">
      <c r="A56" s="38" t="str">
        <f>IF(VLOOKUP(B56,'[1]1. Select Services'!$A$6:$E$77,5,FALSE)="x","x","")</f>
        <v>x</v>
      </c>
      <c r="B56" s="58">
        <v>42</v>
      </c>
      <c r="C56" s="59">
        <v>37</v>
      </c>
      <c r="D56" s="62"/>
      <c r="E56" s="61" t="s">
        <v>82</v>
      </c>
      <c r="F56" s="22">
        <f>IF(Chosen_Scenario="Mitigation Impact Only",VLOOKUP($B56,'[1]Coverage Review Updated'!$B$5:$T$78,18,FALSE),VLOOKUP($B56,'[1]Coverage Review Updated'!$B$5:$T$78,19,FALSE))</f>
        <v>5700</v>
      </c>
      <c r="G56" s="22">
        <f>VLOOKUP($B56,'[1]7. Number of HW Contacts'!$B$4:$I$84,6,FALSE)</f>
        <v>0</v>
      </c>
      <c r="H56" s="23">
        <f>G56*(1-HLOOKUP($B56,'[1]3. Mitigation Impact on Coverag'!$BY$5:$EQ$7,3,FALSE))</f>
        <v>0</v>
      </c>
      <c r="I56" s="76">
        <f>HLOOKUP(B56,'[1]3. Mitigation Impact on Coverag'!ES$5:HK$7,3,FALSE)</f>
        <v>0.79</v>
      </c>
      <c r="J56" s="77">
        <f>1-((1-Risk_of_Provider_Being_Infected*_xlfn.SINGLE(Transmission_Risk_Contact_Health_Care_Provider))^(G56)*(1-Risk_of_Community_Member_being_Infected*Transmission_Risk_in_Community)^(G56*Contacts_During_Travel_to_Facility))</f>
        <v>0</v>
      </c>
      <c r="K56" s="77">
        <f>J56*(1-(Percent_Prevalence_at_End_of_Projection_Period-Percent_Prevalence_at_Beginning_of_Projection_Period))</f>
        <v>0</v>
      </c>
      <c r="L56" s="22">
        <f>$F56*$K56*HH_Size</f>
        <v>0</v>
      </c>
      <c r="M56" s="23">
        <f>$F56*$J56*(HH_Children*Fatality_Rate_Child+HH_Adults*Fatality_Rate_Adult+HH_Over_60*Fatality_Rate_Over_60)</f>
        <v>0</v>
      </c>
      <c r="N56" s="79">
        <f>1-((1-Risk_of_Provider_Being_Infected*_xlfn.SINGLE(Transmission_Risk_Contact_Health_Care_Provider)*(1-Reduction_in_Risk_PPE))^($G56)*(1-Risk_of_Community_Member_being_Infected*Transmission_Risk_in_Community)^($G56*Contacts_During_Travel_to_Facility))</f>
        <v>0</v>
      </c>
      <c r="O56" s="77">
        <f>N56*(1-(Percent_Prevalence_at_End_of_Projection_Period-Percent_Prevalence_at_Beginning_of_Projection_Period))</f>
        <v>0</v>
      </c>
      <c r="P56" s="22">
        <f>$F56*$O56*HH_Size</f>
        <v>0</v>
      </c>
      <c r="Q56" s="23">
        <f>$F56*$O56*(HH_Children*Fatality_Rate_Child+HH_Adults*Fatality_Rate_Adult+HH_Over_60*Fatality_Rate_Over_60)</f>
        <v>0</v>
      </c>
      <c r="R56" s="79">
        <f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0</v>
      </c>
      <c r="S56" s="77">
        <f>R56*(1-(Percent_Prevalence_at_End_of_Projection_Period-Percent_Prevalence_at_Beginning_of_Projection_Period))</f>
        <v>0</v>
      </c>
      <c r="T56" s="22">
        <f>$F56*$S56*HH_Size</f>
        <v>0</v>
      </c>
      <c r="U56" s="23">
        <f>$F56*$S56*(HH_Children*Fatality_Rate_Child+HH_Adults*Fatality_Rate_Adult+HH_Over_60*Fatality_Rate_Over_60)</f>
        <v>0</v>
      </c>
      <c r="V56" s="79">
        <f>1-((1-Risk_of_Provider_Being_Infected*_xlfn.SINGLE(Transmission_Risk_Contact_Health_Care_Provider)*(1-$I56)))*(1-Risk_of_Community_Member_being_Infected*Transmission_Risk_in_Community)^($H56*Contacts_During_Travel_to_Facility)</f>
        <v>7.80308219178183e-5</v>
      </c>
      <c r="W56" s="77">
        <f>V56*(1-(Percent_Prevalence_at_End_of_Projection_Period-Percent_Prevalence_at_Beginning_of_Projection_Period))</f>
        <v>5.9823630136994e-5</v>
      </c>
      <c r="X56" s="22">
        <f>$F56*$W56*HH_Size</f>
        <v>2.14826655821946</v>
      </c>
      <c r="Y56" s="23">
        <f>$F56*$W56*(HH_Children*Fatality_Rate_Child+HH_Adults*Fatality_Rate_Adult+HH_Over_60*Fatality_Rate_Over_60)</f>
        <v>0.00418496306323513</v>
      </c>
      <c r="Z56" s="79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77">
        <f>Z56*(1-(Percent_Prevalence_at_End_of_Projection_Period-Percent_Prevalence_at_Beginning_of_Projection_Period))</f>
        <v>0</v>
      </c>
      <c r="AB56" s="22">
        <f>$F56*$AA56*HH_Size*Infection_Rate_within_HH</f>
        <v>0</v>
      </c>
      <c r="AC56" s="23">
        <f>$F56*$AA56*Infection_Rate_within_HH*(HH_Children*Fatality_Rate_Child+HH_Adults*Fatality_Rate_Adult+HH_Over_60*Fatality_Rate_Over_60)</f>
        <v>0</v>
      </c>
      <c r="AD56" s="94"/>
    </row>
    <row r="57" spans="1:30">
      <c r="A57" s="38"/>
      <c r="B57" s="58" t="s">
        <v>83</v>
      </c>
      <c r="C57" s="63" t="s">
        <v>84</v>
      </c>
      <c r="D57" s="62"/>
      <c r="E57" s="64" t="s">
        <v>85</v>
      </c>
      <c r="F57" s="22"/>
      <c r="G57" s="22"/>
      <c r="H57" s="23"/>
      <c r="I57" s="76"/>
      <c r="J57" s="77"/>
      <c r="K57" s="77"/>
      <c r="L57" s="22"/>
      <c r="M57" s="23"/>
      <c r="N57" s="79"/>
      <c r="O57" s="77"/>
      <c r="P57" s="22"/>
      <c r="Q57" s="23"/>
      <c r="R57" s="79"/>
      <c r="S57" s="77"/>
      <c r="T57" s="22"/>
      <c r="U57" s="23"/>
      <c r="V57" s="79">
        <f>1-((1-Risk_of_Provider_Being_Infected*_xlfn.SINGLE(Transmission_Risk_Contact_Health_Care_Provider)*(1-$I57)))*(1-Risk_of_Community_Member_being_Infected*Transmission_Risk_in_Community)^($H57*Contacts_During_Travel_to_Facility)</f>
        <v>0.000371575342465791</v>
      </c>
      <c r="W57" s="77"/>
      <c r="X57" s="22"/>
      <c r="Y57" s="23"/>
      <c r="Z57" s="79"/>
      <c r="AA57" s="77"/>
      <c r="AB57" s="22"/>
      <c r="AC57" s="23"/>
      <c r="AD57" s="94"/>
    </row>
    <row r="58" spans="1:30">
      <c r="A58" s="38" t="str">
        <f>IF(VLOOKUP(B58,'[1]1. Select Services'!$A$6:$E$77,5,FALSE)="x","x","")</f>
        <v>x</v>
      </c>
      <c r="B58" s="58">
        <v>43</v>
      </c>
      <c r="C58" s="58">
        <v>66</v>
      </c>
      <c r="D58" s="62"/>
      <c r="E58" s="65" t="s">
        <v>86</v>
      </c>
      <c r="F58" s="22">
        <f>IF(Chosen_Scenario="Mitigation Impact Only",VLOOKUP($B58,'[1]Coverage Review Updated'!$B$5:$T$78,18,FALSE),VLOOKUP($B58,'[1]Coverage Review Updated'!$B$5:$T$78,19,FALSE))</f>
        <v>0</v>
      </c>
      <c r="G58" s="22">
        <f>VLOOKUP($B58,'[1]7. Number of HW Contacts'!$B$4:$I$84,6,FALSE)</f>
        <v>1</v>
      </c>
      <c r="H58" s="23">
        <f>G58*(1-HLOOKUP($B58,'[1]3. Mitigation Impact on Coverag'!$BY$5:$EQ$7,3,FALSE))</f>
        <v>1</v>
      </c>
      <c r="I58" s="76">
        <f>HLOOKUP(B58,'[1]3. Mitigation Impact on Coverag'!ES$5:HK$7,3,FALSE)</f>
        <v>0.79</v>
      </c>
      <c r="J58" s="77">
        <f>1-((1-Risk_of_Provider_Being_Infected*_xlfn.SINGLE(Transmission_Risk_Contact_Health_Care_Provider))^(G58)*(1-Risk_of_Community_Member_being_Infected*Transmission_Risk_in_Community)^(G58*Contacts_During_Travel_to_Facility))</f>
        <v>0.00168886786312739</v>
      </c>
      <c r="K58" s="77">
        <f>J58*(1-(Percent_Prevalence_at_End_of_Projection_Period-Percent_Prevalence_at_Beginning_of_Projection_Period))</f>
        <v>0.00129479869506433</v>
      </c>
      <c r="L58" s="22">
        <f>$F58*$K58*HH_Size</f>
        <v>0</v>
      </c>
      <c r="M58" s="23">
        <f>$F58*$J58*(HH_Children*Fatality_Rate_Child+HH_Adults*Fatality_Rate_Adult+HH_Over_60*Fatality_Rate_Over_60)</f>
        <v>0</v>
      </c>
      <c r="N58" s="79">
        <f>1-((1-Risk_of_Provider_Being_Infected*_xlfn.SINGLE(Transmission_Risk_Contact_Health_Care_Provider)*(1-Reduction_in_Risk_PPE))^($G58)*(1-Risk_of_Community_Member_being_Infected*Transmission_Risk_in_Community)^($G58*Contacts_During_Travel_to_Facility))</f>
        <v>0.00165175929441719</v>
      </c>
      <c r="O58" s="77">
        <f>N58*(1-(Percent_Prevalence_at_End_of_Projection_Period-Percent_Prevalence_at_Beginning_of_Projection_Period))</f>
        <v>0.00126634879238651</v>
      </c>
      <c r="P58" s="22">
        <f>$F58*$O58*HH_Size</f>
        <v>0</v>
      </c>
      <c r="Q58" s="23">
        <f>$F58*$O58*(HH_Children*Fatality_Rate_Child+HH_Adults*Fatality_Rate_Adult+HH_Over_60*Fatality_Rate_Over_60)</f>
        <v>0</v>
      </c>
      <c r="R58" s="79">
        <f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0.0016183666091496</v>
      </c>
      <c r="S58" s="77">
        <f>R58*(1-(Percent_Prevalence_at_End_of_Projection_Period-Percent_Prevalence_at_Beginning_of_Projection_Period))</f>
        <v>0.00124074773368136</v>
      </c>
      <c r="T58" s="22">
        <f>$F58*$S58*HH_Size</f>
        <v>0</v>
      </c>
      <c r="U58" s="23">
        <f>$F58*$S58*(HH_Children*Fatality_Rate_Child+HH_Adults*Fatality_Rate_Adult+HH_Over_60*Fatality_Rate_Over_60)</f>
        <v>0</v>
      </c>
      <c r="V58" s="79">
        <f>1-((1-Risk_of_Provider_Being_Infected*_xlfn.SINGLE(Transmission_Risk_Contact_Health_Care_Provider)*(1-$I58)))*(1-Risk_of_Community_Member_being_Infected*Transmission_Risk_in_Community)^($H58*Contacts_During_Travel_to_Facility)</f>
        <v>0.00139571017031648</v>
      </c>
      <c r="W58" s="77">
        <f>V58*(1-(Percent_Prevalence_at_End_of_Projection_Period-Percent_Prevalence_at_Beginning_of_Projection_Period))</f>
        <v>0.0010700444639093</v>
      </c>
      <c r="X58" s="22">
        <f>$F58*$W58*HH_Size</f>
        <v>0</v>
      </c>
      <c r="Y58" s="23">
        <f>$F58*$W58*(HH_Children*Fatality_Rate_Child+HH_Adults*Fatality_Rate_Adult+HH_Over_60*Fatality_Rate_Over_60)</f>
        <v>0</v>
      </c>
      <c r="Z58" s="79">
        <f>1-((1-Risk_of_Provider_Being_Infected*Transmission_Risk_Contact_Health_Care_Provider*(1-$I58))^($H58)*(1-Risk_of_Community_Member_being_Infected*Transmission_Risk_in_Community)^($H58*Contacts_During_Travel_to_Facility))</f>
        <v>0.00139571017031648</v>
      </c>
      <c r="AA58" s="77">
        <f>Z58*(1-(Percent_Prevalence_at_End_of_Projection_Period-Percent_Prevalence_at_Beginning_of_Projection_Period))</f>
        <v>0.0010700444639093</v>
      </c>
      <c r="AB58" s="22">
        <f>$F58*$AA58*HH_Size*Infection_Rate_within_HH</f>
        <v>0</v>
      </c>
      <c r="AC58" s="23">
        <f>$F58*$AA58*Infection_Rate_within_HH*(HH_Children*Fatality_Rate_Child+HH_Adults*Fatality_Rate_Adult+HH_Over_60*Fatality_Rate_Over_60)</f>
        <v>0</v>
      </c>
      <c r="AD58" s="94"/>
    </row>
    <row r="59" spans="1:30">
      <c r="A59" s="38" t="str">
        <f>IF(VLOOKUP(B59,'[1]1. Select Services'!$A$6:$E$77,5,FALSE)="x","x","")</f>
        <v/>
      </c>
      <c r="B59" s="58">
        <v>44</v>
      </c>
      <c r="C59" s="58">
        <v>67</v>
      </c>
      <c r="D59" s="62"/>
      <c r="E59" s="65" t="s">
        <v>87</v>
      </c>
      <c r="F59" s="22">
        <f>IF(Chosen_Scenario="Mitigation Impact Only",VLOOKUP($B59,'[1]Coverage Review Updated'!$B$5:$T$78,18,FALSE),VLOOKUP($B59,'[1]Coverage Review Updated'!$B$5:$T$78,19,FALSE))</f>
        <v>0</v>
      </c>
      <c r="G59" s="22">
        <f>VLOOKUP($B59,'[1]7. Number of HW Contacts'!$B$4:$I$84,6,FALSE)</f>
        <v>28</v>
      </c>
      <c r="H59" s="23">
        <f>G59*(1-HLOOKUP($B59,'[1]3. Mitigation Impact on Coverag'!$BY$5:$EQ$7,3,FALSE))</f>
        <v>28</v>
      </c>
      <c r="I59" s="76">
        <f>HLOOKUP(B59,'[1]3. Mitigation Impact on Coverag'!ES$5:HK$7,3,FALSE)</f>
        <v>0.79</v>
      </c>
      <c r="J59" s="77">
        <f>1-((1-Risk_of_Provider_Being_Infected*_xlfn.SINGLE(Transmission_Risk_Contact_Health_Care_Provider))^(G59)*(1-Risk_of_Community_Member_being_Infected*Transmission_Risk_in_Community)^(G59*Contacts_During_Travel_to_Facility))</f>
        <v>0.0462257559830773</v>
      </c>
      <c r="K59" s="77">
        <f>J59*(1-(Percent_Prevalence_at_End_of_Projection_Period-Percent_Prevalence_at_Beginning_of_Projection_Period))</f>
        <v>0.0354397462536926</v>
      </c>
      <c r="L59" s="22">
        <f>$F59*$K59*HH_Size</f>
        <v>0</v>
      </c>
      <c r="M59" s="23">
        <f>$F59*$J59*(HH_Children*Fatality_Rate_Child+HH_Adults*Fatality_Rate_Adult+HH_Over_60*Fatality_Rate_Over_60)</f>
        <v>0</v>
      </c>
      <c r="N59" s="79">
        <f>1-((1-Risk_of_Provider_Being_Infected*_xlfn.SINGLE(Transmission_Risk_Contact_Health_Care_Provider)*(1-Reduction_in_Risk_PPE))^($G59)*(1-Risk_of_Community_Member_being_Infected*Transmission_Risk_in_Community)^($G59*Contacts_During_Travel_to_Facility))</f>
        <v>0.0452325716461843</v>
      </c>
      <c r="O59" s="77">
        <f>N59*(1-(Percent_Prevalence_at_End_of_Projection_Period-Percent_Prevalence_at_Beginning_of_Projection_Period))</f>
        <v>0.0346783049287413</v>
      </c>
      <c r="P59" s="22">
        <f>$F59*$O59*HH_Size</f>
        <v>0</v>
      </c>
      <c r="Q59" s="23">
        <f>$F59*$O59*(HH_Children*Fatality_Rate_Child+HH_Adults*Fatality_Rate_Adult+HH_Over_60*Fatality_Rate_Over_60)</f>
        <v>0</v>
      </c>
      <c r="R59" s="79">
        <f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0.044337987844089</v>
      </c>
      <c r="S59" s="77">
        <f>R59*(1-(Percent_Prevalence_at_End_of_Projection_Period-Percent_Prevalence_at_Beginning_of_Projection_Period))</f>
        <v>0.0339924573471349</v>
      </c>
      <c r="T59" s="22">
        <f>$F59*$S59*HH_Size</f>
        <v>0</v>
      </c>
      <c r="U59" s="23">
        <f>$F59*$S59*(HH_Children*Fatality_Rate_Child+HH_Adults*Fatality_Rate_Adult+HH_Over_60*Fatality_Rate_Over_60)</f>
        <v>0</v>
      </c>
      <c r="V59" s="79">
        <f>1-((1-Risk_of_Provider_Being_Infected*_xlfn.SINGLE(Transmission_Risk_Contact_Health_Care_Provider)*(1-$I59)))*(1-Risk_of_Community_Member_being_Infected*Transmission_Risk_in_Community)^($H59*Contacts_During_Travel_to_Facility)</f>
        <v>0.0363241227934877</v>
      </c>
      <c r="W59" s="77">
        <f>V59*(1-(Percent_Prevalence_at_End_of_Projection_Period-Percent_Prevalence_at_Beginning_of_Projection_Period))</f>
        <v>0.0278484941416739</v>
      </c>
      <c r="X59" s="22">
        <f>$F59*$W59*HH_Size</f>
        <v>0</v>
      </c>
      <c r="Y59" s="23">
        <f>$F59*$W59*(HH_Children*Fatality_Rate_Child+HH_Adults*Fatality_Rate_Adult+HH_Over_60*Fatality_Rate_Over_60)</f>
        <v>0</v>
      </c>
      <c r="Z59" s="79">
        <f>1-((1-Risk_of_Provider_Being_Infected*Transmission_Risk_Contact_Health_Care_Provider*(1-$I59))^($H59)*(1-Risk_of_Community_Member_being_Infected*Transmission_Risk_in_Community)^($H59*Contacts_During_Travel_to_Facility))</f>
        <v>0.0383523679515138</v>
      </c>
      <c r="AA59" s="77">
        <f>Z59*(1-(Percent_Prevalence_at_End_of_Projection_Period-Percent_Prevalence_at_Beginning_of_Projection_Period))</f>
        <v>0.0294034820961605</v>
      </c>
      <c r="AB59" s="22">
        <f>$F59*$AA59*HH_Size*Infection_Rate_within_HH</f>
        <v>0</v>
      </c>
      <c r="AC59" s="23">
        <f>$F59*$AA59*Infection_Rate_within_HH*(HH_Children*Fatality_Rate_Child+HH_Adults*Fatality_Rate_Adult+HH_Over_60*Fatality_Rate_Over_60)</f>
        <v>0</v>
      </c>
      <c r="AD59" s="94"/>
    </row>
    <row r="60" spans="1:30">
      <c r="A60" s="38"/>
      <c r="B60" s="58" t="s">
        <v>88</v>
      </c>
      <c r="C60" s="63" t="s">
        <v>89</v>
      </c>
      <c r="D60" s="62"/>
      <c r="E60" s="64" t="s">
        <v>90</v>
      </c>
      <c r="F60" s="22"/>
      <c r="G60" s="22"/>
      <c r="H60" s="23"/>
      <c r="I60" s="76"/>
      <c r="J60" s="77"/>
      <c r="K60" s="77"/>
      <c r="L60" s="22"/>
      <c r="M60" s="23"/>
      <c r="N60" s="79"/>
      <c r="O60" s="77"/>
      <c r="P60" s="22"/>
      <c r="Q60" s="23"/>
      <c r="R60" s="79"/>
      <c r="S60" s="77"/>
      <c r="T60" s="22"/>
      <c r="U60" s="23"/>
      <c r="V60" s="79">
        <f>1-((1-Risk_of_Provider_Being_Infected*_xlfn.SINGLE(Transmission_Risk_Contact_Health_Care_Provider)*(1-$I60)))*(1-Risk_of_Community_Member_being_Infected*Transmission_Risk_in_Community)^($H60*Contacts_During_Travel_to_Facility)</f>
        <v>0.000371575342465791</v>
      </c>
      <c r="W60" s="77"/>
      <c r="X60" s="22"/>
      <c r="Y60" s="23"/>
      <c r="Z60" s="79"/>
      <c r="AA60" s="77"/>
      <c r="AB60" s="22"/>
      <c r="AC60" s="23"/>
      <c r="AD60" s="94"/>
    </row>
    <row r="61" spans="1:30">
      <c r="A61" s="38" t="str">
        <f>IF(VLOOKUP(B61,'[1]1. Select Services'!$A$6:$E$77,5,FALSE)="x","x","")</f>
        <v>x</v>
      </c>
      <c r="B61" s="58">
        <v>45</v>
      </c>
      <c r="C61" s="58">
        <v>68</v>
      </c>
      <c r="D61" s="62"/>
      <c r="E61" s="65" t="s">
        <v>91</v>
      </c>
      <c r="F61" s="22">
        <f>IF(Chosen_Scenario="Mitigation Impact Only",VLOOKUP($B61,'[1]Coverage Review Updated'!$B$5:$T$78,18,FALSE),VLOOKUP($B61,'[1]Coverage Review Updated'!$B$5:$T$78,19,FALSE))</f>
        <v>0</v>
      </c>
      <c r="G61" s="22">
        <f>VLOOKUP($B61,'[1]7. Number of HW Contacts'!$B$4:$I$84,6,FALSE)</f>
        <v>1</v>
      </c>
      <c r="H61" s="23">
        <f>G61*(1-HLOOKUP($B61,'[1]3. Mitigation Impact on Coverag'!$BY$5:$EQ$7,3,FALSE))</f>
        <v>1</v>
      </c>
      <c r="I61" s="76">
        <f>HLOOKUP(B61,'[1]3. Mitigation Impact on Coverag'!ES$5:HK$7,3,FALSE)</f>
        <v>0.79</v>
      </c>
      <c r="J61" s="77">
        <f>1-((1-Risk_of_Provider_Being_Infected*_xlfn.SINGLE(Transmission_Risk_Contact_Health_Care_Provider))^(G61)*(1-Risk_of_Community_Member_being_Infected*Transmission_Risk_in_Community)^(G61*Contacts_During_Travel_to_Facility))</f>
        <v>0.00168886786312739</v>
      </c>
      <c r="K61" s="77">
        <f>J61*(1-(Percent_Prevalence_at_End_of_Projection_Period-Percent_Prevalence_at_Beginning_of_Projection_Period))</f>
        <v>0.00129479869506433</v>
      </c>
      <c r="L61" s="22">
        <f>$F61*$K61*HH_Size</f>
        <v>0</v>
      </c>
      <c r="M61" s="23">
        <f>$F61*$J61*(HH_Children*Fatality_Rate_Child+HH_Adults*Fatality_Rate_Adult+HH_Over_60*Fatality_Rate_Over_60)</f>
        <v>0</v>
      </c>
      <c r="N61" s="79">
        <f>1-((1-Risk_of_Provider_Being_Infected*_xlfn.SINGLE(Transmission_Risk_Contact_Health_Care_Provider)*(1-Reduction_in_Risk_PPE))^($G61)*(1-Risk_of_Community_Member_being_Infected*Transmission_Risk_in_Community)^($G61*Contacts_During_Travel_to_Facility))</f>
        <v>0.00165175929441719</v>
      </c>
      <c r="O61" s="77">
        <f>N61*(1-(Percent_Prevalence_at_End_of_Projection_Period-Percent_Prevalence_at_Beginning_of_Projection_Period))</f>
        <v>0.00126634879238651</v>
      </c>
      <c r="P61" s="22">
        <f>$F61*$O61*HH_Size</f>
        <v>0</v>
      </c>
      <c r="Q61" s="23">
        <f>$F61*$O61*(HH_Children*Fatality_Rate_Child+HH_Adults*Fatality_Rate_Adult+HH_Over_60*Fatality_Rate_Over_60)</f>
        <v>0</v>
      </c>
      <c r="R61" s="79">
        <f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0.0016183666091496</v>
      </c>
      <c r="S61" s="77">
        <f>R61*(1-(Percent_Prevalence_at_End_of_Projection_Period-Percent_Prevalence_at_Beginning_of_Projection_Period))</f>
        <v>0.00124074773368136</v>
      </c>
      <c r="T61" s="22">
        <f>$F61*$S61*HH_Size</f>
        <v>0</v>
      </c>
      <c r="U61" s="23">
        <f>$F61*$S61*(HH_Children*Fatality_Rate_Child+HH_Adults*Fatality_Rate_Adult+HH_Over_60*Fatality_Rate_Over_60)</f>
        <v>0</v>
      </c>
      <c r="V61" s="79">
        <f>1-((1-Risk_of_Provider_Being_Infected*_xlfn.SINGLE(Transmission_Risk_Contact_Health_Care_Provider)*(1-$I61)))*(1-Risk_of_Community_Member_being_Infected*Transmission_Risk_in_Community)^($H61*Contacts_During_Travel_to_Facility)</f>
        <v>0.00139571017031648</v>
      </c>
      <c r="W61" s="77">
        <f>V61*(1-(Percent_Prevalence_at_End_of_Projection_Period-Percent_Prevalence_at_Beginning_of_Projection_Period))</f>
        <v>0.0010700444639093</v>
      </c>
      <c r="X61" s="22">
        <f>$F61*$W61*HH_Size</f>
        <v>0</v>
      </c>
      <c r="Y61" s="23">
        <f>$F61*$W61*(HH_Children*Fatality_Rate_Child+HH_Adults*Fatality_Rate_Adult+HH_Over_60*Fatality_Rate_Over_60)</f>
        <v>0</v>
      </c>
      <c r="Z61" s="79">
        <f>1-((1-Risk_of_Provider_Being_Infected*Transmission_Risk_Contact_Health_Care_Provider*(1-$I61))^($H61)*(1-Risk_of_Community_Member_being_Infected*Transmission_Risk_in_Community)^($H61*Contacts_During_Travel_to_Facility))</f>
        <v>0.00139571017031648</v>
      </c>
      <c r="AA61" s="77">
        <f>Z61*(1-(Percent_Prevalence_at_End_of_Projection_Period-Percent_Prevalence_at_Beginning_of_Projection_Period))</f>
        <v>0.0010700444639093</v>
      </c>
      <c r="AB61" s="22">
        <f>$F61*$AA61*HH_Size*Infection_Rate_within_HH</f>
        <v>0</v>
      </c>
      <c r="AC61" s="23">
        <f>$F61*$AA61*Infection_Rate_within_HH*(HH_Children*Fatality_Rate_Child+HH_Adults*Fatality_Rate_Adult+HH_Over_60*Fatality_Rate_Over_60)</f>
        <v>0</v>
      </c>
      <c r="AD61" s="94"/>
    </row>
    <row r="62" spans="1:30">
      <c r="A62" s="38" t="str">
        <f>IF(VLOOKUP(B62,'[1]1. Select Services'!$A$6:$E$77,5,FALSE)="x","x","")</f>
        <v>x</v>
      </c>
      <c r="B62" s="58">
        <v>46</v>
      </c>
      <c r="C62" s="58">
        <v>69</v>
      </c>
      <c r="D62" s="62"/>
      <c r="E62" s="65" t="s">
        <v>92</v>
      </c>
      <c r="F62" s="22">
        <f>IF(Chosen_Scenario="Mitigation Impact Only",VLOOKUP($B62,'[1]Coverage Review Updated'!$B$5:$T$78,18,FALSE),VLOOKUP($B62,'[1]Coverage Review Updated'!$B$5:$T$78,19,FALSE))</f>
        <v>32200</v>
      </c>
      <c r="G62" s="22">
        <f>VLOOKUP($B62,'[1]7. Number of HW Contacts'!$B$4:$I$84,6,FALSE)</f>
        <v>1</v>
      </c>
      <c r="H62" s="23">
        <f>G62*(1-HLOOKUP($B62,'[1]3. Mitigation Impact on Coverag'!$BY$5:$EQ$7,3,FALSE))</f>
        <v>1</v>
      </c>
      <c r="I62" s="76">
        <f>HLOOKUP(B62,'[1]3. Mitigation Impact on Coverag'!ES$5:HK$7,3,FALSE)</f>
        <v>0.79</v>
      </c>
      <c r="J62" s="77">
        <f>1-((1-Risk_of_Provider_Being_Infected*_xlfn.SINGLE(Transmission_Risk_Contact_Health_Care_Provider))^(G62)*(1-Risk_of_Community_Member_being_Infected*Transmission_Risk_in_Community)^(G62*Contacts_During_Travel_to_Facility))</f>
        <v>0.00168886786312739</v>
      </c>
      <c r="K62" s="77">
        <f>J62*(1-(Percent_Prevalence_at_End_of_Projection_Period-Percent_Prevalence_at_Beginning_of_Projection_Period))</f>
        <v>0.00129479869506433</v>
      </c>
      <c r="L62" s="22">
        <f>$F62*$K62*HH_Size</f>
        <v>262.66286328075</v>
      </c>
      <c r="M62" s="23">
        <f>$F62*$J62*(HH_Children*Fatality_Rate_Child+HH_Adults*Fatality_Rate_Adult+HH_Over_60*Fatality_Rate_Over_60)</f>
        <v>0.667414371656443</v>
      </c>
      <c r="N62" s="79">
        <f>1-((1-Risk_of_Provider_Being_Infected*_xlfn.SINGLE(Transmission_Risk_Contact_Health_Care_Provider)*(1-Reduction_in_Risk_PPE))^($G62)*(1-Risk_of_Community_Member_being_Infected*Transmission_Risk_in_Community)^($G62*Contacts_During_Travel_to_Facility))</f>
        <v>0.00165175929441719</v>
      </c>
      <c r="O62" s="77">
        <f>N62*(1-(Percent_Prevalence_at_End_of_Projection_Period-Percent_Prevalence_at_Beginning_of_Projection_Period))</f>
        <v>0.00126634879238651</v>
      </c>
      <c r="P62" s="22">
        <f>$F62*$O62*HH_Size</f>
        <v>256.891516023528</v>
      </c>
      <c r="Q62" s="23">
        <f>$F62*$O62*(HH_Children*Fatality_Rate_Child+HH_Adults*Fatality_Rate_Adult+HH_Over_60*Fatality_Rate_Over_60)</f>
        <v>0.500441391550589</v>
      </c>
      <c r="R62" s="79">
        <f>1-((1-Risk_of_Provider_Being_Infected*_xlfn.SINGLE(Transmission_Risk_Contact_Health_Care_Provider)*(1-Reduction_in_Risk_PPE))^($G62*(1-Reduction_in_Risk_TS)))*(1-Risk_of_Community_Member_being_Infected*Transmission_Risk_in_Community)^($G62*Contacts_During_Travel_to_Facility)</f>
        <v>0.0016183666091496</v>
      </c>
      <c r="S62" s="77">
        <f>R62*(1-(Percent_Prevalence_at_End_of_Projection_Period-Percent_Prevalence_at_Beginning_of_Projection_Period))</f>
        <v>0.00124074773368136</v>
      </c>
      <c r="T62" s="22">
        <f>$F62*$S62*HH_Size</f>
        <v>251.698085254601</v>
      </c>
      <c r="U62" s="23">
        <f>$F62*$S62*(HH_Children*Fatality_Rate_Child+HH_Adults*Fatality_Rate_Adult+HH_Over_60*Fatality_Rate_Over_60)</f>
        <v>0.490324250427543</v>
      </c>
      <c r="V62" s="79">
        <f>1-((1-Risk_of_Provider_Being_Infected*_xlfn.SINGLE(Transmission_Risk_Contact_Health_Care_Provider)*(1-$I62)))*(1-Risk_of_Community_Member_being_Infected*Transmission_Risk_in_Community)^($H62*Contacts_During_Travel_to_Facility)</f>
        <v>0.00139571017031648</v>
      </c>
      <c r="W62" s="77">
        <f>V62*(1-(Percent_Prevalence_at_End_of_Projection_Period-Percent_Prevalence_at_Beginning_of_Projection_Period))</f>
        <v>0.0010700444639093</v>
      </c>
      <c r="X62" s="22">
        <f>$F62*$W62*HH_Size</f>
        <v>217.06921994864</v>
      </c>
      <c r="Y62" s="23">
        <f>$F62*$W62*(HH_Children*Fatality_Rate_Child+HH_Adults*Fatality_Rate_Adult+HH_Over_60*Fatality_Rate_Over_60)</f>
        <v>0.422864967186964</v>
      </c>
      <c r="Z62" s="79">
        <f>1-((1-Risk_of_Provider_Being_Infected*Transmission_Risk_Contact_Health_Care_Provider*(1-$I62))^($H62)*(1-Risk_of_Community_Member_being_Infected*Transmission_Risk_in_Community)^($H62*Contacts_During_Travel_to_Facility))</f>
        <v>0.00139571017031648</v>
      </c>
      <c r="AA62" s="77">
        <f>Z62*(1-(Percent_Prevalence_at_End_of_Projection_Period-Percent_Prevalence_at_Beginning_of_Projection_Period))</f>
        <v>0.0010700444639093</v>
      </c>
      <c r="AB62" s="22">
        <f>$F62*$AA62*HH_Size*Infection_Rate_within_HH</f>
        <v>195.362297953776</v>
      </c>
      <c r="AC62" s="23">
        <f>$F62*$AA62*Infection_Rate_within_HH*(HH_Children*Fatality_Rate_Child+HH_Adults*Fatality_Rate_Adult+HH_Over_60*Fatality_Rate_Over_60)</f>
        <v>0.380578470468268</v>
      </c>
      <c r="AD62" s="94"/>
    </row>
    <row r="63" spans="1:30">
      <c r="A63" s="38" t="str">
        <f>IF(VLOOKUP(B63,'[1]1. Select Services'!$A$6:$E$77,5,FALSE)="x","x","")</f>
        <v/>
      </c>
      <c r="B63" s="58">
        <v>47</v>
      </c>
      <c r="C63" s="58">
        <v>70</v>
      </c>
      <c r="D63" s="62"/>
      <c r="E63" s="65" t="s">
        <v>93</v>
      </c>
      <c r="F63" s="22">
        <f>IF(Chosen_Scenario="Mitigation Impact Only",VLOOKUP($B63,'[1]Coverage Review Updated'!$B$5:$T$78,18,FALSE),VLOOKUP($B63,'[1]Coverage Review Updated'!$B$5:$T$78,19,FALSE))</f>
        <v>0</v>
      </c>
      <c r="G63" s="22">
        <f>VLOOKUP($B63,'[1]7. Number of HW Contacts'!$B$4:$I$84,6,FALSE)</f>
        <v>56</v>
      </c>
      <c r="H63" s="23">
        <f>G63*(1-HLOOKUP($B63,'[1]3. Mitigation Impact on Coverag'!$BY$5:$EQ$7,3,FALSE))</f>
        <v>56</v>
      </c>
      <c r="I63" s="76">
        <f>HLOOKUP(B63,'[1]3. Mitigation Impact on Coverag'!ES$5:HK$7,3,FALSE)</f>
        <v>0.79</v>
      </c>
      <c r="J63" s="77">
        <f>1-((1-Risk_of_Provider_Being_Infected*_xlfn.SINGLE(Transmission_Risk_Contact_Health_Care_Provider))^(G63)*(1-Risk_of_Community_Member_being_Infected*Transmission_Risk_in_Community)^(G63*Contacts_During_Travel_to_Facility))</f>
        <v>0.0903146914499476</v>
      </c>
      <c r="K63" s="77">
        <f>J63*(1-(Percent_Prevalence_at_End_of_Projection_Period-Percent_Prevalence_at_Beginning_of_Projection_Period))</f>
        <v>0.0692412634449598</v>
      </c>
      <c r="L63" s="22">
        <f>$F63*$K63*HH_Size</f>
        <v>0</v>
      </c>
      <c r="M63" s="23">
        <f>$F63*$J63*(HH_Children*Fatality_Rate_Child+HH_Adults*Fatality_Rate_Adult+HH_Over_60*Fatality_Rate_Over_60)</f>
        <v>0</v>
      </c>
      <c r="N63" s="79">
        <f>1-((1-Risk_of_Provider_Being_Infected*_xlfn.SINGLE(Transmission_Risk_Contact_Health_Care_Provider)*(1-Reduction_in_Risk_PPE))^($G63)*(1-Risk_of_Community_Member_being_Infected*Transmission_Risk_in_Community)^($G63*Contacts_During_Travel_to_Facility))</f>
        <v>0.0884191577546414</v>
      </c>
      <c r="O63" s="77">
        <f>N63*(1-(Percent_Prevalence_at_End_of_Projection_Period-Percent_Prevalence_at_Beginning_of_Projection_Period))</f>
        <v>0.0677880209452251</v>
      </c>
      <c r="P63" s="22">
        <f>$F63*$O63*HH_Size</f>
        <v>0</v>
      </c>
      <c r="Q63" s="23">
        <f>$F63*$O63*(HH_Children*Fatality_Rate_Child+HH_Adults*Fatality_Rate_Adult+HH_Over_60*Fatality_Rate_Over_60)</f>
        <v>0</v>
      </c>
      <c r="R63" s="79">
        <f>1-((1-Risk_of_Provider_Being_Infected*_xlfn.SINGLE(Transmission_Risk_Contact_Health_Care_Provider)*(1-Reduction_in_Risk_PPE))^($G63*(1-Reduction_in_Risk_TS)))*(1-Risk_of_Community_Member_being_Infected*Transmission_Risk_in_Community)^($G63*Contacts_During_Travel_to_Facility)</f>
        <v>0.0867101185221156</v>
      </c>
      <c r="S63" s="77">
        <f>R63*(1-(Percent_Prevalence_at_End_of_Projection_Period-Percent_Prevalence_at_Beginning_of_Projection_Period))</f>
        <v>0.066477757533622</v>
      </c>
      <c r="T63" s="22">
        <f>$F63*$S63*HH_Size</f>
        <v>0</v>
      </c>
      <c r="U63" s="23">
        <f>$F63*$S63*(HH_Children*Fatality_Rate_Child+HH_Adults*Fatality_Rate_Adult+HH_Over_60*Fatality_Rate_Over_60)</f>
        <v>0</v>
      </c>
      <c r="V63" s="79">
        <f>1-((1-Risk_of_Provider_Being_Infected*_xlfn.SINGLE(Transmission_Risk_Contact_Health_Care_Provider)*(1-$I63)))*(1-Risk_of_Community_Member_being_Infected*Transmission_Risk_in_Community)^($H63*Contacts_During_Travel_to_Facility)</f>
        <v>0.0712563330585768</v>
      </c>
      <c r="W63" s="77">
        <f>V63*(1-(Percent_Prevalence_at_End_of_Projection_Period-Percent_Prevalence_at_Beginning_of_Projection_Period))</f>
        <v>0.0546298553449089</v>
      </c>
      <c r="X63" s="22">
        <f>$F63*$W63*HH_Size</f>
        <v>0</v>
      </c>
      <c r="Y63" s="23">
        <f>$F63*$W63*(HH_Children*Fatality_Rate_Child+HH_Adults*Fatality_Rate_Adult+HH_Over_60*Fatality_Rate_Over_60)</f>
        <v>0</v>
      </c>
      <c r="Z63" s="79">
        <f>1-((1-Risk_of_Provider_Being_Infected*Transmission_Risk_Contact_Health_Care_Provider*(1-$I63))^($H63)*(1-Risk_of_Community_Member_being_Infected*Transmission_Risk_in_Community)^($H63*Contacts_During_Travel_to_Facility))</f>
        <v>0.0752338317755392</v>
      </c>
      <c r="AA63" s="77">
        <f>Z63*(1-(Percent_Prevalence_at_End_of_Projection_Period-Percent_Prevalence_at_Beginning_of_Projection_Period))</f>
        <v>0.0576792710279134</v>
      </c>
      <c r="AB63" s="22">
        <f>$F63*$AA63*HH_Size*Infection_Rate_within_HH</f>
        <v>0</v>
      </c>
      <c r="AC63" s="23">
        <f>$F63*$AA63*Infection_Rate_within_HH*(HH_Children*Fatality_Rate_Child+HH_Adults*Fatality_Rate_Adult+HH_Over_60*Fatality_Rate_Over_60)</f>
        <v>0</v>
      </c>
      <c r="AD63" s="94"/>
    </row>
    <row r="64" spans="1:30">
      <c r="A64" s="38" t="str">
        <f>IF(VLOOKUP(B64,'[1]1. Select Services'!$A$6:$E$77,5,FALSE)="x","x","")</f>
        <v>x</v>
      </c>
      <c r="B64" s="66">
        <v>48</v>
      </c>
      <c r="C64" s="66">
        <v>44</v>
      </c>
      <c r="D64" s="67" t="s">
        <v>32</v>
      </c>
      <c r="E64" s="68" t="s">
        <v>94</v>
      </c>
      <c r="F64" s="22">
        <f>IF(Chosen_Scenario="Mitigation Impact Only",VLOOKUP($B64,'[1]Coverage Review Updated'!$B$5:$T$78,18,FALSE),VLOOKUP($B64,'[1]Coverage Review Updated'!$B$5:$T$78,19,FALSE))</f>
        <v>17300</v>
      </c>
      <c r="G64" s="22">
        <f>VLOOKUP($B64,'[1]7. Number of HW Contacts'!$B$4:$I$84,6,FALSE)</f>
        <v>2</v>
      </c>
      <c r="H64" s="23">
        <f>G64*(1-HLOOKUP($B64,'[1]3. Mitigation Impact on Coverag'!$BY$5:$EQ$7,3,FALSE))</f>
        <v>2</v>
      </c>
      <c r="I64" s="76">
        <f>HLOOKUP(B64,'[1]3. Mitigation Impact on Coverag'!ES$5:HK$7,3,FALSE)</f>
        <v>0.87</v>
      </c>
      <c r="J64" s="77">
        <f>1-((1-Risk_of_Provider_Being_Infected*_xlfn.SINGLE(Transmission_Risk_Contact_Health_Care_Provider))^(G64)*(1-Risk_of_Community_Member_being_Infected*Transmission_Risk_in_Community)^(G64*Contacts_During_Travel_to_Facility))</f>
        <v>0.00337488345159576</v>
      </c>
      <c r="K64" s="77">
        <f>J64*(1-(Percent_Prevalence_at_End_of_Projection_Period-Percent_Prevalence_at_Beginning_of_Projection_Period))</f>
        <v>0.00258741064622341</v>
      </c>
      <c r="L64" s="22">
        <f>$F64*$K64*HH_Size</f>
        <v>282.00188633189</v>
      </c>
      <c r="M64" s="23">
        <f>$F64*$J64*(HH_Children*Fatality_Rate_Child+HH_Adults*Fatality_Rate_Adult+HH_Over_60*Fatality_Rate_Over_60)</f>
        <v>0.716553948362915</v>
      </c>
      <c r="N64" s="79">
        <f>1-((1-Risk_of_Provider_Being_Infected*_xlfn.SINGLE(Transmission_Risk_Contact_Health_Care_Provider)*(1-Reduction_in_Risk_PPE))^($G64)*(1-Risk_of_Community_Member_being_Infected*Transmission_Risk_in_Community)^($G64*Contacts_During_Travel_to_Facility))</f>
        <v>0.00330079028006769</v>
      </c>
      <c r="O64" s="77">
        <f>N64*(1-(Percent_Prevalence_at_End_of_Projection_Period-Percent_Prevalence_at_Beginning_of_Projection_Period))</f>
        <v>0.00253060588138523</v>
      </c>
      <c r="P64" s="22">
        <f>$F64*$O64*HH_Size</f>
        <v>275.810735012176</v>
      </c>
      <c r="Q64" s="23">
        <f>$F64*$O64*(HH_Children*Fatality_Rate_Child+HH_Adults*Fatality_Rate_Adult+HH_Over_60*Fatality_Rate_Over_60)</f>
        <v>0.537297261391235</v>
      </c>
      <c r="R64" s="79">
        <f>1-((1-Risk_of_Provider_Being_Infected*_xlfn.SINGLE(Transmission_Risk_Contact_Health_Care_Provider)*(1-Reduction_in_Risk_PPE))^($G64*(1-Reduction_in_Risk_TS)))*(1-Risk_of_Community_Member_being_Infected*Transmission_Risk_in_Community)^($G64*Contacts_During_Travel_to_Facility)</f>
        <v>0.00323411410781771</v>
      </c>
      <c r="S64" s="77">
        <f>R64*(1-(Percent_Prevalence_at_End_of_Projection_Period-Percent_Prevalence_at_Beginning_of_Projection_Period))</f>
        <v>0.00247948748266024</v>
      </c>
      <c r="T64" s="22">
        <f>$F64*$S64*HH_Size</f>
        <v>270.23934073514</v>
      </c>
      <c r="U64" s="23">
        <f>$F64*$S64*(HH_Children*Fatality_Rate_Child+HH_Adults*Fatality_Rate_Adult+HH_Over_60*Fatality_Rate_Over_60)</f>
        <v>0.526443822756767</v>
      </c>
      <c r="V64" s="79">
        <f>1-((1-Risk_of_Provider_Being_Infected*_xlfn.SINGLE(Transmission_Risk_Contact_Health_Care_Provider)*(1-$I64)))*(1-Risk_of_Community_Member_being_Infected*Transmission_Risk_in_Community)^($H64*Contacts_During_Travel_to_Facility)</f>
        <v>0.00268200537019636</v>
      </c>
      <c r="W64" s="77">
        <f>V64*(1-(Percent_Prevalence_at_End_of_Projection_Period-Percent_Prevalence_at_Beginning_of_Projection_Period))</f>
        <v>0.00205620411715054</v>
      </c>
      <c r="X64" s="22">
        <f>$F64*$W64*HH_Size</f>
        <v>224.105686728238</v>
      </c>
      <c r="Y64" s="23">
        <f>$F64*$W64*(HH_Children*Fatality_Rate_Child+HH_Adults*Fatality_Rate_Adult+HH_Over_60*Fatality_Rate_Over_60)</f>
        <v>0.43657246240241</v>
      </c>
      <c r="Z64" s="79">
        <f>1-((1-Risk_of_Provider_Being_Infected*Transmission_Risk_Contact_Health_Care_Provider*(1-$I64))^($H64)*(1-Risk_of_Community_Member_being_Infected*Transmission_Risk_in_Community)^($H64*Contacts_During_Travel_to_Facility))</f>
        <v>0.00273018061099861</v>
      </c>
      <c r="AA64" s="77">
        <f>Z64*(1-(Percent_Prevalence_at_End_of_Projection_Period-Percent_Prevalence_at_Beginning_of_Projection_Period))</f>
        <v>0.00209313846843227</v>
      </c>
      <c r="AB64" s="22">
        <f>$F64*$AA64*HH_Size*Infection_Rate_within_HH</f>
        <v>205.31804550699</v>
      </c>
      <c r="AC64" s="23">
        <f>$F64*$AA64*Infection_Rate_within_HH*(HH_Children*Fatality_Rate_Child+HH_Adults*Fatality_Rate_Adult+HH_Over_60*Fatality_Rate_Over_60)</f>
        <v>0.399972914615657</v>
      </c>
      <c r="AD64" s="98"/>
    </row>
    <row r="65" spans="1:30">
      <c r="A65" s="38" t="str">
        <f>IF(VLOOKUP(B65,'[1]1. Select Services'!$A$6:$E$77,5,FALSE)="x","x","")</f>
        <v>x</v>
      </c>
      <c r="B65" s="99">
        <v>49</v>
      </c>
      <c r="C65" s="99">
        <v>45</v>
      </c>
      <c r="D65" s="67"/>
      <c r="E65" s="100" t="s">
        <v>95</v>
      </c>
      <c r="F65" s="22">
        <f>IF(Chosen_Scenario="Mitigation Impact Only",VLOOKUP($B65,'[1]Coverage Review Updated'!$B$5:$T$78,18,FALSE),VLOOKUP($B65,'[1]Coverage Review Updated'!$B$5:$T$78,19,FALSE))</f>
        <v>32100</v>
      </c>
      <c r="G65" s="22">
        <f>VLOOKUP($B65,'[1]7. Number of HW Contacts'!$B$4:$I$84,6,FALSE)</f>
        <v>4</v>
      </c>
      <c r="H65" s="23">
        <f>G65*(1-HLOOKUP($B65,'[1]3. Mitigation Impact on Coverag'!$BY$5:$EQ$7,3,FALSE))</f>
        <v>4</v>
      </c>
      <c r="I65" s="76">
        <f>HLOOKUP(B65,'[1]3. Mitigation Impact on Coverag'!ES$5:HK$7,3,FALSE)</f>
        <v>0.87</v>
      </c>
      <c r="J65" s="77">
        <f>1-((1-Risk_of_Provider_Being_Infected*_xlfn.SINGLE(Transmission_Risk_Contact_Health_Care_Provider))^(G65)*(1-Risk_of_Community_Member_being_Infected*Transmission_Risk_in_Community)^(G65*Contacts_During_Travel_to_Facility))</f>
        <v>0.00673837706487967</v>
      </c>
      <c r="K65" s="77">
        <f>J65*(1-(Percent_Prevalence_at_End_of_Projection_Period-Percent_Prevalence_at_Beginning_of_Projection_Period))</f>
        <v>0.00516608908307442</v>
      </c>
      <c r="L65" s="22">
        <f>$F65*$K65*HH_Size</f>
        <v>1044.73819527014</v>
      </c>
      <c r="M65" s="23">
        <f>$F65*$J65*(HH_Children*Fatality_Rate_Child+HH_Adults*Fatality_Rate_Adult+HH_Over_60*Fatality_Rate_Over_60)</f>
        <v>2.65463216776259</v>
      </c>
      <c r="N65" s="79">
        <f>1-((1-Risk_of_Provider_Being_Infected*_xlfn.SINGLE(Transmission_Risk_Contact_Health_Care_Provider)*(1-Reduction_in_Risk_PPE))^($G65)*(1-Risk_of_Community_Member_being_Infected*Transmission_Risk_in_Community)^($G65*Contacts_During_Travel_to_Facility))</f>
        <v>0.00659068534366247</v>
      </c>
      <c r="O65" s="77">
        <f>N65*(1-(Percent_Prevalence_at_End_of_Projection_Period-Percent_Prevalence_at_Beginning_of_Projection_Period))</f>
        <v>0.00505285876347456</v>
      </c>
      <c r="P65" s="22">
        <f>$F65*$O65*HH_Size</f>
        <v>1021.83962773746</v>
      </c>
      <c r="Q65" s="23">
        <f>$F65*$O65*(HH_Children*Fatality_Rate_Child+HH_Adults*Fatality_Rate_Adult+HH_Over_60*Fatality_Rate_Over_60)</f>
        <v>1.99061009550676</v>
      </c>
      <c r="R65" s="79">
        <f>1-((1-Risk_of_Provider_Being_Infected*_xlfn.SINGLE(Transmission_Risk_Contact_Health_Care_Provider)*(1-Reduction_in_Risk_PPE))^($G65*(1-Reduction_in_Risk_TS)))*(1-Risk_of_Community_Member_being_Infected*Transmission_Risk_in_Community)^($G65*Contacts_During_Travel_to_Facility)</f>
        <v>0.00645776872157322</v>
      </c>
      <c r="S65" s="77">
        <f>R65*(1-(Percent_Prevalence_at_End_of_Projection_Period-Percent_Prevalence_at_Beginning_of_Projection_Period))</f>
        <v>0.0049509560198728</v>
      </c>
      <c r="T65" s="22">
        <f>$F65*$S65*HH_Size</f>
        <v>1001.23183589888</v>
      </c>
      <c r="U65" s="23">
        <f>$F65*$S65*(HH_Children*Fatality_Rate_Child+HH_Adults*Fatality_Rate_Adult+HH_Over_60*Fatality_Rate_Over_60)</f>
        <v>1.95046477586319</v>
      </c>
      <c r="V65" s="79">
        <f>1-((1-Risk_of_Provider_Being_Infected*_xlfn.SINGLE(Transmission_Risk_Contact_Health_Care_Provider)*(1-$I65)))*(1-Risk_of_Community_Member_being_Infected*Transmission_Risk_in_Community)^($H65*Contacts_During_Travel_to_Facility)</f>
        <v>0.00530876923207335</v>
      </c>
      <c r="W65" s="77">
        <f>V65*(1-(Percent_Prevalence_at_End_of_Projection_Period-Percent_Prevalence_at_Beginning_of_Projection_Period))</f>
        <v>0.00407005641125624</v>
      </c>
      <c r="X65" s="22">
        <f>$F65*$W65*HH_Size</f>
        <v>823.087508048349</v>
      </c>
      <c r="Y65" s="23">
        <f>$F65*$W65*(HH_Children*Fatality_Rate_Child+HH_Adults*Fatality_Rate_Adult+HH_Over_60*Fatality_Rate_Over_60)</f>
        <v>1.60342803169061</v>
      </c>
      <c r="Z65" s="79">
        <f>1-((1-Risk_of_Provider_Being_Infected*Transmission_Risk_Contact_Health_Care_Provider*(1-$I65))^($H65)*(1-Risk_of_Community_Member_being_Infected*Transmission_Risk_in_Community)^($H65*Contacts_During_Travel_to_Facility))</f>
        <v>0.00545290733582859</v>
      </c>
      <c r="AA65" s="77">
        <f>Z65*(1-(Percent_Prevalence_at_End_of_Projection_Period-Percent_Prevalence_at_Beginning_of_Projection_Period))</f>
        <v>0.00418056229080192</v>
      </c>
      <c r="AB65" s="22">
        <f>$F65*$AA65*HH_Size*Infection_Rate_within_HH</f>
        <v>760.891600861985</v>
      </c>
      <c r="AC65" s="23">
        <f>$F65*$AA65*Infection_Rate_within_HH*(HH_Children*Fatality_Rate_Child+HH_Adults*Fatality_Rate_Adult+HH_Over_60*Fatality_Rate_Over_60)</f>
        <v>1.48226635682143</v>
      </c>
      <c r="AD65" s="94"/>
    </row>
    <row r="66" spans="1:30">
      <c r="A66" s="38" t="str">
        <f>IF(VLOOKUP(B66,'[1]1. Select Services'!$A$6:$E$77,5,FALSE)="x","x","")</f>
        <v>x</v>
      </c>
      <c r="B66" s="99">
        <v>50</v>
      </c>
      <c r="C66" s="99">
        <v>46</v>
      </c>
      <c r="D66" s="67"/>
      <c r="E66" s="100" t="s">
        <v>96</v>
      </c>
      <c r="F66" s="22">
        <f>IF(Chosen_Scenario="Mitigation Impact Only",VLOOKUP($B66,'[1]Coverage Review Updated'!$B$5:$T$78,18,FALSE),VLOOKUP($B66,'[1]Coverage Review Updated'!$B$5:$T$78,19,FALSE))</f>
        <v>70800</v>
      </c>
      <c r="G66" s="22">
        <f>VLOOKUP($B66,'[1]7. Number of HW Contacts'!$B$4:$I$84,6,FALSE)</f>
        <v>4</v>
      </c>
      <c r="H66" s="23">
        <f>G66*(1-HLOOKUP($B66,'[1]3. Mitigation Impact on Coverag'!$BY$5:$EQ$7,3,FALSE))</f>
        <v>4</v>
      </c>
      <c r="I66" s="76">
        <f>HLOOKUP(B66,'[1]3. Mitigation Impact on Coverag'!ES$5:HK$7,3,FALSE)</f>
        <v>0.87</v>
      </c>
      <c r="J66" s="77">
        <f>1-((1-Risk_of_Provider_Being_Infected*_xlfn.SINGLE(Transmission_Risk_Contact_Health_Care_Provider))^(G66)*(1-Risk_of_Community_Member_being_Infected*Transmission_Risk_in_Community)^(G66*Contacts_During_Travel_to_Facility))</f>
        <v>0.00673837706487967</v>
      </c>
      <c r="K66" s="77">
        <f>J66*(1-(Percent_Prevalence_at_End_of_Projection_Period-Percent_Prevalence_at_Beginning_of_Projection_Period))</f>
        <v>0.00516608908307442</v>
      </c>
      <c r="L66" s="22">
        <f>$F66*$K66*HH_Size</f>
        <v>2304.28237461451</v>
      </c>
      <c r="M66" s="23">
        <f>$F66*$J66*(HH_Children*Fatality_Rate_Child+HH_Adults*Fatality_Rate_Adult+HH_Over_60*Fatality_Rate_Over_60)</f>
        <v>5.85507655693432</v>
      </c>
      <c r="N66" s="79">
        <f>1-((1-Risk_of_Provider_Being_Infected*_xlfn.SINGLE(Transmission_Risk_Contact_Health_Care_Provider)*(1-Reduction_in_Risk_PPE))^($G66)*(1-Risk_of_Community_Member_being_Infected*Transmission_Risk_in_Community)^($G66*Contacts_During_Travel_to_Facility))</f>
        <v>0.00659068534366247</v>
      </c>
      <c r="O66" s="77">
        <f>N66*(1-(Percent_Prevalence_at_End_of_Projection_Period-Percent_Prevalence_at_Beginning_of_Projection_Period))</f>
        <v>0.00505285876347456</v>
      </c>
      <c r="P66" s="22">
        <f>$F66*$O66*HH_Size</f>
        <v>2253.77712286019</v>
      </c>
      <c r="Q66" s="23">
        <f>$F66*$O66*(HH_Children*Fatality_Rate_Child+HH_Adults*Fatality_Rate_Adult+HH_Over_60*Fatality_Rate_Over_60)</f>
        <v>4.39050450971584</v>
      </c>
      <c r="R66" s="79">
        <f>1-((1-Risk_of_Provider_Being_Infected*_xlfn.SINGLE(Transmission_Risk_Contact_Health_Care_Provider)*(1-Reduction_in_Risk_PPE))^($G66*(1-Reduction_in_Risk_TS)))*(1-Risk_of_Community_Member_being_Infected*Transmission_Risk_in_Community)^($G66*Contacts_During_Travel_to_Facility)</f>
        <v>0.00645776872157322</v>
      </c>
      <c r="S66" s="77">
        <f>R66*(1-(Percent_Prevalence_at_End_of_Projection_Period-Percent_Prevalence_at_Beginning_of_Projection_Period))</f>
        <v>0.0049509560198728</v>
      </c>
      <c r="T66" s="22">
        <f>$F66*$S66*HH_Size</f>
        <v>2208.32442310406</v>
      </c>
      <c r="U66" s="23">
        <f>$F66*$S66*(HH_Children*Fatality_Rate_Child+HH_Adults*Fatality_Rate_Adult+HH_Over_60*Fatality_Rate_Over_60)</f>
        <v>4.30195969255806</v>
      </c>
      <c r="V66" s="79">
        <f>1-((1-Risk_of_Provider_Being_Infected*_xlfn.SINGLE(Transmission_Risk_Contact_Health_Care_Provider)*(1-$I66)))*(1-Risk_of_Community_Member_being_Infected*Transmission_Risk_in_Community)^($H66*Contacts_During_Travel_to_Facility)</f>
        <v>0.00530876923207335</v>
      </c>
      <c r="W66" s="77">
        <f>V66*(1-(Percent_Prevalence_at_End_of_Projection_Period-Percent_Prevalence_at_Beginning_of_Projection_Period))</f>
        <v>0.00407005641125624</v>
      </c>
      <c r="X66" s="22">
        <f>$F66*$W66*HH_Size</f>
        <v>1815.40796167673</v>
      </c>
      <c r="Y66" s="23">
        <f>$F66*$W66*(HH_Children*Fatality_Rate_Child+HH_Adults*Fatality_Rate_Adult+HH_Over_60*Fatality_Rate_Over_60)</f>
        <v>3.53653285494378</v>
      </c>
      <c r="Z66" s="79">
        <f>1-((1-Risk_of_Provider_Being_Infected*Transmission_Risk_Contact_Health_Care_Provider*(1-$I66))^($H66)*(1-Risk_of_Community_Member_being_Infected*Transmission_Risk_in_Community)^($H66*Contacts_During_Travel_to_Facility))</f>
        <v>0.00545290733582859</v>
      </c>
      <c r="AA66" s="77">
        <f>Z66*(1-(Percent_Prevalence_at_End_of_Projection_Period-Percent_Prevalence_at_Beginning_of_Projection_Period))</f>
        <v>0.00418056229080192</v>
      </c>
      <c r="AB66" s="22">
        <f>$F66*$AA66*HH_Size*Infection_Rate_within_HH</f>
        <v>1678.22820377036</v>
      </c>
      <c r="AC66" s="23">
        <f>$F66*$AA66*Infection_Rate_within_HH*(HH_Children*Fatality_Rate_Child+HH_Adults*Fatality_Rate_Adult+HH_Over_60*Fatality_Rate_Over_60)</f>
        <v>3.26929775897062</v>
      </c>
      <c r="AD66" s="94"/>
    </row>
    <row r="67" spans="1:30">
      <c r="A67" s="38" t="str">
        <f>IF(VLOOKUP(B67,'[1]1. Select Services'!$A$6:$E$77,5,FALSE)="x","x","")</f>
        <v>x</v>
      </c>
      <c r="B67" s="101">
        <v>51</v>
      </c>
      <c r="C67" s="101">
        <v>55</v>
      </c>
      <c r="D67" s="102" t="s">
        <v>33</v>
      </c>
      <c r="E67" s="103" t="s">
        <v>97</v>
      </c>
      <c r="F67" s="83">
        <f>IF(Chosen_Scenario="Mitigation Impact Only",VLOOKUP($B67,'[1]Coverage Review Updated'!$B$5:$T$78,18,FALSE),VLOOKUP($B67,'[1]Coverage Review Updated'!$B$5:$T$78,19,FALSE))</f>
        <v>275500</v>
      </c>
      <c r="G67" s="83">
        <f>VLOOKUP($B67,'[1]7. Number of HW Contacts'!$B$4:$I$84,6,FALSE)</f>
        <v>1</v>
      </c>
      <c r="H67" s="84">
        <f>G67*(1-HLOOKUP($B67,'[1]3. Mitigation Impact on Coverag'!$BY$5:$EQ$7,3,FALSE))</f>
        <v>0.9</v>
      </c>
      <c r="I67" s="122">
        <f>HLOOKUP(B67,'[1]3. Mitigation Impact on Coverag'!ES$5:HK$7,3,FALSE)</f>
        <v>0.87</v>
      </c>
      <c r="J67" s="82">
        <f>1-((1-Risk_of_Provider_Being_Infected*_xlfn.SINGLE(Transmission_Risk_Contact_Health_Care_Provider))^(2*$G67)*(1-Risk_of_Community_Member_being_Infected*Transmission_Risk_in_Community)^(2*$G67*Contacts_During_Travel_to_Facility))</f>
        <v>0.00337488345159576</v>
      </c>
      <c r="K67" s="82">
        <f>J67*(1-(Percent_Prevalence_at_End_of_Projection_Period-Percent_Prevalence_at_Beginning_of_Projection_Period))</f>
        <v>0.00258741064622341</v>
      </c>
      <c r="L67" s="83">
        <f>$F67*$K67*HH_Size</f>
        <v>4490.83928811767</v>
      </c>
      <c r="M67" s="84">
        <f>$F67*$J67*(HH_Children*Fatality_Rate_Child+HH_Adults*Fatality_Rate_Adult+HH_Over_60*Fatality_Rate_Over_60)</f>
        <v>11.411018079421</v>
      </c>
      <c r="N67" s="85">
        <f>1-((1-Risk_of_Provider_Being_Infected*_xlfn.SINGLE(Transmission_Risk_Contact_Health_Care_Provider)*(1-Reduction_in_Risk_PPE))^(2*$G67)*(1-Risk_of_Community_Member_being_Infected*Transmission_Risk_in_Community)^(2*$G67*Contacts_During_Travel_to_Facility))</f>
        <v>0.00330079028006769</v>
      </c>
      <c r="O67" s="82">
        <f>N67*(1-(Percent_Prevalence_at_End_of_Projection_Period-Percent_Prevalence_at_Beginning_of_Projection_Period))</f>
        <v>0.00253060588138523</v>
      </c>
      <c r="P67" s="83">
        <f>$F67*$O67*HH_Size</f>
        <v>4392.24609802627</v>
      </c>
      <c r="Q67" s="84">
        <f>$F67*$O67*(HH_Children*Fatality_Rate_Child+HH_Adults*Fatality_Rate_Adult+HH_Over_60*Fatality_Rate_Over_60)</f>
        <v>8.55638124354251</v>
      </c>
      <c r="R67" s="85">
        <f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0.00323411410781771</v>
      </c>
      <c r="S67" s="82">
        <f>R67*(1-(Percent_Prevalence_at_End_of_Projection_Period-Percent_Prevalence_at_Beginning_of_Projection_Period))</f>
        <v>0.00247948748266024</v>
      </c>
      <c r="T67" s="83">
        <f>$F67*$S67*HH_Size</f>
        <v>4303.52244927925</v>
      </c>
      <c r="U67" s="84">
        <f>$F67*$S67*(HH_Children*Fatality_Rate_Child+HH_Adults*Fatality_Rate_Adult+HH_Over_60*Fatality_Rate_Over_60)</f>
        <v>8.38354180170458</v>
      </c>
      <c r="V67" s="85">
        <f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0.00291117393336704</v>
      </c>
      <c r="W67" s="82">
        <f>V67*(1-(Percent_Prevalence_at_End_of_Projection_Period-Percent_Prevalence_at_Beginning_of_Projection_Period))</f>
        <v>0.0022319000155814</v>
      </c>
      <c r="X67" s="83">
        <f>$F67*$W67*HH_Size</f>
        <v>3873.79726204385</v>
      </c>
      <c r="Y67" s="84">
        <f>$F67*$W67*(HH_Children*Fatality_Rate_Child+HH_Adults*Fatality_Rate_Adult+HH_Over_60*Fatality_Rate_Over_60)</f>
        <v>7.54640917072768</v>
      </c>
      <c r="Z67" s="85">
        <f>1-((1-Risk_of_Provider_Being_Infected*Transmission_Risk_Contact_Health_Care_Provider*(1-$I67))^(2*$G67)*(1-Risk_of_Community_Member_being_Infected*Transmission_Risk_in_Community)^(2*$G67*Contacts_During_Travel_to_Facility))</f>
        <v>0.00273018061099861</v>
      </c>
      <c r="AA67" s="82">
        <f>Z67*(1-(Percent_Prevalence_at_End_of_Projection_Period-Percent_Prevalence_at_Beginning_of_Projection_Period))</f>
        <v>0.00209313846843227</v>
      </c>
      <c r="AB67" s="83">
        <f>$F67*$AA67*HH_Size*Infection_Rate_within_HH</f>
        <v>3269.66020446102</v>
      </c>
      <c r="AC67" s="84">
        <f>$F67*$AA67*Infection_Rate_within_HH*(HH_Children*Fatality_Rate_Child+HH_Adults*Fatality_Rate_Adult+HH_Over_60*Fatality_Rate_Over_60)</f>
        <v>6.3695108657002</v>
      </c>
      <c r="AD67" s="94" t="s">
        <v>98</v>
      </c>
    </row>
    <row r="68" spans="1:30">
      <c r="A68" s="38" t="str">
        <f>IF(VLOOKUP(B68,'[1]1. Select Services'!$A$6:$E$77,5,FALSE)="x","x","")</f>
        <v>x</v>
      </c>
      <c r="B68" s="101">
        <v>52</v>
      </c>
      <c r="C68" s="101">
        <v>56</v>
      </c>
      <c r="D68" s="102"/>
      <c r="E68" s="103" t="s">
        <v>99</v>
      </c>
      <c r="F68" s="83">
        <f>IF(Chosen_Scenario="Mitigation Impact Only",VLOOKUP($B68,'[1]Coverage Review Updated'!$B$5:$T$78,18,FALSE),VLOOKUP($B68,'[1]Coverage Review Updated'!$B$5:$T$78,19,FALSE))</f>
        <v>239000</v>
      </c>
      <c r="G68" s="83">
        <f>VLOOKUP($B68,'[1]7. Number of HW Contacts'!$B$4:$I$84,6,FALSE)</f>
        <v>3</v>
      </c>
      <c r="H68" s="84">
        <f>G68*(1-HLOOKUP($B68,'[1]3. Mitigation Impact on Coverag'!$BY$5:$EQ$7,3,FALSE))</f>
        <v>2.7</v>
      </c>
      <c r="I68" s="122">
        <f>HLOOKUP(B68,'[1]3. Mitigation Impact on Coverag'!ES$5:HK$7,3,FALSE)</f>
        <v>0.87</v>
      </c>
      <c r="J68" s="82">
        <f>1-((1-Risk_of_Provider_Being_Infected*_xlfn.SINGLE(Transmission_Risk_Contact_Health_Care_Provider))^(2*$G68)*(1-Risk_of_Community_Member_being_Infected*Transmission_Risk_in_Community)^(2*$G68*Contacts_During_Travel_to_Facility))</f>
        <v>0.0100905192792287</v>
      </c>
      <c r="K68" s="82">
        <f>J68*(1-(Percent_Prevalence_at_End_of_Projection_Period-Percent_Prevalence_at_Beginning_of_Projection_Period))</f>
        <v>0.00773606478074197</v>
      </c>
      <c r="L68" s="83">
        <f>$F68*$K68*HH_Size</f>
        <v>11648.1927403632</v>
      </c>
      <c r="M68" s="84">
        <f>$F68*$J68*(HH_Children*Fatality_Rate_Child+HH_Adults*Fatality_Rate_Adult+HH_Over_60*Fatality_Rate_Over_60)</f>
        <v>29.5975271937592</v>
      </c>
      <c r="N68" s="85">
        <f>1-((1-Risk_of_Provider_Being_Infected*_xlfn.SINGLE(Transmission_Risk_Contact_Health_Care_Provider)*(1-Reduction_in_Risk_PPE))^(2*$G68)*(1-Risk_of_Community_Member_being_Infected*Transmission_Risk_in_Community)^(2*$G68*Contacts_During_Travel_to_Facility))</f>
        <v>0.00986972115360873</v>
      </c>
      <c r="O68" s="82">
        <f>N68*(1-(Percent_Prevalence_at_End_of_Projection_Period-Percent_Prevalence_at_Beginning_of_Projection_Period))</f>
        <v>0.0075667862177667</v>
      </c>
      <c r="P68" s="83">
        <f>$F68*$O68*HH_Size</f>
        <v>11393.3100080913</v>
      </c>
      <c r="Q68" s="84">
        <f>$F68*$O68*(HH_Children*Fatality_Rate_Child+HH_Adults*Fatality_Rate_Adult+HH_Over_60*Fatality_Rate_Over_60)</f>
        <v>22.1949093651434</v>
      </c>
      <c r="R68" s="85">
        <f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0.00967099766846335</v>
      </c>
      <c r="S68" s="82">
        <f>R68*(1-(Percent_Prevalence_at_End_of_Projection_Period-Percent_Prevalence_at_Beginning_of_Projection_Period))</f>
        <v>0.00741443154582191</v>
      </c>
      <c r="T68" s="83">
        <f>$F68*$S68*HH_Size</f>
        <v>11163.909578544</v>
      </c>
      <c r="U68" s="84">
        <f>$F68*$S68*(HH_Children*Fatality_Rate_Child+HH_Adults*Fatality_Rate_Adult+HH_Over_60*Fatality_Rate_Over_60)</f>
        <v>21.748022399151</v>
      </c>
      <c r="V68" s="85">
        <f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0.00870812167109636</v>
      </c>
      <c r="W68" s="82">
        <f>V68*(1-(Percent_Prevalence_at_End_of_Projection_Period-Percent_Prevalence_at_Beginning_of_Projection_Period))</f>
        <v>0.00667622661450721</v>
      </c>
      <c r="X68" s="83">
        <f>$F68*$W68*HH_Size</f>
        <v>10052.3944134635</v>
      </c>
      <c r="Y68" s="84">
        <f>$F68*$W68*(HH_Children*Fatality_Rate_Child+HH_Adults*Fatality_Rate_Adult+HH_Over_60*Fatality_Rate_Over_60)</f>
        <v>19.5827185208729</v>
      </c>
      <c r="Z68" s="85">
        <f>1-((1-Risk_of_Provider_Being_Infected*Transmission_Risk_Contact_Health_Care_Provider*(1-$I68))^(2*$G68)*(1-Risk_of_Community_Member_being_Infected*Transmission_Risk_in_Community)^(2*$G68*Contacts_During_Travel_to_Facility))</f>
        <v>0.00816820052494527</v>
      </c>
      <c r="AA68" s="82">
        <f>Z68*(1-(Percent_Prevalence_at_End_of_Projection_Period-Percent_Prevalence_at_Beginning_of_Projection_Period))</f>
        <v>0.00626228706912471</v>
      </c>
      <c r="AB68" s="83">
        <f>$F68*$AA68*HH_Size*Infection_Rate_within_HH</f>
        <v>8486.21307598296</v>
      </c>
      <c r="AC68" s="84">
        <f>$F68*$AA68*Infection_Rate_within_HH*(HH_Children*Fatality_Rate_Child+HH_Adults*Fatality_Rate_Adult+HH_Over_60*Fatality_Rate_Over_60)</f>
        <v>16.5316953493737</v>
      </c>
      <c r="AD68" s="94" t="s">
        <v>98</v>
      </c>
    </row>
    <row r="69" spans="1:30">
      <c r="A69" s="38"/>
      <c r="B69" s="101"/>
      <c r="C69" s="101"/>
      <c r="D69" s="102"/>
      <c r="E69" s="104" t="s">
        <v>100</v>
      </c>
      <c r="F69" s="83"/>
      <c r="G69" s="83"/>
      <c r="H69" s="84"/>
      <c r="I69" s="122"/>
      <c r="J69" s="82"/>
      <c r="K69" s="82"/>
      <c r="L69" s="83"/>
      <c r="M69" s="84"/>
      <c r="N69" s="85"/>
      <c r="O69" s="82"/>
      <c r="P69" s="83"/>
      <c r="Q69" s="84"/>
      <c r="R69" s="85"/>
      <c r="S69" s="82"/>
      <c r="T69" s="83"/>
      <c r="U69" s="84"/>
      <c r="V69" s="85"/>
      <c r="W69" s="82"/>
      <c r="X69" s="83"/>
      <c r="Y69" s="84"/>
      <c r="Z69" s="85"/>
      <c r="AA69" s="82"/>
      <c r="AB69" s="83"/>
      <c r="AC69" s="84"/>
      <c r="AD69" s="94"/>
    </row>
    <row r="70" spans="1:30">
      <c r="A70" s="38" t="str">
        <f>IF(VLOOKUP(B70,'[1]1. Select Services'!$A$6:$E$77,5,FALSE)="x","x","")</f>
        <v>x</v>
      </c>
      <c r="B70" s="101">
        <v>53</v>
      </c>
      <c r="C70" s="101">
        <v>57</v>
      </c>
      <c r="D70" s="102"/>
      <c r="E70" s="103" t="s">
        <v>101</v>
      </c>
      <c r="F70" s="83">
        <f>IF(Chosen_Scenario="Mitigation Impact Only",VLOOKUP($B70,'[1]Coverage Review Updated'!$B$5:$T$78,18,FALSE),VLOOKUP($B70,'[1]Coverage Review Updated'!$B$5:$T$78,19,FALSE))</f>
        <v>236200</v>
      </c>
      <c r="G70" s="83">
        <f>VLOOKUP($B70,'[1]7. Number of HW Contacts'!$B$4:$I$84,6,FALSE)</f>
        <v>3</v>
      </c>
      <c r="H70" s="84">
        <f>G70*(1-HLOOKUP($B70,'[1]3. Mitigation Impact on Coverag'!$BY$5:$EQ$7,3,FALSE))</f>
        <v>2.7</v>
      </c>
      <c r="I70" s="122">
        <f>HLOOKUP(B70,'[1]3. Mitigation Impact on Coverag'!ES$5:HK$7,3,FALSE)</f>
        <v>0.87</v>
      </c>
      <c r="J70" s="82">
        <f>1-((1-Risk_of_Provider_Being_Infected*_xlfn.SINGLE(Transmission_Risk_Contact_Health_Care_Provider))^(2*$G70)*(1-Risk_of_Community_Member_being_Infected*Transmission_Risk_in_Community)^(2*$G70*Contacts_During_Travel_to_Facility))</f>
        <v>0.0100905192792287</v>
      </c>
      <c r="K70" s="82">
        <f>J70*(1-(Percent_Prevalence_at_End_of_Projection_Period-Percent_Prevalence_at_Beginning_of_Projection_Period))</f>
        <v>0.00773606478074197</v>
      </c>
      <c r="L70" s="83">
        <f>$F70*$K70*HH_Size</f>
        <v>11511.7285576309</v>
      </c>
      <c r="M70" s="84">
        <f>$F70*$J70*(HH_Children*Fatality_Rate_Child+HH_Adults*Fatality_Rate_Adult+HH_Over_60*Fatality_Rate_Over_60)</f>
        <v>29.2507779211963</v>
      </c>
      <c r="N70" s="85">
        <f>1-((1-Risk_of_Provider_Being_Infected*_xlfn.SINGLE(Transmission_Risk_Contact_Health_Care_Provider)*(1-Reduction_in_Risk_PPE))^(2*$G70)*(1-Risk_of_Community_Member_being_Infected*Transmission_Risk_in_Community)^(2*$G70*Contacts_During_Travel_to_Facility))</f>
        <v>0.00986972115360873</v>
      </c>
      <c r="O70" s="82">
        <f>N70*(1-(Percent_Prevalence_at_End_of_Projection_Period-Percent_Prevalence_at_Beginning_of_Projection_Period))</f>
        <v>0.0075667862177667</v>
      </c>
      <c r="P70" s="83">
        <f>$F70*$O70*HH_Size</f>
        <v>11259.8318992099</v>
      </c>
      <c r="Q70" s="84">
        <f>$F70*$O70*(HH_Children*Fatality_Rate_Child+HH_Adults*Fatality_Rate_Adult+HH_Over_60*Fatality_Rate_Over_60)</f>
        <v>21.9348853223718</v>
      </c>
      <c r="R70" s="85">
        <f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0.00967099766846335</v>
      </c>
      <c r="S70" s="82">
        <f>R70*(1-(Percent_Prevalence_at_End_of_Projection_Period-Percent_Prevalence_at_Beginning_of_Projection_Period))</f>
        <v>0.00741443154582191</v>
      </c>
      <c r="T70" s="83">
        <f>$F70*$S70*HH_Size</f>
        <v>11033.1190060757</v>
      </c>
      <c r="U70" s="84">
        <f>$F70*$S70*(HH_Children*Fatality_Rate_Child+HH_Adults*Fatality_Rate_Adult+HH_Over_60*Fatality_Rate_Over_60)</f>
        <v>21.4932338522153</v>
      </c>
      <c r="V70" s="85">
        <f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0.00870812167109636</v>
      </c>
      <c r="W70" s="82">
        <f>V70*(1-(Percent_Prevalence_at_End_of_Projection_Period-Percent_Prevalence_at_Beginning_of_Projection_Period))</f>
        <v>0.00667622661450721</v>
      </c>
      <c r="X70" s="83">
        <f>$F70*$W70*HH_Size</f>
        <v>9934.6257759836</v>
      </c>
      <c r="Y70" s="84">
        <f>$F70*$W70*(HH_Children*Fatality_Rate_Child+HH_Adults*Fatality_Rate_Adult+HH_Over_60*Fatality_Rate_Over_60)</f>
        <v>19.3532975507538</v>
      </c>
      <c r="Z70" s="85">
        <f>1-((1-Risk_of_Provider_Being_Infected*Transmission_Risk_Contact_Health_Care_Provider*(1-$I70))^(2*$G70)*(1-Risk_of_Community_Member_being_Infected*Transmission_Risk_in_Community)^(2*$G70*Contacts_During_Travel_to_Facility))</f>
        <v>0.00816820052494527</v>
      </c>
      <c r="AA70" s="82">
        <f>Z70*(1-(Percent_Prevalence_at_End_of_Projection_Period-Percent_Prevalence_at_Beginning_of_Projection_Period))</f>
        <v>0.00626228706912471</v>
      </c>
      <c r="AB70" s="83">
        <f>$F70*$AA70*HH_Size*Infection_Rate_within_HH</f>
        <v>8386.79300647354</v>
      </c>
      <c r="AC70" s="84">
        <f>$F70*$AA70*Infection_Rate_within_HH*(HH_Children*Fatality_Rate_Child+HH_Adults*Fatality_Rate_Adult+HH_Over_60*Fatality_Rate_Over_60)</f>
        <v>16.3380185837744</v>
      </c>
      <c r="AD70" s="94" t="s">
        <v>98</v>
      </c>
    </row>
    <row r="71" spans="1:30">
      <c r="A71" s="38" t="str">
        <f>IF(VLOOKUP(B71,'[1]1. Select Services'!$A$6:$E$77,5,FALSE)="x","x","")</f>
        <v>x</v>
      </c>
      <c r="B71" s="101">
        <v>54</v>
      </c>
      <c r="C71" s="101">
        <v>58</v>
      </c>
      <c r="D71" s="102"/>
      <c r="E71" s="103" t="s">
        <v>102</v>
      </c>
      <c r="F71" s="83">
        <f>IF(Chosen_Scenario="Mitigation Impact Only",VLOOKUP($B71,'[1]Coverage Review Updated'!$B$5:$T$78,18,FALSE),VLOOKUP($B71,'[1]Coverage Review Updated'!$B$5:$T$78,19,FALSE))</f>
        <v>236200</v>
      </c>
      <c r="G71" s="83">
        <f>VLOOKUP($B71,'[1]7. Number of HW Contacts'!$B$4:$I$84,6,FALSE)</f>
        <v>3</v>
      </c>
      <c r="H71" s="84">
        <f>G71*(1-HLOOKUP($B71,'[1]3. Mitigation Impact on Coverag'!$BY$5:$EQ$7,3,FALSE))</f>
        <v>2.7</v>
      </c>
      <c r="I71" s="122">
        <f>HLOOKUP(B71,'[1]3. Mitigation Impact on Coverag'!ES$5:HK$7,3,FALSE)</f>
        <v>0.87</v>
      </c>
      <c r="J71" s="82">
        <f>1-((1-Risk_of_Provider_Being_Infected*_xlfn.SINGLE(Transmission_Risk_Contact_Health_Care_Provider))^(2*$G71)*(1-Risk_of_Community_Member_being_Infected*Transmission_Risk_in_Community)^(2*$G71*Contacts_During_Travel_to_Facility))</f>
        <v>0.0100905192792287</v>
      </c>
      <c r="K71" s="82">
        <f>J71*(1-(Percent_Prevalence_at_End_of_Projection_Period-Percent_Prevalence_at_Beginning_of_Projection_Period))</f>
        <v>0.00773606478074197</v>
      </c>
      <c r="L71" s="83">
        <f>$F71*$K71*HH_Size</f>
        <v>11511.7285576309</v>
      </c>
      <c r="M71" s="84">
        <f>$F71*$J71*(HH_Children*Fatality_Rate_Child+HH_Adults*Fatality_Rate_Adult+HH_Over_60*Fatality_Rate_Over_60)</f>
        <v>29.2507779211963</v>
      </c>
      <c r="N71" s="85">
        <f>1-((1-Risk_of_Provider_Being_Infected*_xlfn.SINGLE(Transmission_Risk_Contact_Health_Care_Provider)*(1-Reduction_in_Risk_PPE))^(2*$G71)*(1-Risk_of_Community_Member_being_Infected*Transmission_Risk_in_Community)^(2*$G71*Contacts_During_Travel_to_Facility))</f>
        <v>0.00986972115360873</v>
      </c>
      <c r="O71" s="82">
        <f>N71*(1-(Percent_Prevalence_at_End_of_Projection_Period-Percent_Prevalence_at_Beginning_of_Projection_Period))</f>
        <v>0.0075667862177667</v>
      </c>
      <c r="P71" s="83">
        <f>$F71*$O71*HH_Size</f>
        <v>11259.8318992099</v>
      </c>
      <c r="Q71" s="84">
        <f>$F71*$O71*(HH_Children*Fatality_Rate_Child+HH_Adults*Fatality_Rate_Adult+HH_Over_60*Fatality_Rate_Over_60)</f>
        <v>21.9348853223718</v>
      </c>
      <c r="R71" s="85">
        <f>1-((1-Risk_of_Provider_Being_Infected*_xlfn.SINGLE(Transmission_Risk_Contact_Health_Care_Provider)*(1-Reduction_in_Risk_PPE))^(2*$G71*(1-Reduction_in_Risk_TS)))*(1-Risk_of_Community_Member_being_Infected*Transmission_Risk_in_Community)^(2*$G71*Contacts_During_Travel_to_Facility)</f>
        <v>0.00967099766846335</v>
      </c>
      <c r="S71" s="82">
        <f>R71*(1-(Percent_Prevalence_at_End_of_Projection_Period-Percent_Prevalence_at_Beginning_of_Projection_Period))</f>
        <v>0.00741443154582191</v>
      </c>
      <c r="T71" s="83">
        <f>$F71*$S71*HH_Size</f>
        <v>11033.1190060757</v>
      </c>
      <c r="U71" s="84">
        <f>$F71*$S71*(HH_Children*Fatality_Rate_Child+HH_Adults*Fatality_Rate_Adult+HH_Over_60*Fatality_Rate_Over_60)</f>
        <v>21.4932338522153</v>
      </c>
      <c r="V71" s="85">
        <f>1-((1-Risk_of_Provider_Being_Infected*_xlfn.SINGLE(Transmission_Risk_Contact_Health_Care_Provider)*(1-Reduction_in_Risk_PPE))^(2*$H71*(1-Reduction_in_Risk_TS)))*(1-Risk_of_Community_Member_being_Infected*Transmission_Risk_in_Community)^(2*$H71*Contacts_During_Travel_to_Facility)</f>
        <v>0.00870812167109636</v>
      </c>
      <c r="W71" s="82">
        <f>V71*(1-(Percent_Prevalence_at_End_of_Projection_Period-Percent_Prevalence_at_Beginning_of_Projection_Period))</f>
        <v>0.00667622661450721</v>
      </c>
      <c r="X71" s="83">
        <f>$F71*$W71*HH_Size</f>
        <v>9934.6257759836</v>
      </c>
      <c r="Y71" s="84">
        <f>$F71*$W71*(HH_Children*Fatality_Rate_Child+HH_Adults*Fatality_Rate_Adult+HH_Over_60*Fatality_Rate_Over_60)</f>
        <v>19.3532975507538</v>
      </c>
      <c r="Z71" s="85">
        <f>1-((1-Risk_of_Provider_Being_Infected*Transmission_Risk_Contact_Health_Care_Provider*(1-$I71))^(2*$G71)*(1-Risk_of_Community_Member_being_Infected*Transmission_Risk_in_Community)^(2*$G71*Contacts_During_Travel_to_Facility))</f>
        <v>0.00816820052494527</v>
      </c>
      <c r="AA71" s="82">
        <f>Z71*(1-(Percent_Prevalence_at_End_of_Projection_Period-Percent_Prevalence_at_Beginning_of_Projection_Period))</f>
        <v>0.00626228706912471</v>
      </c>
      <c r="AB71" s="83">
        <f>$F71*$AA71*HH_Size*Infection_Rate_within_HH</f>
        <v>8386.79300647354</v>
      </c>
      <c r="AC71" s="84">
        <f>$F71*$AA71*Infection_Rate_within_HH*(HH_Children*Fatality_Rate_Child+HH_Adults*Fatality_Rate_Adult+HH_Over_60*Fatality_Rate_Over_60)</f>
        <v>16.3380185837744</v>
      </c>
      <c r="AD71" s="94" t="s">
        <v>98</v>
      </c>
    </row>
    <row r="72" spans="1:30">
      <c r="A72" s="38" t="str">
        <f>IF(VLOOKUP(B72,'[1]1. Select Services'!$A$6:$E$77,5,FALSE)="x","x","")</f>
        <v>x</v>
      </c>
      <c r="B72" s="101">
        <v>55</v>
      </c>
      <c r="C72" s="101">
        <v>59</v>
      </c>
      <c r="D72" s="102"/>
      <c r="E72" s="103" t="s">
        <v>103</v>
      </c>
      <c r="F72" s="83">
        <f>IF(Chosen_Scenario="Mitigation Impact Only",VLOOKUP($B72,'[1]Coverage Review Updated'!$B$5:$T$78,18,FALSE),VLOOKUP($B72,'[1]Coverage Review Updated'!$B$5:$T$78,19,FALSE))</f>
        <v>236200</v>
      </c>
      <c r="G72" s="83">
        <f>VLOOKUP($B72,'[1]7. Number of HW Contacts'!$B$4:$I$84,6,FALSE)</f>
        <v>3</v>
      </c>
      <c r="H72" s="84">
        <f>G72*(1-HLOOKUP($B72,'[1]3. Mitigation Impact on Coverag'!$BY$5:$EQ$7,3,FALSE))</f>
        <v>2.7</v>
      </c>
      <c r="I72" s="122">
        <f>HLOOKUP(B72,'[1]3. Mitigation Impact on Coverag'!ES$5:HK$7,3,FALSE)</f>
        <v>0.87</v>
      </c>
      <c r="J72" s="82">
        <f>1-((1-Risk_of_Provider_Being_Infected*_xlfn.SINGLE(Transmission_Risk_Contact_Health_Care_Provider))^(2*$G72)*(1-Risk_of_Community_Member_being_Infected*Transmission_Risk_in_Community)^(2*$G72*Contacts_During_Travel_to_Facility))</f>
        <v>0.0100905192792287</v>
      </c>
      <c r="K72" s="82">
        <f>J72*(1-(Percent_Prevalence_at_End_of_Projection_Period-Percent_Prevalence_at_Beginning_of_Projection_Period))</f>
        <v>0.00773606478074197</v>
      </c>
      <c r="L72" s="83">
        <f>$F72*$K72*HH_Size</f>
        <v>11511.7285576309</v>
      </c>
      <c r="M72" s="84">
        <f>$F72*$J72*(HH_Children*Fatality_Rate_Child+HH_Adults*Fatality_Rate_Adult+HH_Over_60*Fatality_Rate_Over_60)</f>
        <v>29.2507779211963</v>
      </c>
      <c r="N72" s="85">
        <f>1-((1-Risk_of_Provider_Being_Infected*_xlfn.SINGLE(Transmission_Risk_Contact_Health_Care_Provider)*(1-Reduction_in_Risk_PPE))^(2*$G72)*(1-Risk_of_Community_Member_being_Infected*Transmission_Risk_in_Community)^(2*$G72*Contacts_During_Travel_to_Facility))</f>
        <v>0.00986972115360873</v>
      </c>
      <c r="O72" s="82">
        <f>N72*(1-(Percent_Prevalence_at_End_of_Projection_Period-Percent_Prevalence_at_Beginning_of_Projection_Period))</f>
        <v>0.0075667862177667</v>
      </c>
      <c r="P72" s="83">
        <f>$F72*$O72*HH_Size</f>
        <v>11259.8318992099</v>
      </c>
      <c r="Q72" s="84">
        <f>$F72*$O72*(HH_Children*Fatality_Rate_Child+HH_Adults*Fatality_Rate_Adult+HH_Over_60*Fatality_Rate_Over_60)</f>
        <v>21.9348853223718</v>
      </c>
      <c r="R72" s="85">
        <f>1-((1-Risk_of_Provider_Being_Infected*_xlfn.SINGLE(Transmission_Risk_Contact_Health_Care_Provider)*(1-Reduction_in_Risk_PPE))^(2*$G72*(1-Reduction_in_Risk_TS)))*(1-Risk_of_Community_Member_being_Infected*Transmission_Risk_in_Community)^(2*$G72*Contacts_During_Travel_to_Facility)</f>
        <v>0.00967099766846335</v>
      </c>
      <c r="S72" s="82">
        <f>R72*(1-(Percent_Prevalence_at_End_of_Projection_Period-Percent_Prevalence_at_Beginning_of_Projection_Period))</f>
        <v>0.00741443154582191</v>
      </c>
      <c r="T72" s="83">
        <f>$F72*$S72*HH_Size</f>
        <v>11033.1190060757</v>
      </c>
      <c r="U72" s="84">
        <f>$F72*$S72*(HH_Children*Fatality_Rate_Child+HH_Adults*Fatality_Rate_Adult+HH_Over_60*Fatality_Rate_Over_60)</f>
        <v>21.4932338522153</v>
      </c>
      <c r="V72" s="85">
        <f>1-((1-Risk_of_Provider_Being_Infected*_xlfn.SINGLE(Transmission_Risk_Contact_Health_Care_Provider)*(1-Reduction_in_Risk_PPE))^(2*$H72*(1-Reduction_in_Risk_TS)))*(1-Risk_of_Community_Member_being_Infected*Transmission_Risk_in_Community)^(2*$H72*Contacts_During_Travel_to_Facility)</f>
        <v>0.00870812167109636</v>
      </c>
      <c r="W72" s="82">
        <f>V72*(1-(Percent_Prevalence_at_End_of_Projection_Period-Percent_Prevalence_at_Beginning_of_Projection_Period))</f>
        <v>0.00667622661450721</v>
      </c>
      <c r="X72" s="83">
        <f>$F72*$W72*HH_Size</f>
        <v>9934.6257759836</v>
      </c>
      <c r="Y72" s="84">
        <f>$F72*$W72*(HH_Children*Fatality_Rate_Child+HH_Adults*Fatality_Rate_Adult+HH_Over_60*Fatality_Rate_Over_60)</f>
        <v>19.3532975507538</v>
      </c>
      <c r="Z72" s="85">
        <f>1-((1-Risk_of_Provider_Being_Infected*Transmission_Risk_Contact_Health_Care_Provider*(1-$I72))^(2*$G72)*(1-Risk_of_Community_Member_being_Infected*Transmission_Risk_in_Community)^(2*$G72*Contacts_During_Travel_to_Facility))</f>
        <v>0.00816820052494527</v>
      </c>
      <c r="AA72" s="82">
        <f>Z72*(1-(Percent_Prevalence_at_End_of_Projection_Period-Percent_Prevalence_at_Beginning_of_Projection_Period))</f>
        <v>0.00626228706912471</v>
      </c>
      <c r="AB72" s="83">
        <f>$F72*$AA72*HH_Size*Infection_Rate_within_HH</f>
        <v>8386.79300647354</v>
      </c>
      <c r="AC72" s="84">
        <f>$F72*$AA72*Infection_Rate_within_HH*(HH_Children*Fatality_Rate_Child+HH_Adults*Fatality_Rate_Adult+HH_Over_60*Fatality_Rate_Over_60)</f>
        <v>16.3380185837744</v>
      </c>
      <c r="AD72" s="94" t="s">
        <v>98</v>
      </c>
    </row>
    <row r="73" spans="1:30">
      <c r="A73" s="38" t="str">
        <f>IF(VLOOKUP(B73,'[1]1. Select Services'!$A$6:$E$77,5,FALSE)="x","x","")</f>
        <v>x</v>
      </c>
      <c r="B73" s="101">
        <v>56</v>
      </c>
      <c r="C73" s="101">
        <v>60</v>
      </c>
      <c r="D73" s="102"/>
      <c r="E73" s="103" t="s">
        <v>104</v>
      </c>
      <c r="F73" s="83">
        <f>IF(Chosen_Scenario="Mitigation Impact Only",VLOOKUP($B73,'[1]Coverage Review Updated'!$B$5:$T$78,18,FALSE),VLOOKUP($B73,'[1]Coverage Review Updated'!$B$5:$T$78,19,FALSE))</f>
        <v>104100</v>
      </c>
      <c r="G73" s="83">
        <f>VLOOKUP($B73,'[1]7. Number of HW Contacts'!$B$4:$I$84,6,FALSE)</f>
        <v>3</v>
      </c>
      <c r="H73" s="84">
        <f>G73*(1-HLOOKUP($B73,'[1]3. Mitigation Impact on Coverag'!$BY$5:$EQ$7,3,FALSE))</f>
        <v>2.7</v>
      </c>
      <c r="I73" s="122">
        <f>HLOOKUP(B73,'[1]3. Mitigation Impact on Coverag'!ES$5:HK$7,3,FALSE)</f>
        <v>0.87</v>
      </c>
      <c r="J73" s="82">
        <f>1-((1-Risk_of_Provider_Being_Infected*_xlfn.SINGLE(Transmission_Risk_Contact_Health_Care_Provider))^(2*$G73)*(1-Risk_of_Community_Member_being_Infected*Transmission_Risk_in_Community)^(2*$G73*Contacts_During_Travel_to_Facility))</f>
        <v>0.0100905192792287</v>
      </c>
      <c r="K73" s="82">
        <f>J73*(1-(Percent_Prevalence_at_End_of_Projection_Period-Percent_Prevalence_at_Beginning_of_Projection_Period))</f>
        <v>0.00773606478074197</v>
      </c>
      <c r="L73" s="83">
        <f>$F73*$K73*HH_Size</f>
        <v>5073.54336515401</v>
      </c>
      <c r="M73" s="84">
        <f>$F73*$J73*(HH_Children*Fatality_Rate_Child+HH_Adults*Fatality_Rate_Adult+HH_Over_60*Fatality_Rate_Over_60)</f>
        <v>12.8916425977838</v>
      </c>
      <c r="N73" s="85">
        <f>1-((1-Risk_of_Provider_Being_Infected*_xlfn.SINGLE(Transmission_Risk_Contact_Health_Care_Provider)*(1-Reduction_in_Risk_PPE))^(2*$G73)*(1-Risk_of_Community_Member_being_Infected*Transmission_Risk_in_Community)^(2*$G73*Contacts_During_Travel_to_Facility))</f>
        <v>0.00986972115360873</v>
      </c>
      <c r="O73" s="82">
        <f>N73*(1-(Percent_Prevalence_at_End_of_Projection_Period-Percent_Prevalence_at_Beginning_of_Projection_Period))</f>
        <v>0.0075667862177667</v>
      </c>
      <c r="P73" s="83">
        <f>$F73*$O73*HH_Size</f>
        <v>4962.52540519793</v>
      </c>
      <c r="Q73" s="84">
        <f>$F73*$O73*(HH_Children*Fatality_Rate_Child+HH_Adults*Fatality_Rate_Adult+HH_Over_60*Fatality_Rate_Over_60)</f>
        <v>9.66732244732813</v>
      </c>
      <c r="R73" s="85">
        <f>1-((1-Risk_of_Provider_Being_Infected*_xlfn.SINGLE(Transmission_Risk_Contact_Health_Care_Provider)*(1-Reduction_in_Risk_PPE))^(2*$G73*(1-Reduction_in_Risk_TS)))*(1-Risk_of_Community_Member_being_Infected*Transmission_Risk_in_Community)^(2*$G73*Contacts_During_Travel_to_Facility)</f>
        <v>0.00967099766846335</v>
      </c>
      <c r="S73" s="82">
        <f>R73*(1-(Percent_Prevalence_at_End_of_Projection_Period-Percent_Prevalence_at_Beginning_of_Projection_Period))</f>
        <v>0.00741443154582191</v>
      </c>
      <c r="T73" s="83">
        <f>$F73*$S73*HH_Size</f>
        <v>4862.60664069638</v>
      </c>
      <c r="U73" s="84">
        <f>$F73*$S73*(HH_Children*Fatality_Rate_Child+HH_Adults*Fatality_Rate_Adult+HH_Over_60*Fatality_Rate_Over_60)</f>
        <v>9.47267419142935</v>
      </c>
      <c r="V73" s="85">
        <f>1-((1-Risk_of_Provider_Being_Infected*_xlfn.SINGLE(Transmission_Risk_Contact_Health_Care_Provider)*(1-Reduction_in_Risk_PPE))^(2*$H73*(1-Reduction_in_Risk_TS)))*(1-Risk_of_Community_Member_being_Infected*Transmission_Risk_in_Community)^(2*$H73*Contacts_During_Travel_to_Facility)</f>
        <v>0.00870812167109636</v>
      </c>
      <c r="W73" s="82">
        <f>V73*(1-(Percent_Prevalence_at_End_of_Projection_Period-Percent_Prevalence_at_Beginning_of_Projection_Period))</f>
        <v>0.00667622661450721</v>
      </c>
      <c r="X73" s="83">
        <f>$F73*$W73*HH_Size</f>
        <v>4378.46970059226</v>
      </c>
      <c r="Y73" s="84">
        <f>$F73*$W73*(HH_Children*Fatality_Rate_Child+HH_Adults*Fatality_Rate_Adult+HH_Over_60*Fatality_Rate_Over_60)</f>
        <v>8.52954392478186</v>
      </c>
      <c r="Z73" s="85">
        <f>1-((1-Risk_of_Provider_Being_Infected*Transmission_Risk_Contact_Health_Care_Provider*(1-$I73))^(2*$G73)*(1-Risk_of_Community_Member_being_Infected*Transmission_Risk_in_Community)^(2*$G73*Contacts_During_Travel_to_Facility))</f>
        <v>0.00816820052494527</v>
      </c>
      <c r="AA73" s="82">
        <f>Z73*(1-(Percent_Prevalence_at_End_of_Projection_Period-Percent_Prevalence_at_Beginning_of_Projection_Period))</f>
        <v>0.00626228706912471</v>
      </c>
      <c r="AB73" s="83">
        <f>$F73*$AA73*HH_Size*Infection_Rate_within_HH</f>
        <v>3696.29615568965</v>
      </c>
      <c r="AC73" s="84">
        <f>$F73*$AA73*Infection_Rate_within_HH*(HH_Children*Fatality_Rate_Child+HH_Adults*Fatality_Rate_Adult+HH_Over_60*Fatality_Rate_Over_60)</f>
        <v>7.2006254638904</v>
      </c>
      <c r="AD73" s="94" t="s">
        <v>98</v>
      </c>
    </row>
    <row r="74" spans="1:30">
      <c r="A74" s="38" t="str">
        <f>IF(VLOOKUP(B74,'[1]1. Select Services'!$A$6:$E$77,5,FALSE)="x","x","")</f>
        <v>x</v>
      </c>
      <c r="B74" s="101">
        <v>57</v>
      </c>
      <c r="C74" s="101">
        <v>61</v>
      </c>
      <c r="D74" s="102"/>
      <c r="E74" s="103" t="s">
        <v>105</v>
      </c>
      <c r="F74" s="83">
        <f>IF(Chosen_Scenario="Mitigation Impact Only",VLOOKUP($B74,'[1]Coverage Review Updated'!$B$5:$T$78,18,FALSE),VLOOKUP($B74,'[1]Coverage Review Updated'!$B$5:$T$78,19,FALSE))</f>
        <v>14100</v>
      </c>
      <c r="G74" s="83">
        <f>VLOOKUP($B74,'[1]7. Number of HW Contacts'!$B$4:$I$84,6,FALSE)</f>
        <v>2</v>
      </c>
      <c r="H74" s="84">
        <f>G74*(1-HLOOKUP($B74,'[1]3. Mitigation Impact on Coverag'!$BY$5:$EQ$7,3,FALSE))</f>
        <v>1.8</v>
      </c>
      <c r="I74" s="122">
        <f>HLOOKUP(B74,'[1]3. Mitigation Impact on Coverag'!ES$5:HK$7,3,FALSE)</f>
        <v>0.87</v>
      </c>
      <c r="J74" s="82">
        <f>1-((1-Risk_of_Provider_Being_Infected*_xlfn.SINGLE(Transmission_Risk_Contact_Health_Care_Provider))^(2*$G74)*(1-Risk_of_Community_Member_being_Infected*Transmission_Risk_in_Community)^(2*$G74*Contacts_During_Travel_to_Facility))</f>
        <v>0.00673837706487967</v>
      </c>
      <c r="K74" s="82">
        <f>J74*(1-(Percent_Prevalence_at_End_of_Projection_Period-Percent_Prevalence_at_Beginning_of_Projection_Period))</f>
        <v>0.00516608908307442</v>
      </c>
      <c r="L74" s="83">
        <f>$F74*$K74*HH_Size</f>
        <v>458.9036932495</v>
      </c>
      <c r="M74" s="84">
        <f>$F74*$J74*(HH_Children*Fatality_Rate_Child+HH_Adults*Fatality_Rate_Adult+HH_Over_60*Fatality_Rate_Over_60)</f>
        <v>1.16605338210133</v>
      </c>
      <c r="N74" s="85">
        <f>1-((1-Risk_of_Provider_Being_Infected*_xlfn.SINGLE(Transmission_Risk_Contact_Health_Care_Provider)*(1-Reduction_in_Risk_PPE))^(2*$G74)*(1-Risk_of_Community_Member_being_Infected*Transmission_Risk_in_Community)^(2*$G74*Contacts_During_Travel_to_Facility))</f>
        <v>0.00659068534366247</v>
      </c>
      <c r="O74" s="82">
        <f>N74*(1-(Percent_Prevalence_at_End_of_Projection_Period-Percent_Prevalence_at_Beginning_of_Projection_Period))</f>
        <v>0.00505285876347456</v>
      </c>
      <c r="P74" s="83">
        <f>$F74*$O74*HH_Size</f>
        <v>448.845443959445</v>
      </c>
      <c r="Q74" s="84">
        <f>$F74*$O74*(HH_Children*Fatality_Rate_Child+HH_Adults*Fatality_Rate_Adult+HH_Over_60*Fatality_Rate_Over_60)</f>
        <v>0.874380135409511</v>
      </c>
      <c r="R74" s="85">
        <f>1-((1-Risk_of_Provider_Being_Infected*_xlfn.SINGLE(Transmission_Risk_Contact_Health_Care_Provider)*(1-Reduction_in_Risk_PPE))^(2*$G74*(1-Reduction_in_Risk_TS)))*(1-Risk_of_Community_Member_being_Infected*Transmission_Risk_in_Community)^(2*$G74*Contacts_During_Travel_to_Facility)</f>
        <v>0.00645776872157322</v>
      </c>
      <c r="S74" s="82">
        <f>R74*(1-(Percent_Prevalence_at_End_of_Projection_Period-Percent_Prevalence_at_Beginning_of_Projection_Period))</f>
        <v>0.0049509560198728</v>
      </c>
      <c r="T74" s="83">
        <f>$F74*$S74*HH_Size</f>
        <v>439.793423245301</v>
      </c>
      <c r="U74" s="84">
        <f>$F74*$S74*(HH_Children*Fatality_Rate_Child+HH_Adults*Fatality_Rate_Adult+HH_Over_60*Fatality_Rate_Over_60)</f>
        <v>0.856746209958597</v>
      </c>
      <c r="V74" s="85">
        <f>1-((1-Risk_of_Provider_Being_Infected*_xlfn.SINGLE(Transmission_Risk_Contact_Health_Care_Provider)*(1-Reduction_in_Risk_PPE))^(2*$H74*(1-Reduction_in_Risk_TS)))*(1-Risk_of_Community_Member_being_Infected*Transmission_Risk_in_Community)^(2*$H74*Contacts_During_Travel_to_Facility)</f>
        <v>0.0058138729330639</v>
      </c>
      <c r="W74" s="82">
        <f>V74*(1-(Percent_Prevalence_at_End_of_Projection_Period-Percent_Prevalence_at_Beginning_of_Projection_Period))</f>
        <v>0.00445730258201566</v>
      </c>
      <c r="X74" s="83">
        <f>$F74*$W74*HH_Size</f>
        <v>395.942188360451</v>
      </c>
      <c r="Y74" s="84">
        <f>$F74*$W74*(HH_Children*Fatality_Rate_Child+HH_Adults*Fatality_Rate_Adult+HH_Over_60*Fatality_Rate_Over_60)</f>
        <v>0.771321150592385</v>
      </c>
      <c r="Z74" s="85">
        <f>1-((1-Risk_of_Provider_Being_Infected*Transmission_Risk_Contact_Health_Care_Provider*(1-$I74))^(2*$G74)*(1-Risk_of_Community_Member_being_Infected*Transmission_Risk_in_Community)^(2*$G74*Contacts_During_Travel_to_Facility))</f>
        <v>0.00545290733582859</v>
      </c>
      <c r="AA74" s="82">
        <f>Z74*(1-(Percent_Prevalence_at_End_of_Projection_Period-Percent_Prevalence_at_Beginning_of_Projection_Period))</f>
        <v>0.00418056229080192</v>
      </c>
      <c r="AB74" s="83">
        <f>$F74*$AA74*HH_Size*Infection_Rate_within_HH</f>
        <v>334.223413462741</v>
      </c>
      <c r="AC74" s="84">
        <f>$F74*$AA74*Infection_Rate_within_HH*(HH_Children*Fatality_Rate_Child+HH_Adults*Fatality_Rate_Adult+HH_Over_60*Fatality_Rate_Over_60)</f>
        <v>0.651088960472963</v>
      </c>
      <c r="AD74" s="94" t="s">
        <v>98</v>
      </c>
    </row>
    <row r="75" spans="1:30">
      <c r="A75" s="38" t="str">
        <f>IF(VLOOKUP(B75,'[1]1. Select Services'!$A$6:$E$77,5,FALSE)="x","x","")</f>
        <v>x</v>
      </c>
      <c r="B75" s="101">
        <v>58</v>
      </c>
      <c r="C75" s="101">
        <v>62</v>
      </c>
      <c r="D75" s="102"/>
      <c r="E75" s="103" t="s">
        <v>106</v>
      </c>
      <c r="F75" s="83">
        <f>IF(Chosen_Scenario="Mitigation Impact Only",VLOOKUP($B75,'[1]Coverage Review Updated'!$B$5:$T$78,18,FALSE),VLOOKUP($B75,'[1]Coverage Review Updated'!$B$5:$T$78,19,FALSE))</f>
        <v>0</v>
      </c>
      <c r="G75" s="83">
        <f>VLOOKUP($B75,'[1]7. Number of HW Contacts'!$B$4:$I$84,6,FALSE)</f>
        <v>1</v>
      </c>
      <c r="H75" s="84">
        <f>G75*(1-HLOOKUP($B75,'[1]3. Mitigation Impact on Coverag'!$BY$5:$EQ$7,3,FALSE))</f>
        <v>0.9</v>
      </c>
      <c r="I75" s="122">
        <f>HLOOKUP(B75,'[1]3. Mitigation Impact on Coverag'!ES$5:HK$7,3,FALSE)</f>
        <v>0.87</v>
      </c>
      <c r="J75" s="82">
        <f>1-((1-Risk_of_Provider_Being_Infected*_xlfn.SINGLE(Transmission_Risk_Contact_Health_Care_Provider))^(2*$G75)*(1-Risk_of_Community_Member_being_Infected*Transmission_Risk_in_Community)^(2*$G75*Contacts_During_Travel_to_Facility))</f>
        <v>0.00337488345159576</v>
      </c>
      <c r="K75" s="82">
        <f>J75*(1-(Percent_Prevalence_at_End_of_Projection_Period-Percent_Prevalence_at_Beginning_of_Projection_Period))</f>
        <v>0.00258741064622341</v>
      </c>
      <c r="L75" s="83">
        <f>$F75*$K75*HH_Size</f>
        <v>0</v>
      </c>
      <c r="M75" s="84">
        <f>$F75*$J75*(HH_Children*Fatality_Rate_Child+HH_Adults*Fatality_Rate_Adult+HH_Over_60*Fatality_Rate_Over_60)</f>
        <v>0</v>
      </c>
      <c r="N75" s="85">
        <f>1-((1-Risk_of_Provider_Being_Infected*_xlfn.SINGLE(Transmission_Risk_Contact_Health_Care_Provider)*(1-Reduction_in_Risk_PPE))^(2*$G75)*(1-Risk_of_Community_Member_being_Infected*Transmission_Risk_in_Community)^(2*$G75*Contacts_During_Travel_to_Facility))</f>
        <v>0.00330079028006769</v>
      </c>
      <c r="O75" s="82">
        <f>N75*(1-(Percent_Prevalence_at_End_of_Projection_Period-Percent_Prevalence_at_Beginning_of_Projection_Period))</f>
        <v>0.00253060588138523</v>
      </c>
      <c r="P75" s="83">
        <f>$F75*$O75*HH_Size</f>
        <v>0</v>
      </c>
      <c r="Q75" s="84">
        <f>$F75*$O75*(HH_Children*Fatality_Rate_Child+HH_Adults*Fatality_Rate_Adult+HH_Over_60*Fatality_Rate_Over_60)</f>
        <v>0</v>
      </c>
      <c r="R75" s="85">
        <f>1-((1-Risk_of_Provider_Being_Infected*_xlfn.SINGLE(Transmission_Risk_Contact_Health_Care_Provider)*(1-Reduction_in_Risk_PPE))^(2*$G75*(1-Reduction_in_Risk_TS)))*(1-Risk_of_Community_Member_being_Infected*Transmission_Risk_in_Community)^(2*$G75*Contacts_During_Travel_to_Facility)</f>
        <v>0.00323411410781771</v>
      </c>
      <c r="S75" s="82">
        <f>R75*(1-(Percent_Prevalence_at_End_of_Projection_Period-Percent_Prevalence_at_Beginning_of_Projection_Period))</f>
        <v>0.00247948748266024</v>
      </c>
      <c r="T75" s="83">
        <f>$F75*$S75*HH_Size</f>
        <v>0</v>
      </c>
      <c r="U75" s="84">
        <f>$F75*$S75*(HH_Children*Fatality_Rate_Child+HH_Adults*Fatality_Rate_Adult+HH_Over_60*Fatality_Rate_Over_60)</f>
        <v>0</v>
      </c>
      <c r="V75" s="85">
        <f>1-((1-Risk_of_Provider_Being_Infected*_xlfn.SINGLE(Transmission_Risk_Contact_Health_Care_Provider)*(1-Reduction_in_Risk_PPE))^(2*$H75*(1-Reduction_in_Risk_TS)))*(1-Risk_of_Community_Member_being_Infected*Transmission_Risk_in_Community)^(2*$H75*Contacts_During_Travel_to_Facility)</f>
        <v>0.00291117393336704</v>
      </c>
      <c r="W75" s="82">
        <f>V75*(1-(Percent_Prevalence_at_End_of_Projection_Period-Percent_Prevalence_at_Beginning_of_Projection_Period))</f>
        <v>0.0022319000155814</v>
      </c>
      <c r="X75" s="83">
        <f>$F75*$W75*HH_Size</f>
        <v>0</v>
      </c>
      <c r="Y75" s="84">
        <f>$F75*$W75*(HH_Children*Fatality_Rate_Child+HH_Adults*Fatality_Rate_Adult+HH_Over_60*Fatality_Rate_Over_60)</f>
        <v>0</v>
      </c>
      <c r="Z75" s="85">
        <f>1-((1-Risk_of_Provider_Being_Infected*Transmission_Risk_Contact_Health_Care_Provider*(1-$I75))^(2*$G75)*(1-Risk_of_Community_Member_being_Infected*Transmission_Risk_in_Community)^(2*$G75*Contacts_During_Travel_to_Facility))</f>
        <v>0.00273018061099861</v>
      </c>
      <c r="AA75" s="82">
        <f>Z75*(1-(Percent_Prevalence_at_End_of_Projection_Period-Percent_Prevalence_at_Beginning_of_Projection_Period))</f>
        <v>0.00209313846843227</v>
      </c>
      <c r="AB75" s="83">
        <f>$F75*$AA75*HH_Size*Infection_Rate_within_HH</f>
        <v>0</v>
      </c>
      <c r="AC75" s="84">
        <f>$F75*$AA75*Infection_Rate_within_HH*(HH_Children*Fatality_Rate_Child+HH_Adults*Fatality_Rate_Adult+HH_Over_60*Fatality_Rate_Over_60)</f>
        <v>0</v>
      </c>
      <c r="AD75" s="94" t="s">
        <v>98</v>
      </c>
    </row>
    <row r="76" spans="1:30">
      <c r="A76" s="38" t="str">
        <f>IF(VLOOKUP(B76,'[1]1. Select Services'!$A$6:$E$77,5,FALSE)="x","x","")</f>
        <v>x</v>
      </c>
      <c r="B76" s="101">
        <v>59</v>
      </c>
      <c r="C76" s="101">
        <v>63</v>
      </c>
      <c r="D76" s="102"/>
      <c r="E76" s="103" t="s">
        <v>107</v>
      </c>
      <c r="F76" s="83">
        <f>IF(Chosen_Scenario="Mitigation Impact Only",VLOOKUP($B76,'[1]Coverage Review Updated'!$B$5:$T$78,18,FALSE),VLOOKUP($B76,'[1]Coverage Review Updated'!$B$5:$T$78,19,FALSE))</f>
        <v>0</v>
      </c>
      <c r="G76" s="83">
        <f>VLOOKUP($B76,'[1]7. Number of HW Contacts'!$B$4:$I$84,6,FALSE)</f>
        <v>3</v>
      </c>
      <c r="H76" s="84">
        <f>G76*(1-HLOOKUP($B76,'[1]3. Mitigation Impact on Coverag'!$BY$5:$EQ$7,3,FALSE))</f>
        <v>2.7</v>
      </c>
      <c r="I76" s="122">
        <f>HLOOKUP(B76,'[1]3. Mitigation Impact on Coverag'!ES$5:HK$7,3,FALSE)</f>
        <v>0.87</v>
      </c>
      <c r="J76" s="82">
        <f>1-((1-Risk_of_Provider_Being_Infected*_xlfn.SINGLE(Transmission_Risk_Contact_Health_Care_Provider))^(2*$G76)*(1-Risk_of_Community_Member_being_Infected*Transmission_Risk_in_Community)^(2*$G76*Contacts_During_Travel_to_Facility))</f>
        <v>0.0100905192792287</v>
      </c>
      <c r="K76" s="82">
        <f>J76*(1-(Percent_Prevalence_at_End_of_Projection_Period-Percent_Prevalence_at_Beginning_of_Projection_Period))</f>
        <v>0.00773606478074197</v>
      </c>
      <c r="L76" s="83">
        <f>$F76*$K76*HH_Size</f>
        <v>0</v>
      </c>
      <c r="M76" s="84">
        <f>$F76*$J76*(HH_Children*Fatality_Rate_Child+HH_Adults*Fatality_Rate_Adult+HH_Over_60*Fatality_Rate_Over_60)</f>
        <v>0</v>
      </c>
      <c r="N76" s="85">
        <f>1-((1-Risk_of_Provider_Being_Infected*_xlfn.SINGLE(Transmission_Risk_Contact_Health_Care_Provider)*(1-Reduction_in_Risk_PPE))^(2*$G76)*(1-Risk_of_Community_Member_being_Infected*Transmission_Risk_in_Community)^(2*$G76*Contacts_During_Travel_to_Facility))</f>
        <v>0.00986972115360873</v>
      </c>
      <c r="O76" s="82">
        <f>N76*(1-(Percent_Prevalence_at_End_of_Projection_Period-Percent_Prevalence_at_Beginning_of_Projection_Period))</f>
        <v>0.0075667862177667</v>
      </c>
      <c r="P76" s="83">
        <f>$F76*$O76*HH_Size</f>
        <v>0</v>
      </c>
      <c r="Q76" s="84">
        <f>$F76*$O76*(HH_Children*Fatality_Rate_Child+HH_Adults*Fatality_Rate_Adult+HH_Over_60*Fatality_Rate_Over_60)</f>
        <v>0</v>
      </c>
      <c r="R76" s="85">
        <f>1-((1-Risk_of_Provider_Being_Infected*_xlfn.SINGLE(Transmission_Risk_Contact_Health_Care_Provider)*(1-Reduction_in_Risk_PPE))^(2*$G76*(1-Reduction_in_Risk_TS)))*(1-Risk_of_Community_Member_being_Infected*Transmission_Risk_in_Community)^(2*$G76*Contacts_During_Travel_to_Facility)</f>
        <v>0.00967099766846335</v>
      </c>
      <c r="S76" s="82">
        <f>R76*(1-(Percent_Prevalence_at_End_of_Projection_Period-Percent_Prevalence_at_Beginning_of_Projection_Period))</f>
        <v>0.00741443154582191</v>
      </c>
      <c r="T76" s="83">
        <f>$F76*$S76*HH_Size</f>
        <v>0</v>
      </c>
      <c r="U76" s="84">
        <f>$F76*$S76*(HH_Children*Fatality_Rate_Child+HH_Adults*Fatality_Rate_Adult+HH_Over_60*Fatality_Rate_Over_60)</f>
        <v>0</v>
      </c>
      <c r="V76" s="85">
        <f>1-((1-Risk_of_Provider_Being_Infected*_xlfn.SINGLE(Transmission_Risk_Contact_Health_Care_Provider)*(1-Reduction_in_Risk_PPE))^(2*$H76*(1-Reduction_in_Risk_TS)))*(1-Risk_of_Community_Member_being_Infected*Transmission_Risk_in_Community)^(2*$H76*Contacts_During_Travel_to_Facility)</f>
        <v>0.00870812167109636</v>
      </c>
      <c r="W76" s="82">
        <f>V76*(1-(Percent_Prevalence_at_End_of_Projection_Period-Percent_Prevalence_at_Beginning_of_Projection_Period))</f>
        <v>0.00667622661450721</v>
      </c>
      <c r="X76" s="83">
        <f>$F76*$W76*HH_Size</f>
        <v>0</v>
      </c>
      <c r="Y76" s="84">
        <f>$F76*$W76*(HH_Children*Fatality_Rate_Child+HH_Adults*Fatality_Rate_Adult+HH_Over_60*Fatality_Rate_Over_60)</f>
        <v>0</v>
      </c>
      <c r="Z76" s="85">
        <f>1-((1-Risk_of_Provider_Being_Infected*Transmission_Risk_Contact_Health_Care_Provider*(1-$I76))^(2*$G76)*(1-Risk_of_Community_Member_being_Infected*Transmission_Risk_in_Community)^(2*$G76*Contacts_During_Travel_to_Facility))</f>
        <v>0.00816820052494527</v>
      </c>
      <c r="AA76" s="82">
        <f>Z76*(1-(Percent_Prevalence_at_End_of_Projection_Period-Percent_Prevalence_at_Beginning_of_Projection_Period))</f>
        <v>0.00626228706912471</v>
      </c>
      <c r="AB76" s="83">
        <f>$F76*$AA76*HH_Size*Infection_Rate_within_HH</f>
        <v>0</v>
      </c>
      <c r="AC76" s="84">
        <f>$F76*$AA76*Infection_Rate_within_HH*(HH_Children*Fatality_Rate_Child+HH_Adults*Fatality_Rate_Adult+HH_Over_60*Fatality_Rate_Over_60)</f>
        <v>0</v>
      </c>
      <c r="AD76" s="94" t="s">
        <v>98</v>
      </c>
    </row>
    <row r="77" spans="1:30">
      <c r="A77" s="38" t="str">
        <f>IF(VLOOKUP(B77,'[1]1. Select Services'!$A$6:$E$77,5,FALSE)="x","x","")</f>
        <v>x</v>
      </c>
      <c r="B77" s="101">
        <v>60</v>
      </c>
      <c r="C77" s="101">
        <v>64</v>
      </c>
      <c r="D77" s="102"/>
      <c r="E77" s="103" t="s">
        <v>108</v>
      </c>
      <c r="F77" s="83">
        <f>IF(Chosen_Scenario="Mitigation Impact Only",VLOOKUP($B77,'[1]Coverage Review Updated'!$B$5:$T$78,18,FALSE),VLOOKUP($B77,'[1]Coverage Review Updated'!$B$5:$T$78,19,FALSE))</f>
        <v>230500</v>
      </c>
      <c r="G77" s="83">
        <f>VLOOKUP($B77,'[1]7. Number of HW Contacts'!$B$4:$I$84,6,FALSE)</f>
        <v>1</v>
      </c>
      <c r="H77" s="84">
        <f>G77*(1-HLOOKUP($B77,'[1]3. Mitigation Impact on Coverag'!$BY$5:$EQ$7,3,FALSE))</f>
        <v>0.9</v>
      </c>
      <c r="I77" s="122">
        <f>HLOOKUP(B77,'[1]3. Mitigation Impact on Coverag'!ES$5:HK$7,3,FALSE)</f>
        <v>0.87</v>
      </c>
      <c r="J77" s="82">
        <f>1-((1-Risk_of_Provider_Being_Infected*_xlfn.SINGLE(Transmission_Risk_Contact_Health_Care_Provider))^(2*$G77)*(1-Risk_of_Community_Member_being_Infected*Transmission_Risk_in_Community)^(2*$G77*Contacts_During_Travel_to_Facility))</f>
        <v>0.00337488345159576</v>
      </c>
      <c r="K77" s="82">
        <f>J77*(1-(Percent_Prevalence_at_End_of_Projection_Period-Percent_Prevalence_at_Beginning_of_Projection_Period))</f>
        <v>0.00258741064622341</v>
      </c>
      <c r="L77" s="83">
        <f>$F77*$K77*HH_Size</f>
        <v>3757.30836991333</v>
      </c>
      <c r="M77" s="84">
        <f>$F77*$J77*(HH_Children*Fatality_Rate_Child+HH_Adults*Fatality_Rate_Adult+HH_Over_60*Fatality_Rate_Over_60)</f>
        <v>9.54714942760994</v>
      </c>
      <c r="N77" s="85">
        <f>1-((1-Risk_of_Provider_Being_Infected*_xlfn.SINGLE(Transmission_Risk_Contact_Health_Care_Provider)*(1-Reduction_in_Risk_PPE))^(2*$G77)*(1-Risk_of_Community_Member_being_Infected*Transmission_Risk_in_Community)^(2*$G77*Contacts_During_Travel_to_Facility))</f>
        <v>0.00330079028006769</v>
      </c>
      <c r="O77" s="82">
        <f>N77*(1-(Percent_Prevalence_at_End_of_Projection_Period-Percent_Prevalence_at_Beginning_of_Projection_Period))</f>
        <v>0.00253060588138523</v>
      </c>
      <c r="P77" s="83">
        <f>$F77*$O77*HH_Size</f>
        <v>3674.81933065356</v>
      </c>
      <c r="Q77" s="84">
        <f>$F77*$O77*(HH_Children*Fatality_Rate_Child+HH_Adults*Fatality_Rate_Adult+HH_Over_60*Fatality_Rate_Over_60)</f>
        <v>7.15878721102195</v>
      </c>
      <c r="R77" s="85">
        <f>1-((1-Risk_of_Provider_Being_Infected*_xlfn.SINGLE(Transmission_Risk_Contact_Health_Care_Provider)*(1-Reduction_in_Risk_PPE))^(2*$G77*(1-Reduction_in_Risk_TS)))*(1-Risk_of_Community_Member_being_Infected*Transmission_Risk_in_Community)^(2*$G77*Contacts_During_Travel_to_Facility)</f>
        <v>0.00323411410781771</v>
      </c>
      <c r="S77" s="82">
        <f>R77*(1-(Percent_Prevalence_at_End_of_Projection_Period-Percent_Prevalence_at_Beginning_of_Projection_Period))</f>
        <v>0.00247948748266024</v>
      </c>
      <c r="T77" s="83">
        <f>$F77*$S77*HH_Size</f>
        <v>3600.58774794507</v>
      </c>
      <c r="U77" s="84">
        <f>$F77*$S77*(HH_Children*Fatality_Rate_Child+HH_Adults*Fatality_Rate_Adult+HH_Over_60*Fatality_Rate_Over_60)</f>
        <v>7.01417925696155</v>
      </c>
      <c r="V77" s="85">
        <f>1-((1-Risk_of_Provider_Being_Infected*_xlfn.SINGLE(Transmission_Risk_Contact_Health_Care_Provider)*(1-Reduction_in_Risk_PPE))^(2*$H77*(1-Reduction_in_Risk_TS)))*(1-Risk_of_Community_Member_being_Infected*Transmission_Risk_in_Community)^(2*$H77*Contacts_During_Travel_to_Facility)</f>
        <v>0.00291117393336704</v>
      </c>
      <c r="W77" s="82">
        <f>V77*(1-(Percent_Prevalence_at_End_of_Projection_Period-Percent_Prevalence_at_Beginning_of_Projection_Period))</f>
        <v>0.0022319000155814</v>
      </c>
      <c r="X77" s="83">
        <f>$F77*$W77*HH_Size</f>
        <v>3241.05360762652</v>
      </c>
      <c r="Y77" s="84">
        <f>$F77*$W77*(HH_Children*Fatality_Rate_Child+HH_Adults*Fatality_Rate_Adult+HH_Over_60*Fatality_Rate_Over_60)</f>
        <v>6.31378335336744</v>
      </c>
      <c r="Z77" s="85">
        <f>1-((1-Risk_of_Provider_Being_Infected*Transmission_Risk_Contact_Health_Care_Provider*(1-$I77))^(2*$G77)*(1-Risk_of_Community_Member_being_Infected*Transmission_Risk_in_Community)^(2*$G77*Contacts_During_Travel_to_Facility))</f>
        <v>0.00273018061099861</v>
      </c>
      <c r="AA77" s="82">
        <f>Z77*(1-(Percent_Prevalence_at_End_of_Projection_Period-Percent_Prevalence_at_Beginning_of_Projection_Period))</f>
        <v>0.00209313846843227</v>
      </c>
      <c r="AB77" s="83">
        <f>$F77*$AA77*HH_Size*Infection_Rate_within_HH</f>
        <v>2735.59592424053</v>
      </c>
      <c r="AC77" s="84">
        <f>$F77*$AA77*Infection_Rate_within_HH*(HH_Children*Fatality_Rate_Child+HH_Adults*Fatality_Rate_Adult+HH_Over_60*Fatality_Rate_Over_60)</f>
        <v>5.32911889126641</v>
      </c>
      <c r="AD77" s="94" t="s">
        <v>98</v>
      </c>
    </row>
    <row r="78" spans="1:30">
      <c r="A78" s="38" t="str">
        <f>IF(VLOOKUP(B78,'[1]1. Select Services'!$A$6:$E$77,5,FALSE)="x","x","")</f>
        <v>x</v>
      </c>
      <c r="B78" s="105">
        <v>61</v>
      </c>
      <c r="C78" s="105">
        <v>47</v>
      </c>
      <c r="D78" s="106" t="s">
        <v>35</v>
      </c>
      <c r="E78" s="107" t="s">
        <v>109</v>
      </c>
      <c r="F78" s="108">
        <f>IF(Chosen_Scenario="Mitigation Impact Only",VLOOKUP($B78,'[1]Coverage Review Updated'!$B$5:$T$78,18,FALSE),VLOOKUP($B78,'[1]Coverage Review Updated'!$B$5:$T$78,19,FALSE))</f>
        <v>0</v>
      </c>
      <c r="G78" s="108">
        <f>VLOOKUP($B78,'[1]7. Number of HW Contacts'!$B$4:$I$84,6,FALSE)</f>
        <v>2</v>
      </c>
      <c r="H78" s="109">
        <f>G78*(1-HLOOKUP($B78,'[1]3. Mitigation Impact on Coverag'!$BY$5:$EQ$7,3,FALSE))</f>
        <v>1.8</v>
      </c>
      <c r="I78" s="123">
        <f>HLOOKUP(B78,'[1]3. Mitigation Impact on Coverag'!ES$5:HK$7,3,FALSE)</f>
        <v>0.89</v>
      </c>
      <c r="J78" s="124">
        <f>1-((1-Risk_of_Provider_Being_Infected*_xlfn.SINGLE(Transmission_Risk_Contact_Health_Care_Provider))^(2*$G78)*(1-Risk_of_Community_Member_being_Infected*Transmission_Risk_in_Community)^(2*$G78*Contacts_During_Travel_to_Facility))</f>
        <v>0.00673837706487967</v>
      </c>
      <c r="K78" s="124">
        <f>J78*(1-(Percent_Prevalence_at_End_of_Projection_Period-Percent_Prevalence_at_Beginning_of_Projection_Period))</f>
        <v>0.00516608908307442</v>
      </c>
      <c r="L78" s="108">
        <f>$F78*$K78*HH_Size</f>
        <v>0</v>
      </c>
      <c r="M78" s="109">
        <f>$F78*$J78*(HH_Children*Fatality_Rate_Child+HH_Adults*Fatality_Rate_Adult+HH_Over_60*Fatality_Rate_Over_60)</f>
        <v>0</v>
      </c>
      <c r="N78" s="125">
        <f>1-((1-Risk_of_Provider_Being_Infected*_xlfn.SINGLE(Transmission_Risk_Contact_Health_Care_Provider)*(1-Reduction_in_Risk_PPE))^(2*$G78)*(1-Risk_of_Community_Member_being_Infected*Transmission_Risk_in_Community)^(2*$G78*Contacts_During_Travel_to_Facility))</f>
        <v>0.00659068534366247</v>
      </c>
      <c r="O78" s="124">
        <f>N78*(1-(Percent_Prevalence_at_End_of_Projection_Period-Percent_Prevalence_at_Beginning_of_Projection_Period))</f>
        <v>0.00505285876347456</v>
      </c>
      <c r="P78" s="108">
        <f>$F78*$O78*HH_Size</f>
        <v>0</v>
      </c>
      <c r="Q78" s="109">
        <f>$F78*$O78*(HH_Children*Fatality_Rate_Child+HH_Adults*Fatality_Rate_Adult+HH_Over_60*Fatality_Rate_Over_60)</f>
        <v>0</v>
      </c>
      <c r="R78" s="125">
        <f>1-((1-Risk_of_Provider_Being_Infected*_xlfn.SINGLE(Transmission_Risk_Contact_Health_Care_Provider)*(1-Reduction_in_Risk_PPE))^(2*$G78*(1-Reduction_in_Risk_TS)))*(1-Risk_of_Community_Member_being_Infected*Transmission_Risk_in_Community)^(2*$G78*Contacts_During_Travel_to_Facility)</f>
        <v>0.00645776872157322</v>
      </c>
      <c r="S78" s="124">
        <f>R78*(1-(Percent_Prevalence_at_End_of_Projection_Period-Percent_Prevalence_at_Beginning_of_Projection_Period))</f>
        <v>0.0049509560198728</v>
      </c>
      <c r="T78" s="108">
        <f>$F78*$S78*HH_Size</f>
        <v>0</v>
      </c>
      <c r="U78" s="109">
        <f>$F78*$S78*(HH_Children*Fatality_Rate_Child+HH_Adults*Fatality_Rate_Adult+HH_Over_60*Fatality_Rate_Over_60)</f>
        <v>0</v>
      </c>
      <c r="V78" s="125">
        <f>1-((1-Risk_of_Provider_Being_Infected*_xlfn.SINGLE(Transmission_Risk_Contact_Health_Care_Provider)*(1-Reduction_in_Risk_PPE))^(2*$H78*(1-Reduction_in_Risk_TS)))*(1-Risk_of_Community_Member_being_Infected*Transmission_Risk_in_Community)^(2*$H78*Contacts_During_Travel_to_Facility)</f>
        <v>0.0058138729330639</v>
      </c>
      <c r="W78" s="124">
        <f>V78*(1-(Percent_Prevalence_at_End_of_Projection_Period-Percent_Prevalence_at_Beginning_of_Projection_Period))</f>
        <v>0.00445730258201566</v>
      </c>
      <c r="X78" s="108">
        <f>$F78*$W78*HH_Size</f>
        <v>0</v>
      </c>
      <c r="Y78" s="109">
        <f>$F78*$W78*(HH_Children*Fatality_Rate_Child+HH_Adults*Fatality_Rate_Adult+HH_Over_60*Fatality_Rate_Over_60)</f>
        <v>0</v>
      </c>
      <c r="Z78" s="125">
        <f>1-((1-Risk_of_Provider_Being_Infected*Transmission_Risk_Contact_Health_Care_Provider*(1-$I78))^(2*$G78)*(1-Risk_of_Community_Member_being_Infected*Transmission_Risk_in_Community)^(2*$G78*Contacts_During_Travel_to_Facility))</f>
        <v>0.00542334164396496</v>
      </c>
      <c r="AA78" s="124">
        <f>Z78*(1-(Percent_Prevalence_at_End_of_Projection_Period-Percent_Prevalence_at_Beginning_of_Projection_Period))</f>
        <v>0.00415789526037314</v>
      </c>
      <c r="AB78" s="108">
        <f>$F78*$AA78*HH_Size*Infection_Rate_within_HH</f>
        <v>0</v>
      </c>
      <c r="AC78" s="109">
        <f>$F78*$AA78*Infection_Rate_within_HH*(HH_Children*Fatality_Rate_Child+HH_Adults*Fatality_Rate_Adult+HH_Over_60*Fatality_Rate_Over_60)</f>
        <v>0</v>
      </c>
      <c r="AD78" s="94" t="s">
        <v>98</v>
      </c>
    </row>
    <row r="79" spans="1:30">
      <c r="A79" s="38" t="str">
        <f>IF(VLOOKUP(B79,'[1]1. Select Services'!$A$6:$E$77,5,FALSE)="x","x","")</f>
        <v>x</v>
      </c>
      <c r="B79" s="105">
        <v>62</v>
      </c>
      <c r="C79" s="105">
        <v>48</v>
      </c>
      <c r="D79" s="106"/>
      <c r="E79" s="107" t="s">
        <v>110</v>
      </c>
      <c r="F79" s="108">
        <f>IF(Chosen_Scenario="Mitigation Impact Only",VLOOKUP($B79,'[1]Coverage Review Updated'!$B$5:$T$78,18,FALSE),VLOOKUP($B79,'[1]Coverage Review Updated'!$B$5:$T$78,19,FALSE))</f>
        <v>0</v>
      </c>
      <c r="G79" s="108">
        <f>VLOOKUP($B79,'[1]7. Number of HW Contacts'!$B$4:$I$84,6,FALSE)</f>
        <v>2</v>
      </c>
      <c r="H79" s="109">
        <f>G79*(1-HLOOKUP($B79,'[1]3. Mitigation Impact on Coverag'!$BY$5:$EQ$7,3,FALSE))</f>
        <v>1.8</v>
      </c>
      <c r="I79" s="123">
        <f>HLOOKUP(B79,'[1]3. Mitigation Impact on Coverag'!ES$5:HK$7,3,FALSE)</f>
        <v>0.89</v>
      </c>
      <c r="J79" s="124">
        <f>1-((1-Risk_of_Provider_Being_Infected*_xlfn.SINGLE(Transmission_Risk_Contact_Health_Care_Provider))^(2*$G79)*(1-Risk_of_Community_Member_being_Infected*Transmission_Risk_in_Community)^(2*$G79*Contacts_During_Travel_to_Facility))</f>
        <v>0.00673837706487967</v>
      </c>
      <c r="K79" s="124">
        <f>J79*(1-(Percent_Prevalence_at_End_of_Projection_Period-Percent_Prevalence_at_Beginning_of_Projection_Period))</f>
        <v>0.00516608908307442</v>
      </c>
      <c r="L79" s="108">
        <f>$F79*$K79*HH_Size</f>
        <v>0</v>
      </c>
      <c r="M79" s="109">
        <f>$F79*$J79*(HH_Children*Fatality_Rate_Child+HH_Adults*Fatality_Rate_Adult+HH_Over_60*Fatality_Rate_Over_60)</f>
        <v>0</v>
      </c>
      <c r="N79" s="125">
        <f>1-((1-Risk_of_Provider_Being_Infected*_xlfn.SINGLE(Transmission_Risk_Contact_Health_Care_Provider)*(1-Reduction_in_Risk_PPE))^(2*$G79)*(1-Risk_of_Community_Member_being_Infected*Transmission_Risk_in_Community)^(2*$G79*Contacts_During_Travel_to_Facility))</f>
        <v>0.00659068534366247</v>
      </c>
      <c r="O79" s="124">
        <f>N79*(1-(Percent_Prevalence_at_End_of_Projection_Period-Percent_Prevalence_at_Beginning_of_Projection_Period))</f>
        <v>0.00505285876347456</v>
      </c>
      <c r="P79" s="108">
        <f>$F79*$O79*HH_Size</f>
        <v>0</v>
      </c>
      <c r="Q79" s="109">
        <f>$F79*$O79*(HH_Children*Fatality_Rate_Child+HH_Adults*Fatality_Rate_Adult+HH_Over_60*Fatality_Rate_Over_60)</f>
        <v>0</v>
      </c>
      <c r="R79" s="125">
        <f>1-((1-Risk_of_Provider_Being_Infected*_xlfn.SINGLE(Transmission_Risk_Contact_Health_Care_Provider)*(1-Reduction_in_Risk_PPE))^(2*$G79*(1-Reduction_in_Risk_TS)))*(1-Risk_of_Community_Member_being_Infected*Transmission_Risk_in_Community)^(2*$G79*Contacts_During_Travel_to_Facility)</f>
        <v>0.00645776872157322</v>
      </c>
      <c r="S79" s="124">
        <f>R79*(1-(Percent_Prevalence_at_End_of_Projection_Period-Percent_Prevalence_at_Beginning_of_Projection_Period))</f>
        <v>0.0049509560198728</v>
      </c>
      <c r="T79" s="108">
        <f>$F79*$S79*HH_Size</f>
        <v>0</v>
      </c>
      <c r="U79" s="109">
        <f>$F79*$S79*(HH_Children*Fatality_Rate_Child+HH_Adults*Fatality_Rate_Adult+HH_Over_60*Fatality_Rate_Over_60)</f>
        <v>0</v>
      </c>
      <c r="V79" s="125">
        <f>1-((1-Risk_of_Provider_Being_Infected*_xlfn.SINGLE(Transmission_Risk_Contact_Health_Care_Provider)*(1-Reduction_in_Risk_PPE))^(2*$H79*(1-Reduction_in_Risk_TS)))*(1-Risk_of_Community_Member_being_Infected*Transmission_Risk_in_Community)^(2*$H79*Contacts_During_Travel_to_Facility)</f>
        <v>0.0058138729330639</v>
      </c>
      <c r="W79" s="124">
        <f>V79*(1-(Percent_Prevalence_at_End_of_Projection_Period-Percent_Prevalence_at_Beginning_of_Projection_Period))</f>
        <v>0.00445730258201566</v>
      </c>
      <c r="X79" s="108">
        <f>$F79*$W79*HH_Size</f>
        <v>0</v>
      </c>
      <c r="Y79" s="109">
        <f>$F79*$W79*(HH_Children*Fatality_Rate_Child+HH_Adults*Fatality_Rate_Adult+HH_Over_60*Fatality_Rate_Over_60)</f>
        <v>0</v>
      </c>
      <c r="Z79" s="125">
        <f>1-((1-Risk_of_Provider_Being_Infected*Transmission_Risk_Contact_Health_Care_Provider*(1-$I79))^(2*$G79)*(1-Risk_of_Community_Member_being_Infected*Transmission_Risk_in_Community)^(2*$G79*Contacts_During_Travel_to_Facility))</f>
        <v>0.00542334164396496</v>
      </c>
      <c r="AA79" s="124">
        <f>Z79*(1-(Percent_Prevalence_at_End_of_Projection_Period-Percent_Prevalence_at_Beginning_of_Projection_Period))</f>
        <v>0.00415789526037314</v>
      </c>
      <c r="AB79" s="108">
        <f>$F79*$AA79*HH_Size*Infection_Rate_within_HH</f>
        <v>0</v>
      </c>
      <c r="AC79" s="109">
        <f>$F79*$AA79*Infection_Rate_within_HH*(HH_Children*Fatality_Rate_Child+HH_Adults*Fatality_Rate_Adult+HH_Over_60*Fatality_Rate_Over_60)</f>
        <v>0</v>
      </c>
      <c r="AD79" s="94" t="s">
        <v>98</v>
      </c>
    </row>
    <row r="80" spans="1:30">
      <c r="A80" s="38" t="str">
        <f>IF(VLOOKUP(B80,'[1]1. Select Services'!$A$6:$E$77,5,FALSE)="x","x","")</f>
        <v>x</v>
      </c>
      <c r="B80" s="105">
        <v>63</v>
      </c>
      <c r="C80" s="105">
        <v>71</v>
      </c>
      <c r="D80" s="106"/>
      <c r="E80" s="110" t="s">
        <v>111</v>
      </c>
      <c r="F80" s="108">
        <f>IF(Chosen_Scenario="Mitigation Impact Only",VLOOKUP($B80,'[1]Coverage Review Updated'!$B$5:$T$78,18,FALSE),VLOOKUP($B80,'[1]Coverage Review Updated'!$B$5:$T$78,19,FALSE))</f>
        <v>2876500</v>
      </c>
      <c r="G80" s="108">
        <f>VLOOKUP($B80,'[1]7. Number of HW Contacts'!$B$4:$I$84,6,FALSE)</f>
        <v>1</v>
      </c>
      <c r="H80" s="109">
        <f>G80*(1-HLOOKUP($B80,'[1]3. Mitigation Impact on Coverag'!$BY$5:$EQ$7,3,FALSE))</f>
        <v>0.9</v>
      </c>
      <c r="I80" s="123">
        <f>HLOOKUP(B80,'[1]3. Mitigation Impact on Coverag'!ES$5:HK$7,3,FALSE)</f>
        <v>0.89</v>
      </c>
      <c r="J80" s="124">
        <f>1-((1-Risk_of_Provider_Being_Infected*_xlfn.SINGLE(Transmission_Risk_Contact_Health_Care_Provider))^(2*$G80)*(1-Risk_of_Community_Member_being_Infected*Transmission_Risk_in_Community)^(2*$G80*Contacts_During_Travel_to_Facility))</f>
        <v>0.00337488345159576</v>
      </c>
      <c r="K80" s="124">
        <f>J80*(1-(Percent_Prevalence_at_End_of_Projection_Period-Percent_Prevalence_at_Beginning_of_Projection_Period))</f>
        <v>0.00258741064622341</v>
      </c>
      <c r="L80" s="108">
        <f>$F80*$K80*HH_Size</f>
        <v>46888.9263603284</v>
      </c>
      <c r="M80" s="109">
        <f>$F80*$J80*(HH_Children*Fatality_Rate_Child+HH_Adults*Fatality_Rate_Adult+HH_Over_60*Fatality_Rate_Over_60)</f>
        <v>119.1426261541</v>
      </c>
      <c r="N80" s="125">
        <f>1-((1-Risk_of_Provider_Being_Infected*_xlfn.SINGLE(Transmission_Risk_Contact_Health_Care_Provider)*(1-Reduction_in_Risk_PPE))^(2*$G80)*(1-Risk_of_Community_Member_being_Infected*Transmission_Risk_in_Community)^(2*$G80*Contacts_During_Travel_to_Facility))</f>
        <v>0.00330079028006769</v>
      </c>
      <c r="O80" s="124">
        <f>N80*(1-(Percent_Prevalence_at_End_of_Projection_Period-Percent_Prevalence_at_Beginning_of_Projection_Period))</f>
        <v>0.00253060588138523</v>
      </c>
      <c r="P80" s="108">
        <f>$F80*$O80*HH_Size</f>
        <v>45859.513252169</v>
      </c>
      <c r="Q80" s="109">
        <f>$F80*$O80*(HH_Children*Fatality_Rate_Child+HH_Adults*Fatality_Rate_Adult+HH_Over_60*Fatality_Rate_Over_60)</f>
        <v>89.3373163232306</v>
      </c>
      <c r="R80" s="125">
        <f>1-((1-Risk_of_Provider_Being_Infected*_xlfn.SINGLE(Transmission_Risk_Contact_Health_Care_Provider)*(1-Reduction_in_Risk_PPE))^(2*$G80*(1-Reduction_in_Risk_TS)))*(1-Risk_of_Community_Member_being_Infected*Transmission_Risk_in_Community)^(2*$G80*Contacts_During_Travel_to_Facility)</f>
        <v>0.00323411410781771</v>
      </c>
      <c r="S80" s="124">
        <f>R80*(1-(Percent_Prevalence_at_End_of_Projection_Period-Percent_Prevalence_at_Beginning_of_Projection_Period))</f>
        <v>0.00247948748266024</v>
      </c>
      <c r="T80" s="108">
        <f>$F80*$S80*HH_Size</f>
        <v>44933.1481863948</v>
      </c>
      <c r="U80" s="109">
        <f>$F80*$S80*(HH_Children*Fatality_Rate_Child+HH_Adults*Fatality_Rate_Adult+HH_Over_60*Fatality_Rate_Over_60)</f>
        <v>87.5326968878521</v>
      </c>
      <c r="V80" s="125">
        <f>1-((1-Risk_of_Provider_Being_Infected*_xlfn.SINGLE(Transmission_Risk_Contact_Health_Care_Provider)*(1-Reduction_in_Risk_PPE))^(2*$H80*(1-Reduction_in_Risk_TS)))*(1-Risk_of_Community_Member_being_Infected*Transmission_Risk_in_Community)^(2*$H80*Contacts_During_Travel_to_Facility)</f>
        <v>0.00291117393336704</v>
      </c>
      <c r="W80" s="124">
        <f>V80*(1-(Percent_Prevalence_at_End_of_Projection_Period-Percent_Prevalence_at_Beginning_of_Projection_Period))</f>
        <v>0.0022319000155814</v>
      </c>
      <c r="X80" s="108">
        <f>$F80*$W80*HH_Size</f>
        <v>40446.3804873653</v>
      </c>
      <c r="Y80" s="109">
        <f>$F80*$W80*(HH_Children*Fatality_Rate_Child+HH_Adults*Fatality_Rate_Adult+HH_Over_60*Fatality_Rate_Over_60)</f>
        <v>78.7921814141495</v>
      </c>
      <c r="Z80" s="125">
        <f>1-((1-Risk_of_Provider_Being_Infected*Transmission_Risk_Contact_Health_Care_Provider*(1-$I80))^(2*$G80)*(1-Risk_of_Community_Member_being_Infected*Transmission_Risk_in_Community)^(2*$G80*Contacts_During_Travel_to_Facility))</f>
        <v>0.00271535740490059</v>
      </c>
      <c r="AA80" s="124">
        <f>Z80*(1-(Percent_Prevalence_at_End_of_Projection_Period-Percent_Prevalence_at_Beginning_of_Projection_Period))</f>
        <v>0.00208177401042378</v>
      </c>
      <c r="AB80" s="108">
        <f>$F80*$AA80*HH_Size*Infection_Rate_within_HH</f>
        <v>33953.2240753793</v>
      </c>
      <c r="AC80" s="109">
        <f>$F80*$AA80*Infection_Rate_within_HH*(HH_Children*Fatality_Rate_Child+HH_Adults*Fatality_Rate_Adult+HH_Over_60*Fatality_Rate_Over_60)</f>
        <v>66.1430901531042</v>
      </c>
      <c r="AD80" s="94" t="s">
        <v>98</v>
      </c>
    </row>
    <row r="81" spans="1:30">
      <c r="A81" s="38" t="str">
        <f>IF(VLOOKUP(B81,'[1]1. Select Services'!$A$6:$E$77,5,FALSE)="x","x","")</f>
        <v>x</v>
      </c>
      <c r="B81" s="105">
        <v>64</v>
      </c>
      <c r="C81" s="105">
        <v>72</v>
      </c>
      <c r="D81" s="106"/>
      <c r="E81" s="110" t="s">
        <v>112</v>
      </c>
      <c r="F81" s="108">
        <f>IF(Chosen_Scenario="Mitigation Impact Only",VLOOKUP($B81,'[1]Coverage Review Updated'!$B$5:$T$78,18,FALSE),VLOOKUP($B81,'[1]Coverage Review Updated'!$B$5:$T$78,19,FALSE))</f>
        <v>0</v>
      </c>
      <c r="G81" s="108">
        <f>VLOOKUP($B81,'[1]7. Number of HW Contacts'!$B$4:$I$84,6,FALSE)</f>
        <v>1</v>
      </c>
      <c r="H81" s="109">
        <f>G81*(1-HLOOKUP($B81,'[1]3. Mitigation Impact on Coverag'!$BY$5:$EQ$7,3,FALSE))</f>
        <v>0.9</v>
      </c>
      <c r="I81" s="123">
        <f>HLOOKUP(B81,'[1]3. Mitigation Impact on Coverag'!ES$5:HK$7,3,FALSE)</f>
        <v>0.89</v>
      </c>
      <c r="J81" s="124">
        <f>1-((1-Risk_of_Provider_Being_Infected*_xlfn.SINGLE(Transmission_Risk_Contact_Health_Care_Provider))^(2*$G81)*(1-Risk_of_Community_Member_being_Infected*Transmission_Risk_in_Community)^(2*$G81*Contacts_During_Travel_to_Facility))</f>
        <v>0.00337488345159576</v>
      </c>
      <c r="K81" s="124">
        <f>J81*(1-(Percent_Prevalence_at_End_of_Projection_Period-Percent_Prevalence_at_Beginning_of_Projection_Period))</f>
        <v>0.00258741064622341</v>
      </c>
      <c r="L81" s="108">
        <f>$F81*$K81*HH_Size</f>
        <v>0</v>
      </c>
      <c r="M81" s="109">
        <f>$F81*$J81*(HH_Children*Fatality_Rate_Child+HH_Adults*Fatality_Rate_Adult+HH_Over_60*Fatality_Rate_Over_60)</f>
        <v>0</v>
      </c>
      <c r="N81" s="125">
        <f>1-((1-Risk_of_Provider_Being_Infected*_xlfn.SINGLE(Transmission_Risk_Contact_Health_Care_Provider)*(1-Reduction_in_Risk_PPE))^(2*$G81)*(1-Risk_of_Community_Member_being_Infected*Transmission_Risk_in_Community)^(2*$G81*Contacts_During_Travel_to_Facility))</f>
        <v>0.00330079028006769</v>
      </c>
      <c r="O81" s="124">
        <f>N81*(1-(Percent_Prevalence_at_End_of_Projection_Period-Percent_Prevalence_at_Beginning_of_Projection_Period))</f>
        <v>0.00253060588138523</v>
      </c>
      <c r="P81" s="108">
        <f>$F81*$O81*HH_Size</f>
        <v>0</v>
      </c>
      <c r="Q81" s="109">
        <f>$F81*$O81*(HH_Children*Fatality_Rate_Child+HH_Adults*Fatality_Rate_Adult+HH_Over_60*Fatality_Rate_Over_60)</f>
        <v>0</v>
      </c>
      <c r="R81" s="125">
        <f>1-((1-Risk_of_Provider_Being_Infected*_xlfn.SINGLE(Transmission_Risk_Contact_Health_Care_Provider)*(1-Reduction_in_Risk_PPE))^(2*$G81*(1-Reduction_in_Risk_TS)))*(1-Risk_of_Community_Member_being_Infected*Transmission_Risk_in_Community)^(2*$G81*Contacts_During_Travel_to_Facility)</f>
        <v>0.00323411410781771</v>
      </c>
      <c r="S81" s="124">
        <f>R81*(1-(Percent_Prevalence_at_End_of_Projection_Period-Percent_Prevalence_at_Beginning_of_Projection_Period))</f>
        <v>0.00247948748266024</v>
      </c>
      <c r="T81" s="108">
        <f>$F81*$S81*HH_Size</f>
        <v>0</v>
      </c>
      <c r="U81" s="109">
        <f>$F81*$S81*(HH_Children*Fatality_Rate_Child+HH_Adults*Fatality_Rate_Adult+HH_Over_60*Fatality_Rate_Over_60)</f>
        <v>0</v>
      </c>
      <c r="V81" s="125">
        <f>1-((1-Risk_of_Provider_Being_Infected*_xlfn.SINGLE(Transmission_Risk_Contact_Health_Care_Provider)*(1-Reduction_in_Risk_PPE))^(2*$H81*(1-Reduction_in_Risk_TS)))*(1-Risk_of_Community_Member_being_Infected*Transmission_Risk_in_Community)^(2*$H81*Contacts_During_Travel_to_Facility)</f>
        <v>0.00291117393336704</v>
      </c>
      <c r="W81" s="124">
        <f>V81*(1-(Percent_Prevalence_at_End_of_Projection_Period-Percent_Prevalence_at_Beginning_of_Projection_Period))</f>
        <v>0.0022319000155814</v>
      </c>
      <c r="X81" s="108">
        <f>$F81*$W81*HH_Size</f>
        <v>0</v>
      </c>
      <c r="Y81" s="109">
        <f>$F81*$W81*(HH_Children*Fatality_Rate_Child+HH_Adults*Fatality_Rate_Adult+HH_Over_60*Fatality_Rate_Over_60)</f>
        <v>0</v>
      </c>
      <c r="Z81" s="125">
        <f>1-((1-Risk_of_Provider_Being_Infected*Transmission_Risk_Contact_Health_Care_Provider*(1-$I81))^(2*$G81)*(1-Risk_of_Community_Member_being_Infected*Transmission_Risk_in_Community)^(2*$G81*Contacts_During_Travel_to_Facility))</f>
        <v>0.00271535740490059</v>
      </c>
      <c r="AA81" s="124">
        <f>Z81*(1-(Percent_Prevalence_at_End_of_Projection_Period-Percent_Prevalence_at_Beginning_of_Projection_Period))</f>
        <v>0.00208177401042378</v>
      </c>
      <c r="AB81" s="108">
        <f>$F81*$AA81*HH_Size*Infection_Rate_within_HH</f>
        <v>0</v>
      </c>
      <c r="AC81" s="109">
        <f>$F81*$AA81*Infection_Rate_within_HH*(HH_Children*Fatality_Rate_Child+HH_Adults*Fatality_Rate_Adult+HH_Over_60*Fatality_Rate_Over_60)</f>
        <v>0</v>
      </c>
      <c r="AD81" s="94" t="s">
        <v>98</v>
      </c>
    </row>
    <row r="82" spans="1:30">
      <c r="A82" s="38" t="str">
        <f>IF(VLOOKUP(B82,'[1]1. Select Services'!$A$6:$E$77,5,FALSE)="x","x","")</f>
        <v>x</v>
      </c>
      <c r="B82" s="105">
        <v>65</v>
      </c>
      <c r="C82" s="105">
        <v>73</v>
      </c>
      <c r="D82" s="106"/>
      <c r="E82" s="110" t="s">
        <v>113</v>
      </c>
      <c r="F82" s="108">
        <f>IF(Chosen_Scenario="Mitigation Impact Only",VLOOKUP($B82,'[1]Coverage Review Updated'!$B$5:$T$78,18,FALSE),VLOOKUP($B82,'[1]Coverage Review Updated'!$B$5:$T$78,19,FALSE))</f>
        <v>838100</v>
      </c>
      <c r="G82" s="108">
        <f>VLOOKUP($B82,'[1]7. Number of HW Contacts'!$B$4:$I$84,6,FALSE)</f>
        <v>1</v>
      </c>
      <c r="H82" s="109">
        <f>G82*(1-HLOOKUP($B82,'[1]3. Mitigation Impact on Coverag'!$BY$5:$EQ$7,3,FALSE))</f>
        <v>0.9</v>
      </c>
      <c r="I82" s="123">
        <f>HLOOKUP(B82,'[1]3. Mitigation Impact on Coverag'!ES$5:HK$7,3,FALSE)</f>
        <v>0.89</v>
      </c>
      <c r="J82" s="124">
        <f>1-((1-Risk_of_Provider_Being_Infected*_xlfn.SINGLE(Transmission_Risk_Contact_Health_Care_Provider))^(2*$G82)*(1-Risk_of_Community_Member_being_Infected*Transmission_Risk_in_Community)^(2*$G82*Contacts_During_Travel_to_Facility))</f>
        <v>0.00337488345159576</v>
      </c>
      <c r="K82" s="124">
        <f>J82*(1-(Percent_Prevalence_at_End_of_Projection_Period-Percent_Prevalence_at_Beginning_of_Projection_Period))</f>
        <v>0.00258741064622341</v>
      </c>
      <c r="L82" s="108">
        <f>$F82*$K82*HH_Size</f>
        <v>13661.605834379</v>
      </c>
      <c r="M82" s="109">
        <f>$F82*$J82*(HH_Children*Fatality_Rate_Child+HH_Adults*Fatality_Rate_Adult+HH_Over_60*Fatality_Rate_Over_60)</f>
        <v>34.7135181573965</v>
      </c>
      <c r="N82" s="125">
        <f>1-((1-Risk_of_Provider_Being_Infected*_xlfn.SINGLE(Transmission_Risk_Contact_Health_Care_Provider)*(1-Reduction_in_Risk_PPE))^(2*$G82)*(1-Risk_of_Community_Member_being_Infected*Transmission_Risk_in_Community)^(2*$G82*Contacts_During_Travel_to_Facility))</f>
        <v>0.00330079028006769</v>
      </c>
      <c r="O82" s="124">
        <f>N82*(1-(Percent_Prevalence_at_End_of_Projection_Period-Percent_Prevalence_at_Beginning_of_Projection_Period))</f>
        <v>0.00253060588138523</v>
      </c>
      <c r="P82" s="108">
        <f>$F82*$O82*HH_Size</f>
        <v>13361.6749718904</v>
      </c>
      <c r="Q82" s="109">
        <f>$F82*$O82*(HH_Children*Fatality_Rate_Child+HH_Adults*Fatality_Rate_Adult+HH_Over_60*Fatality_Rate_Over_60)</f>
        <v>26.0294124145662</v>
      </c>
      <c r="R82" s="125">
        <f>1-((1-Risk_of_Provider_Being_Infected*_xlfn.SINGLE(Transmission_Risk_Contact_Health_Care_Provider)*(1-Reduction_in_Risk_PPE))^(2*$G82*(1-Reduction_in_Risk_TS)))*(1-Risk_of_Community_Member_being_Infected*Transmission_Risk_in_Community)^(2*$G82*Contacts_During_Travel_to_Facility)</f>
        <v>0.00323411410781771</v>
      </c>
      <c r="S82" s="124">
        <f>R82*(1-(Percent_Prevalence_at_End_of_Projection_Period-Percent_Prevalence_at_Beginning_of_Projection_Period))</f>
        <v>0.00247948748266024</v>
      </c>
      <c r="T82" s="108">
        <f>$F82*$S82*HH_Size</f>
        <v>13091.7682930706</v>
      </c>
      <c r="U82" s="109">
        <f>$F82*$S82*(HH_Children*Fatality_Rate_Child+HH_Adults*Fatality_Rate_Adult+HH_Over_60*Fatality_Rate_Over_60)</f>
        <v>25.5036166388697</v>
      </c>
      <c r="V82" s="125">
        <f>1-((1-Risk_of_Provider_Being_Infected*_xlfn.SINGLE(Transmission_Risk_Contact_Health_Care_Provider)*(1-Reduction_in_Risk_PPE))^(2*$H82*(1-Reduction_in_Risk_TS)))*(1-Risk_of_Community_Member_being_Infected*Transmission_Risk_in_Community)^(2*$H82*Contacts_During_Travel_to_Facility)</f>
        <v>0.00291117393336704</v>
      </c>
      <c r="W82" s="124">
        <f>V82*(1-(Percent_Prevalence_at_End_of_Projection_Period-Percent_Prevalence_at_Beginning_of_Projection_Period))</f>
        <v>0.0022319000155814</v>
      </c>
      <c r="X82" s="108">
        <f>$F82*$W82*HH_Size</f>
        <v>11784.4990392702</v>
      </c>
      <c r="Y82" s="109">
        <f>$F82*$W82*(HH_Children*Fatality_Rate_Child+HH_Adults*Fatality_Rate_Adult+HH_Over_60*Fatality_Rate_Over_60)</f>
        <v>22.9569710562137</v>
      </c>
      <c r="Z82" s="125">
        <f>1-((1-Risk_of_Provider_Being_Infected*Transmission_Risk_Contact_Health_Care_Provider*(1-$I82))^(2*$G82)*(1-Risk_of_Community_Member_being_Infected*Transmission_Risk_in_Community)^(2*$G82*Contacts_During_Travel_to_Facility))</f>
        <v>0.00271535740490059</v>
      </c>
      <c r="AA82" s="124">
        <f>Z82*(1-(Percent_Prevalence_at_End_of_Projection_Period-Percent_Prevalence_at_Beginning_of_Projection_Period))</f>
        <v>0.00208177401042378</v>
      </c>
      <c r="AB82" s="108">
        <f>$F82*$AA82*HH_Size*Infection_Rate_within_HH</f>
        <v>9892.6463054321</v>
      </c>
      <c r="AC82" s="109">
        <f>$F82*$AA82*Infection_Rate_within_HH*(HH_Children*Fatality_Rate_Child+HH_Adults*Fatality_Rate_Adult+HH_Over_60*Fatality_Rate_Over_60)</f>
        <v>19.2715188101222</v>
      </c>
      <c r="AD82" s="94" t="s">
        <v>98</v>
      </c>
    </row>
    <row r="83" spans="1:30">
      <c r="A83" s="38" t="str">
        <f>IF(VLOOKUP(B83,'[1]1. Select Services'!$A$6:$E$77,5,FALSE)="x","x","")</f>
        <v>x</v>
      </c>
      <c r="B83" s="105">
        <v>66</v>
      </c>
      <c r="C83" s="105">
        <v>74</v>
      </c>
      <c r="D83" s="106"/>
      <c r="E83" s="110" t="s">
        <v>114</v>
      </c>
      <c r="F83" s="108">
        <f>IF(Chosen_Scenario="Mitigation Impact Only",VLOOKUP($B83,'[1]Coverage Review Updated'!$B$5:$T$78,18,FALSE),VLOOKUP($B83,'[1]Coverage Review Updated'!$B$5:$T$78,19,FALSE))</f>
        <v>1441800</v>
      </c>
      <c r="G83" s="108">
        <f>VLOOKUP($B83,'[1]7. Number of HW Contacts'!$B$4:$I$84,6,FALSE)</f>
        <v>1</v>
      </c>
      <c r="H83" s="109">
        <f>G83*(1-HLOOKUP($B83,'[1]3. Mitigation Impact on Coverag'!$BY$5:$EQ$7,3,FALSE))</f>
        <v>0.9</v>
      </c>
      <c r="I83" s="123">
        <f>HLOOKUP(B83,'[1]3. Mitigation Impact on Coverag'!ES$5:HK$7,3,FALSE)</f>
        <v>0.89</v>
      </c>
      <c r="J83" s="124">
        <f>1-((1-Risk_of_Provider_Being_Infected*_xlfn.SINGLE(Transmission_Risk_Contact_Health_Care_Provider))^(2*$G83)*(1-Risk_of_Community_Member_being_Infected*Transmission_Risk_in_Community)^(2*$G83*Contacts_During_Travel_to_Facility))</f>
        <v>0.00337488345159576</v>
      </c>
      <c r="K83" s="124">
        <f>J83*(1-(Percent_Prevalence_at_End_of_Projection_Period-Percent_Prevalence_at_Beginning_of_Projection_Period))</f>
        <v>0.00258741064622341</v>
      </c>
      <c r="L83" s="108">
        <f>$F83*$K83*HH_Size</f>
        <v>23502.330619267</v>
      </c>
      <c r="M83" s="109">
        <f>$F83*$J83*(HH_Children*Fatality_Rate_Child+HH_Adults*Fatality_Rate_Adult+HH_Over_60*Fatality_Rate_Over_60)</f>
        <v>59.7183516040261</v>
      </c>
      <c r="N83" s="125">
        <f>1-((1-Risk_of_Provider_Being_Infected*_xlfn.SINGLE(Transmission_Risk_Contact_Health_Care_Provider)*(1-Reduction_in_Risk_PPE))^(2*$G83)*(1-Risk_of_Community_Member_being_Infected*Transmission_Risk_in_Community)^(2*$G83*Contacts_During_Travel_to_Facility))</f>
        <v>0.00330079028006769</v>
      </c>
      <c r="O83" s="124">
        <f>N83*(1-(Percent_Prevalence_at_End_of_Projection_Period-Percent_Prevalence_at_Beginning_of_Projection_Period))</f>
        <v>0.00253060588138523</v>
      </c>
      <c r="P83" s="108">
        <f>$F83*$O83*HH_Size</f>
        <v>22986.3536266217</v>
      </c>
      <c r="Q83" s="109">
        <f>$F83*$O83*(HH_Children*Fatality_Rate_Child+HH_Adults*Fatality_Rate_Adult+HH_Over_60*Fatality_Rate_Over_60)</f>
        <v>44.7789128019586</v>
      </c>
      <c r="R83" s="125">
        <f>1-((1-Risk_of_Provider_Being_Infected*_xlfn.SINGLE(Transmission_Risk_Contact_Health_Care_Provider)*(1-Reduction_in_Risk_PPE))^(2*$G83*(1-Reduction_in_Risk_TS)))*(1-Risk_of_Community_Member_being_Infected*Transmission_Risk_in_Community)^(2*$G83*Contacts_During_Travel_to_Facility)</f>
        <v>0.00323411410781771</v>
      </c>
      <c r="S83" s="124">
        <f>R83*(1-(Percent_Prevalence_at_End_of_Projection_Period-Percent_Prevalence_at_Beginning_of_Projection_Period))</f>
        <v>0.00247948748266024</v>
      </c>
      <c r="T83" s="108">
        <f>$F83*$S83*HH_Size</f>
        <v>22522.0278307471</v>
      </c>
      <c r="U83" s="109">
        <f>$F83*$S83*(HH_Children*Fatality_Rate_Child+HH_Adults*Fatality_Rate_Adult+HH_Over_60*Fatality_Rate_Over_60)</f>
        <v>43.8743759335669</v>
      </c>
      <c r="V83" s="125">
        <f>1-((1-Risk_of_Provider_Being_Infected*_xlfn.SINGLE(Transmission_Risk_Contact_Health_Care_Provider)*(1-Reduction_in_Risk_PPE))^(2*$H83*(1-Reduction_in_Risk_TS)))*(1-Risk_of_Community_Member_being_Infected*Transmission_Risk_in_Community)^(2*$H83*Contacts_During_Travel_to_Facility)</f>
        <v>0.00291117393336704</v>
      </c>
      <c r="W83" s="124">
        <f>V83*(1-(Percent_Prevalence_at_End_of_Projection_Period-Percent_Prevalence_at_Beginning_of_Projection_Period))</f>
        <v>0.0022319000155814</v>
      </c>
      <c r="X83" s="108">
        <f>$F83*$W83*HH_Size</f>
        <v>20273.1066875311</v>
      </c>
      <c r="Y83" s="109">
        <f>$F83*$W83*(HH_Children*Fatality_Rate_Child+HH_Adults*Fatality_Rate_Adult+HH_Over_60*Fatality_Rate_Over_60)</f>
        <v>39.493331188222</v>
      </c>
      <c r="Z83" s="125">
        <f>1-((1-Risk_of_Provider_Being_Infected*Transmission_Risk_Contact_Health_Care_Provider*(1-$I83))^(2*$G83)*(1-Risk_of_Community_Member_being_Infected*Transmission_Risk_in_Community)^(2*$G83*Contacts_During_Travel_to_Facility))</f>
        <v>0.00271535740490059</v>
      </c>
      <c r="AA83" s="124">
        <f>Z83*(1-(Percent_Prevalence_at_End_of_Projection_Period-Percent_Prevalence_at_Beginning_of_Projection_Period))</f>
        <v>0.00208177401042378</v>
      </c>
      <c r="AB83" s="108">
        <f>$F83*$AA83*HH_Size*Infection_Rate_within_HH</f>
        <v>17018.5150258585</v>
      </c>
      <c r="AC83" s="109">
        <f>$F83*$AA83*Infection_Rate_within_HH*(HH_Children*Fatality_Rate_Child+HH_Adults*Fatality_Rate_Adult+HH_Over_60*Fatality_Rate_Over_60)</f>
        <v>33.1531748245248</v>
      </c>
      <c r="AD83" s="94" t="s">
        <v>98</v>
      </c>
    </row>
    <row r="84" spans="1:30">
      <c r="A84" s="38" t="str">
        <f>IF(VLOOKUP(B84,'[1]1. Select Services'!$A$6:$E$77,5,FALSE)="x","x","")</f>
        <v>x</v>
      </c>
      <c r="B84" s="105">
        <v>67</v>
      </c>
      <c r="C84" s="105">
        <v>75</v>
      </c>
      <c r="D84" s="106"/>
      <c r="E84" s="110" t="s">
        <v>115</v>
      </c>
      <c r="F84" s="108">
        <f>IF(Chosen_Scenario="Mitigation Impact Only",VLOOKUP($B84,'[1]Coverage Review Updated'!$B$5:$T$78,18,FALSE),VLOOKUP($B84,'[1]Coverage Review Updated'!$B$5:$T$78,19,FALSE))</f>
        <v>0</v>
      </c>
      <c r="G84" s="108">
        <f>VLOOKUP($B84,'[1]7. Number of HW Contacts'!$B$4:$I$84,6,FALSE)</f>
        <v>1</v>
      </c>
      <c r="H84" s="109">
        <f>G84*(1-HLOOKUP($B84,'[1]3. Mitigation Impact on Coverag'!$BY$5:$EQ$7,3,FALSE))</f>
        <v>0.9</v>
      </c>
      <c r="I84" s="123">
        <f>HLOOKUP(B84,'[1]3. Mitigation Impact on Coverag'!ES$5:HK$7,3,FALSE)</f>
        <v>0.89</v>
      </c>
      <c r="J84" s="124">
        <f>1-((1-Risk_of_Provider_Being_Infected*_xlfn.SINGLE(Transmission_Risk_Contact_Health_Care_Provider))^(2*$G84)*(1-Risk_of_Community_Member_being_Infected*Transmission_Risk_in_Community)^(2*$G84*Contacts_During_Travel_to_Facility))</f>
        <v>0.00337488345159576</v>
      </c>
      <c r="K84" s="124">
        <f>J84*(1-(Percent_Prevalence_at_End_of_Projection_Period-Percent_Prevalence_at_Beginning_of_Projection_Period))</f>
        <v>0.00258741064622341</v>
      </c>
      <c r="L84" s="108">
        <f>$F84*$K84*HH_Size</f>
        <v>0</v>
      </c>
      <c r="M84" s="109">
        <f>$F84*$J84*(HH_Children*Fatality_Rate_Child+HH_Adults*Fatality_Rate_Adult+HH_Over_60*Fatality_Rate_Over_60)</f>
        <v>0</v>
      </c>
      <c r="N84" s="125">
        <f>1-((1-Risk_of_Provider_Being_Infected*_xlfn.SINGLE(Transmission_Risk_Contact_Health_Care_Provider)*(1-Reduction_in_Risk_PPE))^(2*$G84)*(1-Risk_of_Community_Member_being_Infected*Transmission_Risk_in_Community)^(2*$G84*Contacts_During_Travel_to_Facility))</f>
        <v>0.00330079028006769</v>
      </c>
      <c r="O84" s="124">
        <f>N84*(1-(Percent_Prevalence_at_End_of_Projection_Period-Percent_Prevalence_at_Beginning_of_Projection_Period))</f>
        <v>0.00253060588138523</v>
      </c>
      <c r="P84" s="108">
        <f>$F84*$O84*HH_Size</f>
        <v>0</v>
      </c>
      <c r="Q84" s="109">
        <f>$F84*$O84*(HH_Children*Fatality_Rate_Child+HH_Adults*Fatality_Rate_Adult+HH_Over_60*Fatality_Rate_Over_60)</f>
        <v>0</v>
      </c>
      <c r="R84" s="125">
        <f>1-((1-Risk_of_Provider_Being_Infected*_xlfn.SINGLE(Transmission_Risk_Contact_Health_Care_Provider)*(1-Reduction_in_Risk_PPE))^(2*$G84*(1-Reduction_in_Risk_TS)))*(1-Risk_of_Community_Member_being_Infected*Transmission_Risk_in_Community)^(2*$G84*Contacts_During_Travel_to_Facility)</f>
        <v>0.00323411410781771</v>
      </c>
      <c r="S84" s="124">
        <f>R84*(1-(Percent_Prevalence_at_End_of_Projection_Period-Percent_Prevalence_at_Beginning_of_Projection_Period))</f>
        <v>0.00247948748266024</v>
      </c>
      <c r="T84" s="108">
        <f>$F84*$S84*HH_Size</f>
        <v>0</v>
      </c>
      <c r="U84" s="109">
        <f>$F84*$S84*(HH_Children*Fatality_Rate_Child+HH_Adults*Fatality_Rate_Adult+HH_Over_60*Fatality_Rate_Over_60)</f>
        <v>0</v>
      </c>
      <c r="V84" s="125">
        <f>1-((1-Risk_of_Provider_Being_Infected*_xlfn.SINGLE(Transmission_Risk_Contact_Health_Care_Provider)*(1-Reduction_in_Risk_PPE))^(2*$H84*(1-Reduction_in_Risk_TS)))*(1-Risk_of_Community_Member_being_Infected*Transmission_Risk_in_Community)^(2*$H84*Contacts_During_Travel_to_Facility)</f>
        <v>0.00291117393336704</v>
      </c>
      <c r="W84" s="124">
        <f>V84*(1-(Percent_Prevalence_at_End_of_Projection_Period-Percent_Prevalence_at_Beginning_of_Projection_Period))</f>
        <v>0.0022319000155814</v>
      </c>
      <c r="X84" s="108">
        <f>$F84*$W84*HH_Size</f>
        <v>0</v>
      </c>
      <c r="Y84" s="109">
        <f>$F84*$W84*(HH_Children*Fatality_Rate_Child+HH_Adults*Fatality_Rate_Adult+HH_Over_60*Fatality_Rate_Over_60)</f>
        <v>0</v>
      </c>
      <c r="Z84" s="125">
        <f>1-((1-Risk_of_Provider_Being_Infected*Transmission_Risk_Contact_Health_Care_Provider*(1-$I84))^(2*$G84)*(1-Risk_of_Community_Member_being_Infected*Transmission_Risk_in_Community)^(2*$G84*Contacts_During_Travel_to_Facility))</f>
        <v>0.00271535740490059</v>
      </c>
      <c r="AA84" s="124">
        <f>Z84*(1-(Percent_Prevalence_at_End_of_Projection_Period-Percent_Prevalence_at_Beginning_of_Projection_Period))</f>
        <v>0.00208177401042378</v>
      </c>
      <c r="AB84" s="108">
        <f>$F84*$AA84*HH_Size*Infection_Rate_within_HH</f>
        <v>0</v>
      </c>
      <c r="AC84" s="109">
        <f>$F84*$AA84*Infection_Rate_within_HH*(HH_Children*Fatality_Rate_Child+HH_Adults*Fatality_Rate_Adult+HH_Over_60*Fatality_Rate_Over_60)</f>
        <v>0</v>
      </c>
      <c r="AD84" s="94" t="s">
        <v>98</v>
      </c>
    </row>
    <row r="85" spans="1:30">
      <c r="A85" s="38" t="str">
        <f>IF(VLOOKUP(B85,'[1]1. Select Services'!$A$6:$E$77,5,FALSE)="x","x","")</f>
        <v>x</v>
      </c>
      <c r="B85" s="105">
        <v>68</v>
      </c>
      <c r="C85" s="105">
        <v>76</v>
      </c>
      <c r="D85" s="106"/>
      <c r="E85" s="110" t="s">
        <v>116</v>
      </c>
      <c r="F85" s="108">
        <f>IF(Chosen_Scenario="Mitigation Impact Only",VLOOKUP($B85,'[1]Coverage Review Updated'!$B$5:$T$78,18,FALSE),VLOOKUP($B85,'[1]Coverage Review Updated'!$B$5:$T$78,19,FALSE))</f>
        <v>1084200</v>
      </c>
      <c r="G85" s="108">
        <f>VLOOKUP($B85,'[1]7. Number of HW Contacts'!$B$4:$I$84,6,FALSE)</f>
        <v>2</v>
      </c>
      <c r="H85" s="109">
        <f>G85*(1-HLOOKUP($B85,'[1]3. Mitigation Impact on Coverag'!$BY$5:$EQ$7,3,FALSE))</f>
        <v>1.8</v>
      </c>
      <c r="I85" s="123">
        <f>HLOOKUP(B85,'[1]3. Mitigation Impact on Coverag'!ES$5:HK$7,3,FALSE)</f>
        <v>0.89</v>
      </c>
      <c r="J85" s="124">
        <f>1-((1-Risk_of_Provider_Being_Infected*_xlfn.SINGLE(Transmission_Risk_Contact_Health_Care_Provider))^(2*$G85)*(1-Risk_of_Community_Member_being_Infected*Transmission_Risk_in_Community)^(2*$G85*Contacts_During_Travel_to_Facility))</f>
        <v>0.00673837706487967</v>
      </c>
      <c r="K85" s="124">
        <f>J85*(1-(Percent_Prevalence_at_End_of_Projection_Period-Percent_Prevalence_at_Beginning_of_Projection_Period))</f>
        <v>0.00516608908307442</v>
      </c>
      <c r="L85" s="108">
        <f>$F85*$K85*HH_Size</f>
        <v>35286.7648383765</v>
      </c>
      <c r="M85" s="109">
        <f>$F85*$J85*(HH_Children*Fatality_Rate_Child+HH_Adults*Fatality_Rate_Adult+HH_Over_60*Fatality_Rate_Over_60)</f>
        <v>89.6620621896636</v>
      </c>
      <c r="N85" s="125">
        <f>1-((1-Risk_of_Provider_Being_Infected*_xlfn.SINGLE(Transmission_Risk_Contact_Health_Care_Provider)*(1-Reduction_in_Risk_PPE))^(2*$G85)*(1-Risk_of_Community_Member_being_Infected*Transmission_Risk_in_Community)^(2*$G85*Contacts_During_Travel_to_Facility))</f>
        <v>0.00659068534366247</v>
      </c>
      <c r="O85" s="124">
        <f>N85*(1-(Percent_Prevalence_at_End_of_Projection_Period-Percent_Prevalence_at_Beginning_of_Projection_Period))</f>
        <v>0.00505285876347456</v>
      </c>
      <c r="P85" s="108">
        <f>$F85*$O85*HH_Size</f>
        <v>34513.3496695625</v>
      </c>
      <c r="Q85" s="109">
        <f>$F85*$O85*(HH_Children*Fatality_Rate_Child+HH_Adults*Fatality_Rate_Adult+HH_Over_60*Fatality_Rate_Over_60)</f>
        <v>67.2342512631909</v>
      </c>
      <c r="R85" s="125">
        <f>1-((1-Risk_of_Provider_Being_Infected*_xlfn.SINGLE(Transmission_Risk_Contact_Health_Care_Provider)*(1-Reduction_in_Risk_PPE))^(2*$G85*(1-Reduction_in_Risk_TS)))*(1-Risk_of_Community_Member_being_Infected*Transmission_Risk_in_Community)^(2*$G85*Contacts_During_Travel_to_Facility)</f>
        <v>0.00645776872157322</v>
      </c>
      <c r="S85" s="124">
        <f>R85*(1-(Percent_Prevalence_at_End_of_Projection_Period-Percent_Prevalence_at_Beginning_of_Projection_Period))</f>
        <v>0.0049509560198728</v>
      </c>
      <c r="T85" s="108">
        <f>$F85*$S85*HH_Size</f>
        <v>33817.3070555004</v>
      </c>
      <c r="U85" s="109">
        <f>$F85*$S85*(HH_Children*Fatality_Rate_Child+HH_Adults*Fatality_Rate_Adult+HH_Over_60*Fatality_Rate_Over_60)</f>
        <v>65.8783149529866</v>
      </c>
      <c r="V85" s="125">
        <f>1-((1-Risk_of_Provider_Being_Infected*_xlfn.SINGLE(Transmission_Risk_Contact_Health_Care_Provider)*(1-Reduction_in_Risk_PPE))^(2*$H85*(1-Reduction_in_Risk_TS)))*(1-Risk_of_Community_Member_being_Infected*Transmission_Risk_in_Community)^(2*$H85*Contacts_During_Travel_to_Facility)</f>
        <v>0.0058138729330639</v>
      </c>
      <c r="W85" s="124">
        <f>V85*(1-(Percent_Prevalence_at_End_of_Projection_Period-Percent_Prevalence_at_Beginning_of_Projection_Period))</f>
        <v>0.00445730258201566</v>
      </c>
      <c r="X85" s="108">
        <f>$F85*$W85*HH_Size</f>
        <v>30445.4269943547</v>
      </c>
      <c r="Y85" s="109">
        <f>$F85*$W85*(HH_Children*Fatality_Rate_Child+HH_Adults*Fatality_Rate_Adult+HH_Over_60*Fatality_Rate_Over_60)</f>
        <v>59.3096731540613</v>
      </c>
      <c r="Z85" s="125">
        <f>1-((1-Risk_of_Provider_Being_Infected*Transmission_Risk_Contact_Health_Care_Provider*(1-$I85))^(2*$G85)*(1-Risk_of_Community_Member_being_Infected*Transmission_Risk_in_Community)^(2*$G85*Contacts_During_Travel_to_Facility))</f>
        <v>0.00542334164396496</v>
      </c>
      <c r="AA85" s="124">
        <f>Z85*(1-(Percent_Prevalence_at_End_of_Projection_Period-Percent_Prevalence_at_Beginning_of_Projection_Period))</f>
        <v>0.00415789526037314</v>
      </c>
      <c r="AB85" s="108">
        <f>$F85*$AA85*HH_Size*Infection_Rate_within_HH</f>
        <v>25560.3035341515</v>
      </c>
      <c r="AC85" s="109">
        <f>$F85*$AA85*Infection_Rate_within_HH*(HH_Children*Fatality_Rate_Child+HH_Adults*Fatality_Rate_Adult+HH_Over_60*Fatality_Rate_Over_60)</f>
        <v>49.7931347328523</v>
      </c>
      <c r="AD85" s="94" t="s">
        <v>98</v>
      </c>
    </row>
    <row r="86" spans="1:30">
      <c r="A86" s="38" t="str">
        <f>IF(VLOOKUP(B86,'[1]1. Select Services'!$A$6:$E$77,5,FALSE)="x","x","")</f>
        <v/>
      </c>
      <c r="B86" s="111">
        <v>69</v>
      </c>
      <c r="C86" s="111">
        <v>77</v>
      </c>
      <c r="D86" s="112" t="s">
        <v>36</v>
      </c>
      <c r="E86" s="113" t="s">
        <v>117</v>
      </c>
      <c r="F86" s="114">
        <f>IF(Chosen_Scenario="Mitigation Impact Only",VLOOKUP($B86,'[1]Coverage Review Updated'!$B$5:$T$78,18,FALSE),VLOOKUP($B86,'[1]Coverage Review Updated'!$B$5:$T$78,19,FALSE))</f>
        <v>0</v>
      </c>
      <c r="G86" s="114">
        <f>VLOOKUP($B85,'[1]7. Number of HW Contacts'!$B$4:$I$84,6,FALSE)</f>
        <v>2</v>
      </c>
      <c r="H86" s="115">
        <f>G86*(1-HLOOKUP($B85,'[1]3. Mitigation Impact on Coverag'!$BY$5:$EQ$7,3,FALSE))</f>
        <v>1.8</v>
      </c>
      <c r="I86" s="126">
        <f>HLOOKUP(B86,'[1]3. Mitigation Impact on Coverag'!ES$5:HK$7,3,FALSE)</f>
        <v>0</v>
      </c>
      <c r="J86" s="127">
        <f>1-((1-Risk_of_Provider_Being_Infected*_xlfn.SINGLE(Transmission_Risk_Contact_Health_Care_Provider))^(2*$G86)*(1-Risk_of_Community_Member_being_Infected*Transmission_Risk_in_Community)^(2*$G86*Contacts_During_Travel_to_Facility))</f>
        <v>0.00673837706487967</v>
      </c>
      <c r="K86" s="127">
        <f>J86*(1-(Percent_Prevalence_at_End_of_Projection_Period-Percent_Prevalence_at_Beginning_of_Projection_Period))</f>
        <v>0.00516608908307442</v>
      </c>
      <c r="L86" s="114">
        <f>$F86*$K86*HH_Size</f>
        <v>0</v>
      </c>
      <c r="M86" s="115">
        <f>$F86*$J86*(HH_Children*Fatality_Rate_Child+HH_Adults*Fatality_Rate_Adult+HH_Over_60*Fatality_Rate_Over_60)</f>
        <v>0</v>
      </c>
      <c r="N86" s="128">
        <f>1-((1-Risk_of_Provider_Being_Infected*_xlfn.SINGLE(Transmission_Risk_Contact_Health_Care_Provider)*(1-Reduction_in_Risk_PPE))^(2*$G86)*(1-Risk_of_Community_Member_being_Infected*Transmission_Risk_in_Community)^(2*$G86*Contacts_During_Travel_to_Facility))</f>
        <v>0.00659068534366247</v>
      </c>
      <c r="O86" s="127">
        <f>N86*(1-(Percent_Prevalence_at_End_of_Projection_Period-Percent_Prevalence_at_Beginning_of_Projection_Period))</f>
        <v>0.00505285876347456</v>
      </c>
      <c r="P86" s="114">
        <f>$F86*$O86*HH_Size</f>
        <v>0</v>
      </c>
      <c r="Q86" s="115">
        <f>$F86*$O86*(HH_Children*Fatality_Rate_Child+HH_Adults*Fatality_Rate_Adult+HH_Over_60*Fatality_Rate_Over_60)</f>
        <v>0</v>
      </c>
      <c r="R86" s="128">
        <f>1-((1-Risk_of_Provider_Being_Infected*_xlfn.SINGLE(Transmission_Risk_Contact_Health_Care_Provider)*(1-Reduction_in_Risk_PPE))^(2*$G86*(1-Reduction_in_Risk_TS)))*(1-Risk_of_Community_Member_being_Infected*Transmission_Risk_in_Community)^(2*$G86*Contacts_During_Travel_to_Facility)</f>
        <v>0.00645776872157322</v>
      </c>
      <c r="S86" s="127">
        <f>R86*(1-(Percent_Prevalence_at_End_of_Projection_Period-Percent_Prevalence_at_Beginning_of_Projection_Period))</f>
        <v>0.0049509560198728</v>
      </c>
      <c r="T86" s="114">
        <f>$F86*$S86*HH_Size</f>
        <v>0</v>
      </c>
      <c r="U86" s="115">
        <f>$F86*$S86*(HH_Children*Fatality_Rate_Child+HH_Adults*Fatality_Rate_Adult+HH_Over_60*Fatality_Rate_Over_60)</f>
        <v>0</v>
      </c>
      <c r="V86" s="128">
        <f>1-((1-Risk_of_Provider_Being_Infected*_xlfn.SINGLE(Transmission_Risk_Contact_Health_Care_Provider)*(1-Reduction_in_Risk_PPE))^(2*$H86*(1-Reduction_in_Risk_TS)))*(1-Risk_of_Community_Member_being_Infected*Transmission_Risk_in_Community)^(2*$H86*Contacts_During_Travel_to_Facility)</f>
        <v>0.0058138729330639</v>
      </c>
      <c r="W86" s="127">
        <f>V86*(1-(Percent_Prevalence_at_End_of_Projection_Period-Percent_Prevalence_at_Beginning_of_Projection_Period))</f>
        <v>0.00445730258201566</v>
      </c>
      <c r="X86" s="114">
        <f>$F86*$W86*HH_Size</f>
        <v>0</v>
      </c>
      <c r="Y86" s="115">
        <f>$F86*$W86*(HH_Children*Fatality_Rate_Child+HH_Adults*Fatality_Rate_Adult+HH_Over_60*Fatality_Rate_Over_60)</f>
        <v>0</v>
      </c>
      <c r="Z86" s="128">
        <f>1-((1-Risk_of_Provider_Being_Infected*Transmission_Risk_Contact_Health_Care_Provider*(1-$I86))^(2*$G86)*(1-Risk_of_Community_Member_being_Infected*Transmission_Risk_in_Community)^(2*$G86*Contacts_During_Travel_to_Facility))</f>
        <v>0.00673837706487967</v>
      </c>
      <c r="AA86" s="127">
        <f>Z86*(1-(Percent_Prevalence_at_End_of_Projection_Period-Percent_Prevalence_at_Beginning_of_Projection_Period))</f>
        <v>0.00516608908307442</v>
      </c>
      <c r="AB86" s="114">
        <f>$F86*$AA86*HH_Size*Infection_Rate_within_HH</f>
        <v>0</v>
      </c>
      <c r="AC86" s="115">
        <f>$F86*$AA86*Infection_Rate_within_HH*(HH_Children*Fatality_Rate_Child+HH_Adults*Fatality_Rate_Adult+HH_Over_60*Fatality_Rate_Over_60)</f>
        <v>0</v>
      </c>
      <c r="AD86" s="94" t="s">
        <v>98</v>
      </c>
    </row>
    <row r="87" spans="1:30">
      <c r="A87" s="38" t="str">
        <f>IF(VLOOKUP(B87,'[1]1. Select Services'!$A$6:$E$77,5,FALSE)="x","x","")</f>
        <v/>
      </c>
      <c r="B87" s="111">
        <v>70</v>
      </c>
      <c r="C87" s="111">
        <v>78</v>
      </c>
      <c r="D87" s="112"/>
      <c r="E87" s="113" t="s">
        <v>118</v>
      </c>
      <c r="F87" s="114">
        <f>IF(Chosen_Scenario="Mitigation Impact Only",VLOOKUP($B87,'[1]Coverage Review Updated'!$B$5:$T$78,18,FALSE),VLOOKUP($B87,'[1]Coverage Review Updated'!$B$5:$T$78,19,FALSE))</f>
        <v>0</v>
      </c>
      <c r="G87" s="114">
        <f>VLOOKUP($B86,'[1]7. Number of HW Contacts'!$B$4:$I$84,6,FALSE)</f>
        <v>4</v>
      </c>
      <c r="H87" s="115">
        <f>G87*(1-HLOOKUP($B86,'[1]3. Mitigation Impact on Coverag'!$BY$5:$EQ$7,3,FALSE))</f>
        <v>4</v>
      </c>
      <c r="I87" s="126">
        <f>HLOOKUP(B87,'[1]3. Mitigation Impact on Coverag'!ES$5:HK$7,3,FALSE)</f>
        <v>0</v>
      </c>
      <c r="J87" s="127">
        <f>1-((1-Risk_of_Provider_Being_Infected*_xlfn.SINGLE(Transmission_Risk_Contact_Health_Care_Provider))^(2*$G87)*(1-Risk_of_Community_Member_being_Infected*Transmission_Risk_in_Community)^(2*$G87*Contacts_During_Travel_to_Facility))</f>
        <v>0.0134313484042911</v>
      </c>
      <c r="K87" s="127">
        <f>J87*(1-(Percent_Prevalence_at_End_of_Projection_Period-Percent_Prevalence_at_Beginning_of_Projection_Period))</f>
        <v>0.0102973671099565</v>
      </c>
      <c r="L87" s="114">
        <f>$F87*$K87*HH_Size</f>
        <v>0</v>
      </c>
      <c r="M87" s="115">
        <f>$F87*$J87*(HH_Children*Fatality_Rate_Child+HH_Adults*Fatality_Rate_Adult+HH_Over_60*Fatality_Rate_Over_60)</f>
        <v>0</v>
      </c>
      <c r="N87" s="128">
        <f>1-((1-Risk_of_Provider_Being_Infected*_xlfn.SINGLE(Transmission_Risk_Contact_Health_Care_Provider)*(1-Reduction_in_Risk_PPE))^(2*$G87)*(1-Risk_of_Community_Member_being_Infected*Transmission_Risk_in_Community)^(2*$G87*Contacts_During_Travel_to_Facility))</f>
        <v>0.0131379335540256</v>
      </c>
      <c r="O87" s="127">
        <f>N87*(1-(Percent_Prevalence_at_End_of_Projection_Period-Percent_Prevalence_at_Beginning_of_Projection_Period))</f>
        <v>0.010072415724753</v>
      </c>
      <c r="P87" s="114">
        <f>$F87*$O87*HH_Size</f>
        <v>0</v>
      </c>
      <c r="Q87" s="115">
        <f>$F87*$O87*(HH_Children*Fatality_Rate_Child+HH_Adults*Fatality_Rate_Adult+HH_Over_60*Fatality_Rate_Over_60)</f>
        <v>0</v>
      </c>
      <c r="R87" s="128">
        <f>1-((1-Risk_of_Provider_Being_Infected*_xlfn.SINGLE(Transmission_Risk_Contact_Health_Care_Provider)*(1-Reduction_in_Risk_PPE))^(2*$G87*(1-Reduction_in_Risk_TS)))*(1-Risk_of_Community_Member_being_Infected*Transmission_Risk_in_Community)^(2*$G87*Contacts_During_Travel_to_Facility)</f>
        <v>0.0128738346662849</v>
      </c>
      <c r="S87" s="127">
        <f>R87*(1-(Percent_Prevalence_at_End_of_Projection_Period-Percent_Prevalence_at_Beginning_of_Projection_Period))</f>
        <v>0.00986993991081841</v>
      </c>
      <c r="T87" s="114">
        <f>$F87*$S87*HH_Size</f>
        <v>0</v>
      </c>
      <c r="U87" s="115">
        <f>$F87*$S87*(HH_Children*Fatality_Rate_Child+HH_Adults*Fatality_Rate_Adult+HH_Over_60*Fatality_Rate_Over_60)</f>
        <v>0</v>
      </c>
      <c r="V87" s="128">
        <f>1-((1-Risk_of_Provider_Being_Infected*_xlfn.SINGLE(Transmission_Risk_Contact_Health_Care_Provider)*(1-Reduction_in_Risk_PPE))^(2*$H87*(1-Reduction_in_Risk_TS)))*(1-Risk_of_Community_Member_being_Infected*Transmission_Risk_in_Community)^(2*$H87*Contacts_During_Travel_to_Facility)</f>
        <v>0.0128738346662849</v>
      </c>
      <c r="W87" s="127">
        <f>V87*(1-(Percent_Prevalence_at_End_of_Projection_Period-Percent_Prevalence_at_Beginning_of_Projection_Period))</f>
        <v>0.00986993991081841</v>
      </c>
      <c r="X87" s="114">
        <f>$F87*$W87*HH_Size</f>
        <v>0</v>
      </c>
      <c r="Y87" s="115">
        <f>$F87*$W87*(HH_Children*Fatality_Rate_Child+HH_Adults*Fatality_Rate_Adult+HH_Over_60*Fatality_Rate_Over_60)</f>
        <v>0</v>
      </c>
      <c r="Z87" s="128">
        <f>1-((1-Risk_of_Provider_Being_Infected*Transmission_Risk_Contact_Health_Care_Provider*(1-$I87))^(2*$G87)*(1-Risk_of_Community_Member_being_Infected*Transmission_Risk_in_Community)^(2*$G87*Contacts_During_Travel_to_Facility))</f>
        <v>0.0134313484042911</v>
      </c>
      <c r="AA87" s="127">
        <f>Z87*(1-(Percent_Prevalence_at_End_of_Projection_Period-Percent_Prevalence_at_Beginning_of_Projection_Period))</f>
        <v>0.0102973671099565</v>
      </c>
      <c r="AB87" s="114">
        <f>$F87*$AA87*HH_Size*Infection_Rate_within_HH</f>
        <v>0</v>
      </c>
      <c r="AC87" s="115">
        <f>$F87*$AA87*Infection_Rate_within_HH*(HH_Children*Fatality_Rate_Child+HH_Adults*Fatality_Rate_Adult+HH_Over_60*Fatality_Rate_Over_60)</f>
        <v>0</v>
      </c>
      <c r="AD87" s="94" t="s">
        <v>98</v>
      </c>
    </row>
    <row r="88" spans="1:30">
      <c r="A88" s="38" t="str">
        <f>IF(VLOOKUP(B88,'[1]1. Select Services'!$A$6:$E$77,5,FALSE)="x","x","")</f>
        <v/>
      </c>
      <c r="B88" s="116">
        <v>71</v>
      </c>
      <c r="C88" s="117">
        <v>54</v>
      </c>
      <c r="D88" s="118"/>
      <c r="E88" s="119" t="s">
        <v>119</v>
      </c>
      <c r="F88" s="120">
        <f>IF(Chosen_Scenario="Mitigation Impact Only",VLOOKUP($B88,'[1]Coverage Review Updated'!$B$5:$T$78,18,FALSE),VLOOKUP($B88,'[1]Coverage Review Updated'!$B$5:$T$78,19,FALSE))</f>
        <v>0</v>
      </c>
      <c r="G88" s="120">
        <f>VLOOKUP($B87,'[1]7. Number of HW Contacts'!$B$4:$I$84,6,FALSE)</f>
        <v>4</v>
      </c>
      <c r="H88" s="121">
        <f>G88*(1-HLOOKUP($B87,'[1]3. Mitigation Impact on Coverag'!$BY$5:$EQ$7,3,FALSE))</f>
        <v>4</v>
      </c>
      <c r="I88" s="129">
        <f>HLOOKUP(B88,'[1]3. Mitigation Impact on Coverag'!ES$5:HK$7,3,FALSE)</f>
        <v>0</v>
      </c>
      <c r="J88" s="130">
        <f>1-((1-Risk_of_Provider_Being_Infected*_xlfn.SINGLE(Transmission_Risk_Contact_Health_Care_Provider))^(G88)*(1-Risk_of_Community_Member_being_Infected*Transmission_Risk_in_Community)^(G88*Contacts_During_Travel_to_Facility))</f>
        <v>0.00673837706487967</v>
      </c>
      <c r="K88" s="130">
        <f>J88*(1-(Percent_Prevalence_at_End_of_Projection_Period-Percent_Prevalence_at_Beginning_of_Projection_Period))</f>
        <v>0.00516608908307442</v>
      </c>
      <c r="L88" s="120">
        <f>$F88*$K88*HH_Size</f>
        <v>0</v>
      </c>
      <c r="M88" s="121">
        <f>$F88*$J88*(HH_Children*Fatality_Rate_Child+HH_Adults*Fatality_Rate_Adult+HH_Over_60*Fatality_Rate_Over_60)</f>
        <v>0</v>
      </c>
      <c r="N88" s="131">
        <f>1-((1-Risk_of_Provider_Being_Infected*_xlfn.SINGLE(Transmission_Risk_Contact_Health_Care_Provider)*(1-Reduction_in_Risk_PPE))^($G88)*(1-Risk_of_Community_Member_being_Infected*Transmission_Risk_in_Community)^($G88*Contacts_During_Travel_to_Facility))</f>
        <v>0.00659068534366247</v>
      </c>
      <c r="O88" s="130">
        <f>N88*(1-(Percent_Prevalence_at_End_of_Projection_Period-Percent_Prevalence_at_Beginning_of_Projection_Period))</f>
        <v>0.00505285876347456</v>
      </c>
      <c r="P88" s="120">
        <f>$F88*$O88*HH_Size</f>
        <v>0</v>
      </c>
      <c r="Q88" s="121">
        <f>$F88*$O88*(HH_Children*Fatality_Rate_Child+HH_Adults*Fatality_Rate_Adult+HH_Over_60*Fatality_Rate_Over_60)</f>
        <v>0</v>
      </c>
      <c r="R88" s="131">
        <f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0.00645776872157322</v>
      </c>
      <c r="S88" s="130">
        <f>R88*(1-(Percent_Prevalence_at_End_of_Projection_Period-Percent_Prevalence_at_Beginning_of_Projection_Period))</f>
        <v>0.0049509560198728</v>
      </c>
      <c r="T88" s="120">
        <f>$F88*$S88*HH_Size</f>
        <v>0</v>
      </c>
      <c r="U88" s="121">
        <f>$F88*$S88*(HH_Children*Fatality_Rate_Child+HH_Adults*Fatality_Rate_Adult+HH_Over_60*Fatality_Rate_Over_60)</f>
        <v>0</v>
      </c>
      <c r="V88" s="131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0.00645776872157322</v>
      </c>
      <c r="W88" s="130">
        <f>V88*(1-(Percent_Prevalence_at_End_of_Projection_Period-Percent_Prevalence_at_Beginning_of_Projection_Period))</f>
        <v>0.0049509560198728</v>
      </c>
      <c r="X88" s="120">
        <f>$F88*$W88*HH_Size</f>
        <v>0</v>
      </c>
      <c r="Y88" s="121">
        <f>$F88*$W88*(HH_Children*Fatality_Rate_Child+HH_Adults*Fatality_Rate_Adult+HH_Over_60*Fatality_Rate_Over_60)</f>
        <v>0</v>
      </c>
      <c r="Z88" s="131">
        <f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0.00645776872157322</v>
      </c>
      <c r="AA88" s="130">
        <f>Z88*(1-(Percent_Prevalence_at_End_of_Projection_Period-Percent_Prevalence_at_Beginning_of_Projection_Period))</f>
        <v>0.0049509560198728</v>
      </c>
      <c r="AB88" s="120">
        <f>$F88*$AA88*HH_Size*Infection_Rate_within_HH</f>
        <v>0</v>
      </c>
      <c r="AC88" s="121">
        <f>$F88*$AA88*Infection_Rate_within_HH*(HH_Children*Fatality_Rate_Child+HH_Adults*Fatality_Rate_Adult+HH_Over_60*Fatality_Rate_Over_60)</f>
        <v>0</v>
      </c>
      <c r="AD88" s="94"/>
    </row>
  </sheetData>
  <mergeCells count="14">
    <mergeCell ref="H2:I2"/>
    <mergeCell ref="J2:M2"/>
    <mergeCell ref="N2:Q2"/>
    <mergeCell ref="R2:U2"/>
    <mergeCell ref="V2:Y2"/>
    <mergeCell ref="Z2:AC2"/>
    <mergeCell ref="D15:D22"/>
    <mergeCell ref="D23:D35"/>
    <mergeCell ref="D36:D52"/>
    <mergeCell ref="D53:D63"/>
    <mergeCell ref="D64:D66"/>
    <mergeCell ref="D67:D77"/>
    <mergeCell ref="D78:D85"/>
    <mergeCell ref="D86:D8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2024-11-19T04:29:00Z</dcterms:created>
  <dcterms:modified xsi:type="dcterms:W3CDTF">2024-12-26T10:07:35Z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F339D5B2B2E64BA5994F78E028DA47B8_11</vt:lpwstr>
  </property>
  <property fmtid="{D5CDD505-2E9C-101B-9397-08002B2CF9AE}" pid="3" name="KSOProductBuildVer">
    <vt:lpwstr>2052-12.1.0.19302</vt:lpwstr>
  </property>
</Properties>
</file>