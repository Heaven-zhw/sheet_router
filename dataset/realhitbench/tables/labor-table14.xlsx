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<sst xmlns="http://schemas.openxmlformats.org/spreadsheetml/2006/main" count="113" uniqueCount="42">
  <si>
    <r>
      <rPr>
        <b/>
        <sz val="14"/>
        <color rgb="FFFFFFFF"/>
        <rFont val="Century Gothic"/>
        <charset val="134"/>
      </rPr>
      <t>Timecard:</t>
    </r>
    <r>
      <rPr>
        <sz val="11"/>
        <color rgb="FFFFFFFF"/>
        <rFont val="Century Gothic"/>
        <charset val="134"/>
      </rPr>
      <t xml:space="preserve"> Daily, Weekly, Monthly, Yearly</t>
    </r>
  </si>
  <si>
    <t>March</t>
  </si>
  <si>
    <t>Date</t>
  </si>
  <si>
    <r>
      <rPr>
        <b/>
        <sz val="11"/>
        <rFont val="Century Gothic"/>
        <charset val="134"/>
      </rPr>
      <t xml:space="preserve">Week 1 </t>
    </r>
    <r>
      <rPr>
        <sz val="11"/>
        <rFont val="Century Gothic"/>
        <charset val="134"/>
      </rPr>
      <t>Hours</t>
    </r>
  </si>
  <si>
    <t>Sum Hours</t>
  </si>
  <si>
    <t>Pay/hr</t>
  </si>
  <si>
    <t>Km Start</t>
  </si>
  <si>
    <t>Km End</t>
  </si>
  <si>
    <t>Driven</t>
  </si>
  <si>
    <t>Salary</t>
  </si>
  <si>
    <t>Tips</t>
  </si>
  <si>
    <t>Earnings</t>
  </si>
  <si>
    <t>Tips Avg/hr</t>
  </si>
  <si>
    <t>Pay Avg/hr</t>
  </si>
  <si>
    <r>
      <rPr>
        <b/>
        <sz val="11"/>
        <rFont val="Century Gothic"/>
        <charset val="134"/>
      </rPr>
      <t xml:space="preserve">Week 4 </t>
    </r>
    <r>
      <rPr>
        <sz val="11"/>
        <rFont val="Century Gothic"/>
        <charset val="134"/>
      </rPr>
      <t>Hours</t>
    </r>
  </si>
  <si>
    <t>Sunday</t>
  </si>
  <si>
    <t>11:00 - 14:00, 16:30 - 21:00</t>
  </si>
  <si>
    <t>Monday</t>
  </si>
  <si>
    <t>Tuesday</t>
  </si>
  <si>
    <t>17:00 - 20:00</t>
  </si>
  <si>
    <t>Wednesday</t>
  </si>
  <si>
    <t>Thursday</t>
  </si>
  <si>
    <t>11:00 - 13:30</t>
  </si>
  <si>
    <t>11:00 - 13:00</t>
  </si>
  <si>
    <t>Friday</t>
  </si>
  <si>
    <t>11:00 - 14:00</t>
  </si>
  <si>
    <t>Saturday</t>
  </si>
  <si>
    <t>11:00 - 14:30</t>
  </si>
  <si>
    <t>11:00 - 14:00, 17:00 - 21:00</t>
  </si>
  <si>
    <t>Weekly Totals</t>
  </si>
  <si>
    <t xml:space="preserve"> </t>
  </si>
  <si>
    <r>
      <rPr>
        <b/>
        <sz val="11"/>
        <rFont val="Century Gothic"/>
        <charset val="134"/>
      </rPr>
      <t>Week 2</t>
    </r>
    <r>
      <rPr>
        <sz val="11"/>
        <rFont val="Century Gothic"/>
        <charset val="134"/>
      </rPr>
      <t xml:space="preserve"> Hours</t>
    </r>
  </si>
  <si>
    <r>
      <rPr>
        <b/>
        <sz val="11"/>
        <rFont val="Century Gothic"/>
        <charset val="134"/>
      </rPr>
      <t>Week 5</t>
    </r>
    <r>
      <rPr>
        <sz val="11"/>
        <rFont val="Century Gothic"/>
        <charset val="134"/>
      </rPr>
      <t xml:space="preserve"> Hours</t>
    </r>
  </si>
  <si>
    <t>11:00 - 13:30, 16:30 - 20:30</t>
  </si>
  <si>
    <t>11:00 - 14:00, 17:00 - 20:00</t>
  </si>
  <si>
    <r>
      <rPr>
        <b/>
        <sz val="11"/>
        <rFont val="Century Gothic"/>
        <charset val="134"/>
      </rPr>
      <t>Week 3</t>
    </r>
    <r>
      <rPr>
        <sz val="11"/>
        <rFont val="Century Gothic"/>
        <charset val="134"/>
      </rPr>
      <t xml:space="preserve"> Hours</t>
    </r>
  </si>
  <si>
    <t>11:00 - 13:30, 17:00 - 20:00</t>
  </si>
  <si>
    <t>Monthly total: Hours</t>
  </si>
  <si>
    <t>Monthly total: Salary</t>
  </si>
  <si>
    <t>Monthly total: tips</t>
  </si>
  <si>
    <t>Monthly total: Earnings</t>
  </si>
  <si>
    <t>Monthly total: kilometers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</si>
</sst>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</numFmts>
  <fonts count="32">
    <font>
      <sz val="11"/>
      <color theme="1"/>
      <name val="等线"/>
      <charset val="134"/>
      <scheme val="minor"/>
    </font>
    <font>
      <b/>
      <sz val="11"/>
      <color rgb="FFFFFFFF"/>
      <name val="Questrial"/>
      <charset val="134"/>
    </font>
    <font>
      <sz val="11"/>
      <name val="Questrial"/>
      <charset val="134"/>
    </font>
    <font>
      <sz val="9"/>
      <color rgb="FF000000"/>
      <name val="Questrial"/>
      <charset val="134"/>
    </font>
    <font>
      <sz val="9"/>
      <name val="Questrial"/>
      <charset val="134"/>
    </font>
    <font>
      <b/>
      <sz val="9"/>
      <color rgb="FF000000"/>
      <name val="Questrial"/>
      <charset val="134"/>
    </font>
    <font>
      <b/>
      <sz val="11"/>
      <name val="Questrial"/>
      <charset val="134"/>
    </font>
    <font>
      <b/>
      <sz val="9"/>
      <name val="Questrial"/>
      <charset val="134"/>
    </font>
    <font>
      <b/>
      <sz val="9"/>
      <color rgb="FFFFFFFF"/>
      <name val="Quest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FFFFFF"/>
      <name val="Century Gothic"/>
      <charset val="134"/>
    </font>
    <font>
      <sz val="11"/>
      <color rgb="FFFFFFFF"/>
      <name val="Century Gothic"/>
      <charset val="134"/>
    </font>
    <font>
      <b/>
      <sz val="11"/>
      <name val="Century Gothic"/>
      <charset val="134"/>
    </font>
    <font>
      <sz val="11"/>
      <name val="Century Gothic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002060"/>
        <bgColor rgb="FF002060"/>
      </patternFill>
    </fill>
    <fill>
      <patternFill patternType="solid">
        <fgColor rgb="FFC2D5E0"/>
        <bgColor rgb="FFC2D5E0"/>
      </patternFill>
    </fill>
    <fill>
      <patternFill patternType="solid">
        <fgColor rgb="FFF1F6F9"/>
        <bgColor rgb="FFF1F6F9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EAEAEA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BCBCBC"/>
      </left>
      <right/>
      <top style="thin">
        <color rgb="FFBCBCBC"/>
      </top>
      <bottom style="thin">
        <color rgb="FFBCBCBC"/>
      </bottom>
      <diagonal/>
    </border>
    <border>
      <left/>
      <right/>
      <top style="thin">
        <color rgb="FFBCBCBC"/>
      </top>
      <bottom style="thin">
        <color rgb="FFBCBCBC"/>
      </bottom>
      <diagonal/>
    </border>
    <border>
      <left style="thin">
        <color rgb="FFBCBCBC"/>
      </left>
      <right/>
      <top style="thin">
        <color rgb="FFBCBCBC"/>
      </top>
      <bottom/>
      <diagonal/>
    </border>
    <border>
      <left style="thin">
        <color rgb="FFBCBCBC"/>
      </left>
      <right style="thin">
        <color rgb="FFBCBCBC"/>
      </right>
      <top/>
      <bottom style="thin">
        <color rgb="FFBCBCBC"/>
      </bottom>
      <diagonal/>
    </border>
    <border>
      <left style="thin">
        <color rgb="FFCFCFCF"/>
      </left>
      <right/>
      <top style="thin">
        <color rgb="FFBCBCBC"/>
      </top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BCBCBC"/>
      </bottom>
      <diagonal/>
    </border>
    <border>
      <left style="thin">
        <color rgb="FFBCBCBC"/>
      </left>
      <right/>
      <top style="thin">
        <color rgb="FFCFCFCF"/>
      </top>
      <bottom/>
      <diagonal/>
    </border>
    <border>
      <left style="thin">
        <color rgb="FFBCBCBC"/>
      </left>
      <right style="thin">
        <color rgb="FFCFCFCF"/>
      </right>
      <top style="thin">
        <color rgb="FFCFCFCF"/>
      </top>
      <bottom style="thin">
        <color rgb="FFBCBCBC"/>
      </bottom>
      <diagonal/>
    </border>
    <border>
      <left style="thin">
        <color rgb="FFBCBCBC"/>
      </left>
      <right style="thin">
        <color rgb="FFCFCFCF"/>
      </right>
      <top style="thin">
        <color rgb="FFBCBCBC"/>
      </top>
      <bottom style="thin">
        <color rgb="FFCFCFCF"/>
      </bottom>
      <diagonal/>
    </border>
    <border>
      <left style="thin">
        <color rgb="FFBCBCBC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BCBCBC"/>
      </left>
      <right style="thin">
        <color rgb="FFBCBCBC"/>
      </right>
      <top style="thin">
        <color rgb="FFBCBCBC"/>
      </top>
      <bottom style="thin">
        <color rgb="FFBCBCBC"/>
      </bottom>
      <diagonal/>
    </border>
    <border>
      <left/>
      <right style="thin">
        <color rgb="FFBCBCBC"/>
      </right>
      <top style="thin">
        <color rgb="FFBCBCBC"/>
      </top>
      <bottom style="thin">
        <color rgb="FFBCBCBC"/>
      </bottom>
      <diagonal/>
    </border>
    <border>
      <left style="thin">
        <color rgb="FFCFCFCF"/>
      </left>
      <right/>
      <top style="thin">
        <color rgb="FFCFCFCF"/>
      </top>
      <bottom/>
      <diagonal/>
    </border>
    <border>
      <left style="thin">
        <color rgb="FFBCBCBC"/>
      </left>
      <right/>
      <top style="thin">
        <color rgb="FFCFCFCF"/>
      </top>
      <bottom style="thin">
        <color rgb="FFBCBCBC"/>
      </bottom>
      <diagonal/>
    </border>
    <border>
      <left style="thin">
        <color rgb="FFBCBCBC"/>
      </left>
      <right style="medium">
        <color rgb="FFD8D8D8"/>
      </right>
      <top style="thin">
        <color rgb="FFBCBCBC"/>
      </top>
      <bottom style="thin">
        <color rgb="FFBCBCB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0" applyNumberFormat="0" applyAlignment="0" applyProtection="0">
      <alignment vertical="center"/>
    </xf>
    <xf numFmtId="0" fontId="18" fillId="11" borderId="21" applyNumberFormat="0" applyAlignment="0" applyProtection="0">
      <alignment vertical="center"/>
    </xf>
    <xf numFmtId="0" fontId="19" fillId="11" borderId="20" applyNumberFormat="0" applyAlignment="0" applyProtection="0">
      <alignment vertical="center"/>
    </xf>
    <xf numFmtId="0" fontId="20" fillId="12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right"/>
    </xf>
    <xf numFmtId="2" fontId="4" fillId="6" borderId="6" xfId="0" applyNumberFormat="1" applyFont="1" applyFill="1" applyBorder="1" applyAlignment="1">
      <alignment horizontal="right"/>
    </xf>
    <xf numFmtId="0" fontId="4" fillId="6" borderId="7" xfId="0" applyFont="1" applyFill="1" applyBorder="1" applyAlignment="1">
      <alignment horizontal="right"/>
    </xf>
    <xf numFmtId="0" fontId="3" fillId="5" borderId="8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right"/>
    </xf>
    <xf numFmtId="0" fontId="4" fillId="5" borderId="10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6" fillId="4" borderId="12" xfId="0" applyFont="1" applyFill="1" applyBorder="1" applyAlignment="1">
      <alignment horizontal="center"/>
    </xf>
    <xf numFmtId="176" fontId="4" fillId="6" borderId="7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76" fontId="3" fillId="6" borderId="5" xfId="0" applyNumberFormat="1" applyFont="1" applyFill="1" applyBorder="1" applyAlignment="1">
      <alignment horizontal="right"/>
    </xf>
    <xf numFmtId="3" fontId="3" fillId="6" borderId="5" xfId="0" applyNumberFormat="1" applyFont="1" applyFill="1" applyBorder="1" applyAlignment="1">
      <alignment horizontal="right"/>
    </xf>
    <xf numFmtId="1" fontId="3" fillId="8" borderId="5" xfId="0" applyNumberFormat="1" applyFont="1" applyFill="1" applyBorder="1" applyAlignment="1">
      <alignment horizontal="right"/>
    </xf>
    <xf numFmtId="1" fontId="5" fillId="7" borderId="1" xfId="0" applyNumberFormat="1" applyFont="1" applyFill="1" applyBorder="1" applyAlignment="1">
      <alignment horizontal="right"/>
    </xf>
    <xf numFmtId="176" fontId="3" fillId="6" borderId="14" xfId="0" applyNumberFormat="1" applyFont="1" applyFill="1" applyBorder="1" applyAlignment="1">
      <alignment horizontal="right"/>
    </xf>
    <xf numFmtId="0" fontId="3" fillId="6" borderId="15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176" fontId="7" fillId="7" borderId="12" xfId="0" applyNumberFormat="1" applyFont="1" applyFill="1" applyBorder="1" applyAlignment="1">
      <alignment horizontal="right"/>
    </xf>
    <xf numFmtId="176" fontId="3" fillId="8" borderId="5" xfId="0" applyNumberFormat="1" applyFont="1" applyFill="1" applyBorder="1" applyAlignment="1">
      <alignment horizontal="right"/>
    </xf>
    <xf numFmtId="176" fontId="5" fillId="7" borderId="1" xfId="0" applyNumberFormat="1" applyFont="1" applyFill="1" applyBorder="1" applyAlignment="1">
      <alignment horizontal="right"/>
    </xf>
    <xf numFmtId="176" fontId="4" fillId="8" borderId="7" xfId="0" applyNumberFormat="1" applyFont="1" applyFill="1" applyBorder="1" applyAlignment="1">
      <alignment horizontal="right"/>
    </xf>
    <xf numFmtId="1" fontId="5" fillId="7" borderId="16" xfId="0" applyNumberFormat="1" applyFont="1" applyFill="1" applyBorder="1" applyAlignment="1">
      <alignment horizontal="right"/>
    </xf>
    <xf numFmtId="0" fontId="4" fillId="4" borderId="4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tabSelected="1" topLeftCell="A4" workbookViewId="0">
      <selection activeCell="H16" sqref="H16"/>
    </sheetView>
  </sheetViews>
  <sheetFormatPr defaultColWidth="9" defaultRowHeight="16.8"/>
  <cols>
    <col min="3" max="3" width="13.6875" customWidth="1"/>
  </cols>
  <sheetData>
    <row r="1" ht="2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7" spans="1: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2</v>
      </c>
      <c r="O2" s="4" t="s">
        <v>14</v>
      </c>
      <c r="P2" s="4" t="s">
        <v>4</v>
      </c>
      <c r="Q2" s="4" t="s">
        <v>5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</row>
    <row r="3" spans="1:25">
      <c r="A3" s="5" t="s">
        <v>15</v>
      </c>
      <c r="B3" s="6"/>
      <c r="C3" s="7"/>
      <c r="D3" s="8"/>
      <c r="E3" s="26"/>
      <c r="F3" s="27"/>
      <c r="G3" s="27"/>
      <c r="H3" s="28">
        <f>G3-F3</f>
        <v>0</v>
      </c>
      <c r="I3" s="34">
        <f t="shared" ref="I3:I9" si="0">PRODUCT(D3,E3)</f>
        <v>0</v>
      </c>
      <c r="J3" s="26"/>
      <c r="K3" s="34">
        <f t="shared" ref="K3:K9" si="1">SUM(I3:J3)</f>
        <v>0</v>
      </c>
      <c r="L3" s="34" t="str">
        <f t="shared" ref="L3:L9" si="2">IFERROR(J3/D3,"")</f>
        <v/>
      </c>
      <c r="M3" s="34">
        <f t="shared" ref="M3:M9" si="3">SUM(E3,L3)</f>
        <v>0</v>
      </c>
      <c r="N3" s="15">
        <v>20</v>
      </c>
      <c r="O3" s="7" t="s">
        <v>16</v>
      </c>
      <c r="P3" s="8"/>
      <c r="Q3" s="26"/>
      <c r="R3" s="7"/>
      <c r="S3" s="7"/>
      <c r="T3" s="28"/>
      <c r="U3" s="34">
        <f t="shared" ref="U3:U9" si="4">PRODUCT(P3,Q3)</f>
        <v>0</v>
      </c>
      <c r="V3" s="26"/>
      <c r="W3" s="34">
        <f t="shared" ref="W3:W9" si="5">SUM(U3:V3)</f>
        <v>0</v>
      </c>
      <c r="X3" s="34" t="str">
        <f t="shared" ref="X3:X9" si="6">IFERROR(V3/P3,"")</f>
        <v/>
      </c>
      <c r="Y3" s="34">
        <f t="shared" ref="Y3:Y9" si="7">SUM(Q3,X3)</f>
        <v>0</v>
      </c>
    </row>
    <row r="4" spans="1:25">
      <c r="A4" s="5" t="s">
        <v>17</v>
      </c>
      <c r="B4" s="6"/>
      <c r="C4" s="7"/>
      <c r="D4" s="8"/>
      <c r="E4" s="26"/>
      <c r="F4" s="27"/>
      <c r="G4" s="27"/>
      <c r="H4" s="28"/>
      <c r="I4" s="34">
        <f t="shared" si="0"/>
        <v>0</v>
      </c>
      <c r="J4" s="26"/>
      <c r="K4" s="34">
        <f t="shared" si="1"/>
        <v>0</v>
      </c>
      <c r="L4" s="34" t="str">
        <f t="shared" si="2"/>
        <v/>
      </c>
      <c r="M4" s="34">
        <f t="shared" si="3"/>
        <v>0</v>
      </c>
      <c r="N4" s="15">
        <v>21</v>
      </c>
      <c r="O4" s="7"/>
      <c r="P4" s="8"/>
      <c r="Q4" s="26"/>
      <c r="R4" s="7"/>
      <c r="S4" s="7"/>
      <c r="T4" s="28"/>
      <c r="U4" s="34">
        <f t="shared" si="4"/>
        <v>0</v>
      </c>
      <c r="V4" s="26"/>
      <c r="W4" s="34">
        <f t="shared" si="5"/>
        <v>0</v>
      </c>
      <c r="X4" s="34" t="str">
        <f t="shared" si="6"/>
        <v/>
      </c>
      <c r="Y4" s="34">
        <f t="shared" si="7"/>
        <v>0</v>
      </c>
    </row>
    <row r="5" spans="1:25">
      <c r="A5" s="9" t="s">
        <v>18</v>
      </c>
      <c r="B5" s="6">
        <v>1</v>
      </c>
      <c r="C5" s="7"/>
      <c r="D5" s="8"/>
      <c r="E5" s="27"/>
      <c r="F5" s="27"/>
      <c r="G5" s="27"/>
      <c r="H5" s="28"/>
      <c r="I5" s="34">
        <f t="shared" si="0"/>
        <v>0</v>
      </c>
      <c r="J5" s="26"/>
      <c r="K5" s="34">
        <f t="shared" si="1"/>
        <v>0</v>
      </c>
      <c r="L5" s="34" t="str">
        <f t="shared" si="2"/>
        <v/>
      </c>
      <c r="M5" s="34">
        <f t="shared" si="3"/>
        <v>0</v>
      </c>
      <c r="N5" s="15">
        <v>22</v>
      </c>
      <c r="O5" s="7" t="s">
        <v>19</v>
      </c>
      <c r="P5" s="8"/>
      <c r="Q5" s="30"/>
      <c r="R5" s="7"/>
      <c r="S5" s="7"/>
      <c r="T5" s="28"/>
      <c r="U5" s="34">
        <f t="shared" si="4"/>
        <v>0</v>
      </c>
      <c r="V5" s="26"/>
      <c r="W5" s="34">
        <f t="shared" si="5"/>
        <v>0</v>
      </c>
      <c r="X5" s="34" t="str">
        <f t="shared" si="6"/>
        <v/>
      </c>
      <c r="Y5" s="34">
        <f t="shared" si="7"/>
        <v>0</v>
      </c>
    </row>
    <row r="6" spans="1:25">
      <c r="A6" s="9" t="s">
        <v>20</v>
      </c>
      <c r="B6" s="6">
        <v>2</v>
      </c>
      <c r="C6" s="7"/>
      <c r="D6" s="8"/>
      <c r="E6" s="26"/>
      <c r="F6" s="27"/>
      <c r="G6" s="27"/>
      <c r="H6" s="28"/>
      <c r="I6" s="34">
        <f t="shared" si="0"/>
        <v>0</v>
      </c>
      <c r="J6" s="26"/>
      <c r="K6" s="34">
        <f t="shared" si="1"/>
        <v>0</v>
      </c>
      <c r="L6" s="34" t="str">
        <f t="shared" si="2"/>
        <v/>
      </c>
      <c r="M6" s="34">
        <f t="shared" si="3"/>
        <v>0</v>
      </c>
      <c r="N6" s="15">
        <v>23</v>
      </c>
      <c r="O6" s="7"/>
      <c r="P6" s="8"/>
      <c r="Q6" s="30"/>
      <c r="R6" s="7"/>
      <c r="S6" s="7"/>
      <c r="T6" s="28"/>
      <c r="U6" s="34">
        <f t="shared" si="4"/>
        <v>0</v>
      </c>
      <c r="V6" s="26"/>
      <c r="W6" s="34">
        <f t="shared" si="5"/>
        <v>0</v>
      </c>
      <c r="X6" s="34" t="str">
        <f t="shared" si="6"/>
        <v/>
      </c>
      <c r="Y6" s="34">
        <f t="shared" si="7"/>
        <v>0</v>
      </c>
    </row>
    <row r="7" spans="1:25">
      <c r="A7" s="9" t="s">
        <v>21</v>
      </c>
      <c r="B7" s="6">
        <v>3</v>
      </c>
      <c r="C7" s="7" t="s">
        <v>22</v>
      </c>
      <c r="D7" s="8">
        <v>2.5</v>
      </c>
      <c r="E7" s="26"/>
      <c r="F7" s="27"/>
      <c r="G7" s="27"/>
      <c r="H7" s="28"/>
      <c r="I7" s="34">
        <f t="shared" si="0"/>
        <v>2.5</v>
      </c>
      <c r="J7" s="26"/>
      <c r="K7" s="34">
        <f t="shared" si="1"/>
        <v>2.5</v>
      </c>
      <c r="L7" s="34">
        <f t="shared" si="2"/>
        <v>0</v>
      </c>
      <c r="M7" s="34">
        <f t="shared" si="3"/>
        <v>0</v>
      </c>
      <c r="N7" s="15">
        <v>24</v>
      </c>
      <c r="O7" s="7" t="s">
        <v>23</v>
      </c>
      <c r="P7" s="8"/>
      <c r="Q7" s="30"/>
      <c r="R7" s="7"/>
      <c r="S7" s="7"/>
      <c r="T7" s="28"/>
      <c r="U7" s="34">
        <f t="shared" si="4"/>
        <v>0</v>
      </c>
      <c r="V7" s="26"/>
      <c r="W7" s="34">
        <f t="shared" si="5"/>
        <v>0</v>
      </c>
      <c r="X7" s="34" t="str">
        <f t="shared" si="6"/>
        <v/>
      </c>
      <c r="Y7" s="34">
        <f t="shared" si="7"/>
        <v>0</v>
      </c>
    </row>
    <row r="8" spans="1:25">
      <c r="A8" s="9" t="s">
        <v>24</v>
      </c>
      <c r="B8" s="6">
        <v>4</v>
      </c>
      <c r="C8" s="7" t="s">
        <v>22</v>
      </c>
      <c r="D8" s="8">
        <v>2.5</v>
      </c>
      <c r="E8" s="26"/>
      <c r="F8" s="27"/>
      <c r="G8" s="27"/>
      <c r="H8" s="28"/>
      <c r="I8" s="34">
        <f t="shared" si="0"/>
        <v>2.5</v>
      </c>
      <c r="J8" s="26"/>
      <c r="K8" s="34">
        <f t="shared" si="1"/>
        <v>2.5</v>
      </c>
      <c r="L8" s="34">
        <f t="shared" si="2"/>
        <v>0</v>
      </c>
      <c r="M8" s="34">
        <f t="shared" si="3"/>
        <v>0</v>
      </c>
      <c r="N8" s="15">
        <v>25</v>
      </c>
      <c r="O8" s="7" t="s">
        <v>25</v>
      </c>
      <c r="P8" s="8"/>
      <c r="Q8" s="26"/>
      <c r="R8" s="7"/>
      <c r="S8" s="7"/>
      <c r="T8" s="28"/>
      <c r="U8" s="34">
        <f t="shared" si="4"/>
        <v>0</v>
      </c>
      <c r="V8" s="26"/>
      <c r="W8" s="34">
        <f t="shared" si="5"/>
        <v>0</v>
      </c>
      <c r="X8" s="34" t="str">
        <f t="shared" si="6"/>
        <v/>
      </c>
      <c r="Y8" s="34">
        <f t="shared" si="7"/>
        <v>0</v>
      </c>
    </row>
    <row r="9" spans="1:25">
      <c r="A9" s="9" t="s">
        <v>26</v>
      </c>
      <c r="B9" s="6">
        <v>5</v>
      </c>
      <c r="C9" s="7" t="s">
        <v>27</v>
      </c>
      <c r="D9" s="8">
        <v>3.5</v>
      </c>
      <c r="E9" s="26"/>
      <c r="F9" s="27"/>
      <c r="G9" s="27"/>
      <c r="H9" s="28"/>
      <c r="I9" s="34">
        <f t="shared" si="0"/>
        <v>3.5</v>
      </c>
      <c r="J9" s="26"/>
      <c r="K9" s="34">
        <f t="shared" si="1"/>
        <v>3.5</v>
      </c>
      <c r="L9" s="34">
        <f t="shared" si="2"/>
        <v>0</v>
      </c>
      <c r="M9" s="34">
        <f t="shared" si="3"/>
        <v>0</v>
      </c>
      <c r="N9" s="15">
        <v>26</v>
      </c>
      <c r="O9" s="7" t="s">
        <v>28</v>
      </c>
      <c r="P9" s="8"/>
      <c r="Q9" s="30"/>
      <c r="R9" s="7"/>
      <c r="S9" s="7"/>
      <c r="T9" s="28"/>
      <c r="U9" s="34">
        <f t="shared" si="4"/>
        <v>0</v>
      </c>
      <c r="V9" s="26"/>
      <c r="W9" s="34">
        <f t="shared" si="5"/>
        <v>0</v>
      </c>
      <c r="X9" s="34" t="str">
        <f t="shared" si="6"/>
        <v/>
      </c>
      <c r="Y9" s="34">
        <f t="shared" si="7"/>
        <v>0</v>
      </c>
    </row>
    <row r="10" spans="1:25">
      <c r="A10" s="10" t="s">
        <v>29</v>
      </c>
      <c r="B10" s="11"/>
      <c r="C10" s="7"/>
      <c r="D10" s="12">
        <f>SUM(D3:D9)</f>
        <v>8.5</v>
      </c>
      <c r="E10" s="11"/>
      <c r="F10" s="11"/>
      <c r="G10" s="11"/>
      <c r="H10" s="29">
        <f t="shared" ref="H10:K10" si="8">SUM(H3:H9)</f>
        <v>0</v>
      </c>
      <c r="I10" s="35">
        <f t="shared" si="8"/>
        <v>8.5</v>
      </c>
      <c r="J10" s="35">
        <f t="shared" si="8"/>
        <v>0</v>
      </c>
      <c r="K10" s="35">
        <f t="shared" si="8"/>
        <v>8.5</v>
      </c>
      <c r="L10" s="35">
        <f>IFERROR(AVERAGEIF(L3:L9,"&lt;&gt;"),"")</f>
        <v>0</v>
      </c>
      <c r="M10" s="35" t="str">
        <f>IFERROR(AVERAGEIF(M3:M9,"&lt;&gt;0"),"")</f>
        <v/>
      </c>
      <c r="N10" s="7"/>
      <c r="O10" s="7"/>
      <c r="P10" s="12">
        <f>SUM(P3:P9)</f>
        <v>0</v>
      </c>
      <c r="Q10" s="31"/>
      <c r="R10" s="7"/>
      <c r="S10" s="7"/>
      <c r="T10" s="29"/>
      <c r="U10" s="35">
        <f>SUM(U3:U9)</f>
        <v>0</v>
      </c>
      <c r="V10" s="35" t="s">
        <v>30</v>
      </c>
      <c r="W10" s="35">
        <f>SUM(W3:W9)</f>
        <v>0</v>
      </c>
      <c r="X10" s="35" t="str">
        <f>IFERROR(AVERAGEIF(X3:X9,"&lt;&gt;"),"")</f>
        <v/>
      </c>
      <c r="Y10" s="35" t="str">
        <f>IFERROR(AVERAGEIF(Y3:Y9,"&lt;&gt;0"),"")</f>
        <v/>
      </c>
    </row>
    <row r="11" ht="17" spans="1:25">
      <c r="A11" s="13"/>
      <c r="B11" s="4" t="s">
        <v>2</v>
      </c>
      <c r="C11" s="4" t="s">
        <v>31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11</v>
      </c>
      <c r="L11" s="4" t="s">
        <v>12</v>
      </c>
      <c r="M11" s="4" t="s">
        <v>13</v>
      </c>
      <c r="N11" s="4" t="s">
        <v>2</v>
      </c>
      <c r="O11" s="4" t="s">
        <v>32</v>
      </c>
      <c r="P11" s="4" t="s">
        <v>4</v>
      </c>
      <c r="Q11" s="4" t="s">
        <v>5</v>
      </c>
      <c r="R11" s="4" t="s">
        <v>6</v>
      </c>
      <c r="S11" s="4" t="s">
        <v>7</v>
      </c>
      <c r="T11" s="4" t="s">
        <v>8</v>
      </c>
      <c r="U11" s="38" t="s">
        <v>9</v>
      </c>
      <c r="V11" s="38" t="s">
        <v>10</v>
      </c>
      <c r="W11" s="38" t="s">
        <v>11</v>
      </c>
      <c r="X11" s="38" t="s">
        <v>12</v>
      </c>
      <c r="Y11" s="38" t="s">
        <v>13</v>
      </c>
    </row>
    <row r="12" spans="1:25">
      <c r="A12" s="14" t="s">
        <v>15</v>
      </c>
      <c r="B12" s="15">
        <v>6</v>
      </c>
      <c r="C12" s="7" t="s">
        <v>33</v>
      </c>
      <c r="D12" s="8">
        <v>6.5</v>
      </c>
      <c r="E12" s="26"/>
      <c r="F12" s="7"/>
      <c r="G12" s="7"/>
      <c r="H12" s="28"/>
      <c r="I12" s="34">
        <f t="shared" ref="I12:I18" si="9">PRODUCT(D12,E12)</f>
        <v>6.5</v>
      </c>
      <c r="J12" s="26"/>
      <c r="K12" s="34">
        <f t="shared" ref="K12:K18" si="10">SUM(I12:J12)</f>
        <v>6.5</v>
      </c>
      <c r="L12" s="34">
        <f t="shared" ref="L12:L18" si="11">IFERROR(J12/D12,"")</f>
        <v>0</v>
      </c>
      <c r="M12" s="34" t="s">
        <v>30</v>
      </c>
      <c r="N12" s="8">
        <v>27</v>
      </c>
      <c r="O12" s="7" t="s">
        <v>25</v>
      </c>
      <c r="P12" s="8"/>
      <c r="Q12" s="26"/>
      <c r="R12" s="7"/>
      <c r="S12" s="7"/>
      <c r="T12" s="28"/>
      <c r="U12" s="34"/>
      <c r="V12" s="26"/>
      <c r="W12" s="34"/>
      <c r="X12" s="34"/>
      <c r="Y12" s="34"/>
    </row>
    <row r="13" spans="1:25">
      <c r="A13" s="16" t="s">
        <v>17</v>
      </c>
      <c r="B13" s="15">
        <v>7</v>
      </c>
      <c r="C13" s="7"/>
      <c r="D13" s="8"/>
      <c r="E13" s="26"/>
      <c r="F13" s="7"/>
      <c r="G13" s="7"/>
      <c r="H13" s="28"/>
      <c r="I13" s="34">
        <f t="shared" si="9"/>
        <v>0</v>
      </c>
      <c r="J13" s="26"/>
      <c r="K13" s="34">
        <f t="shared" si="10"/>
        <v>0</v>
      </c>
      <c r="L13" s="34" t="str">
        <f t="shared" si="11"/>
        <v/>
      </c>
      <c r="M13" s="34">
        <f t="shared" ref="M13:M18" si="12">SUM(E13,L13)</f>
        <v>0</v>
      </c>
      <c r="N13" s="8">
        <v>28</v>
      </c>
      <c r="O13" s="7"/>
      <c r="P13" s="8"/>
      <c r="Q13" s="26"/>
      <c r="R13" s="7"/>
      <c r="S13" s="7"/>
      <c r="T13" s="28"/>
      <c r="U13" s="34"/>
      <c r="V13" s="26"/>
      <c r="W13" s="34"/>
      <c r="X13" s="34"/>
      <c r="Y13" s="34"/>
    </row>
    <row r="14" spans="1:25">
      <c r="A14" s="17" t="s">
        <v>18</v>
      </c>
      <c r="B14" s="15">
        <v>8</v>
      </c>
      <c r="C14" s="7"/>
      <c r="D14" s="8"/>
      <c r="E14" s="30"/>
      <c r="F14" s="7"/>
      <c r="G14" s="7"/>
      <c r="H14" s="28"/>
      <c r="I14" s="34">
        <f t="shared" si="9"/>
        <v>0</v>
      </c>
      <c r="J14" s="26"/>
      <c r="K14" s="34">
        <f t="shared" si="10"/>
        <v>0</v>
      </c>
      <c r="L14" s="34" t="str">
        <f t="shared" si="11"/>
        <v/>
      </c>
      <c r="M14" s="34">
        <f t="shared" si="12"/>
        <v>0</v>
      </c>
      <c r="N14" s="8">
        <v>29</v>
      </c>
      <c r="O14" s="7" t="s">
        <v>19</v>
      </c>
      <c r="P14" s="8"/>
      <c r="Q14" s="30"/>
      <c r="R14" s="7"/>
      <c r="S14" s="7"/>
      <c r="T14" s="28"/>
      <c r="U14" s="34"/>
      <c r="V14" s="26"/>
      <c r="W14" s="34"/>
      <c r="X14" s="34"/>
      <c r="Y14" s="34"/>
    </row>
    <row r="15" spans="1:25">
      <c r="A15" s="17" t="s">
        <v>20</v>
      </c>
      <c r="B15" s="15">
        <v>9</v>
      </c>
      <c r="C15" s="7"/>
      <c r="D15" s="8"/>
      <c r="E15" s="30"/>
      <c r="F15" s="7"/>
      <c r="G15" s="7"/>
      <c r="H15" s="28"/>
      <c r="I15" s="34">
        <f t="shared" si="9"/>
        <v>0</v>
      </c>
      <c r="J15" s="26"/>
      <c r="K15" s="34">
        <f t="shared" si="10"/>
        <v>0</v>
      </c>
      <c r="L15" s="34" t="str">
        <f t="shared" si="11"/>
        <v/>
      </c>
      <c r="M15" s="34">
        <f t="shared" si="12"/>
        <v>0</v>
      </c>
      <c r="N15" s="8">
        <v>30</v>
      </c>
      <c r="O15" s="7"/>
      <c r="P15" s="8"/>
      <c r="Q15" s="30"/>
      <c r="R15" s="7"/>
      <c r="S15" s="7"/>
      <c r="T15" s="28"/>
      <c r="U15" s="34"/>
      <c r="V15" s="26"/>
      <c r="W15" s="34"/>
      <c r="X15" s="34"/>
      <c r="Y15" s="34"/>
    </row>
    <row r="16" spans="1:25">
      <c r="A16" s="17" t="s">
        <v>21</v>
      </c>
      <c r="B16" s="15">
        <v>10</v>
      </c>
      <c r="C16" s="7" t="s">
        <v>27</v>
      </c>
      <c r="D16" s="8">
        <v>3.5</v>
      </c>
      <c r="E16" s="30"/>
      <c r="F16" s="7"/>
      <c r="G16" s="7"/>
      <c r="H16" s="28"/>
      <c r="I16" s="34">
        <f t="shared" si="9"/>
        <v>3.5</v>
      </c>
      <c r="J16" s="26"/>
      <c r="K16" s="34">
        <f t="shared" si="10"/>
        <v>3.5</v>
      </c>
      <c r="L16" s="34">
        <f t="shared" si="11"/>
        <v>0</v>
      </c>
      <c r="M16" s="34">
        <f t="shared" si="12"/>
        <v>0</v>
      </c>
      <c r="N16" s="8">
        <v>31</v>
      </c>
      <c r="O16" s="7" t="s">
        <v>34</v>
      </c>
      <c r="P16" s="8"/>
      <c r="Q16" s="30"/>
      <c r="R16" s="7"/>
      <c r="S16" s="7"/>
      <c r="T16" s="28"/>
      <c r="U16" s="34"/>
      <c r="V16" s="26"/>
      <c r="W16" s="34"/>
      <c r="X16" s="34"/>
      <c r="Y16" s="34"/>
    </row>
    <row r="17" spans="1:25">
      <c r="A17" s="17" t="s">
        <v>24</v>
      </c>
      <c r="B17" s="15">
        <v>11</v>
      </c>
      <c r="C17" s="7" t="s">
        <v>22</v>
      </c>
      <c r="D17" s="8">
        <v>2.5</v>
      </c>
      <c r="E17" s="26"/>
      <c r="F17" s="7"/>
      <c r="G17" s="7"/>
      <c r="H17" s="28"/>
      <c r="I17" s="34">
        <f t="shared" si="9"/>
        <v>2.5</v>
      </c>
      <c r="J17" s="26"/>
      <c r="K17" s="34">
        <f t="shared" si="10"/>
        <v>2.5</v>
      </c>
      <c r="L17" s="34">
        <f t="shared" si="11"/>
        <v>0</v>
      </c>
      <c r="M17" s="34">
        <f t="shared" si="12"/>
        <v>0</v>
      </c>
      <c r="N17" s="15"/>
      <c r="O17" s="7"/>
      <c r="P17" s="8"/>
      <c r="Q17" s="26"/>
      <c r="R17" s="7"/>
      <c r="S17" s="7"/>
      <c r="T17" s="28"/>
      <c r="U17" s="34"/>
      <c r="V17" s="26"/>
      <c r="W17" s="34"/>
      <c r="X17" s="34"/>
      <c r="Y17" s="34"/>
    </row>
    <row r="18" spans="1:25">
      <c r="A18" s="17" t="s">
        <v>26</v>
      </c>
      <c r="B18" s="15">
        <v>12</v>
      </c>
      <c r="C18" s="7"/>
      <c r="D18" s="8"/>
      <c r="E18" s="30"/>
      <c r="F18" s="7"/>
      <c r="G18" s="7"/>
      <c r="H18" s="28"/>
      <c r="I18" s="34">
        <f t="shared" si="9"/>
        <v>0</v>
      </c>
      <c r="J18" s="26"/>
      <c r="K18" s="34">
        <f t="shared" si="10"/>
        <v>0</v>
      </c>
      <c r="L18" s="34" t="str">
        <f t="shared" si="11"/>
        <v/>
      </c>
      <c r="M18" s="34">
        <f t="shared" si="12"/>
        <v>0</v>
      </c>
      <c r="N18" s="15"/>
      <c r="O18" s="7"/>
      <c r="P18" s="8"/>
      <c r="Q18" s="30"/>
      <c r="R18" s="7"/>
      <c r="S18" s="7"/>
      <c r="T18" s="28"/>
      <c r="U18" s="34"/>
      <c r="V18" s="26"/>
      <c r="W18" s="34"/>
      <c r="X18" s="34"/>
      <c r="Y18" s="34"/>
    </row>
    <row r="19" spans="1:25">
      <c r="A19" s="18" t="s">
        <v>29</v>
      </c>
      <c r="B19" s="7"/>
      <c r="C19" s="7"/>
      <c r="D19" s="12">
        <f>SUM(D12:D18)</f>
        <v>12.5</v>
      </c>
      <c r="E19" s="31"/>
      <c r="F19" s="7"/>
      <c r="G19" s="7"/>
      <c r="H19" s="29"/>
      <c r="I19" s="35">
        <f t="shared" ref="I19:K19" si="13">SUM(I12:I18)</f>
        <v>12.5</v>
      </c>
      <c r="J19" s="35">
        <f t="shared" si="13"/>
        <v>0</v>
      </c>
      <c r="K19" s="35">
        <f t="shared" si="13"/>
        <v>12.5</v>
      </c>
      <c r="L19" s="35">
        <f>IFERROR(AVERAGEIF(L12:L18,"&lt;&gt;"),"")</f>
        <v>0</v>
      </c>
      <c r="M19" s="35" t="str">
        <f>IFERROR(AVERAGEIF(M12:M18,"&lt;&gt;0"),"")</f>
        <v/>
      </c>
      <c r="N19" s="7"/>
      <c r="O19" s="7"/>
      <c r="P19" s="12"/>
      <c r="Q19" s="31"/>
      <c r="R19" s="7"/>
      <c r="S19" s="7"/>
      <c r="T19" s="29"/>
      <c r="U19" s="35"/>
      <c r="V19" s="35"/>
      <c r="W19" s="35"/>
      <c r="X19" s="35"/>
      <c r="Y19" s="35"/>
    </row>
    <row r="20" ht="17" spans="1:25">
      <c r="A20" s="19"/>
      <c r="B20" s="4" t="s">
        <v>2</v>
      </c>
      <c r="C20" s="4" t="s">
        <v>35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8</v>
      </c>
      <c r="I20" s="4" t="s">
        <v>9</v>
      </c>
      <c r="J20" s="4" t="s">
        <v>10</v>
      </c>
      <c r="K20" s="4" t="s">
        <v>11</v>
      </c>
      <c r="L20" s="4" t="s">
        <v>12</v>
      </c>
      <c r="M20" s="4" t="s">
        <v>13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>
      <c r="A21" s="14" t="s">
        <v>15</v>
      </c>
      <c r="B21" s="8">
        <v>13</v>
      </c>
      <c r="C21" s="7" t="s">
        <v>22</v>
      </c>
      <c r="D21" s="8">
        <v>2.5</v>
      </c>
      <c r="E21" s="20"/>
      <c r="F21" s="20"/>
      <c r="G21" s="20"/>
      <c r="H21" s="28"/>
      <c r="I21" s="36">
        <f t="shared" ref="I21:I27" si="14">PRODUCT(D21,E21)</f>
        <v>2.5</v>
      </c>
      <c r="J21" s="26"/>
      <c r="K21" s="36">
        <f t="shared" ref="K21:K27" si="15">SUM(I21:J21)</f>
        <v>2.5</v>
      </c>
      <c r="L21" s="34">
        <f t="shared" ref="L21:L27" si="16">IFERROR(J21/D21,"")</f>
        <v>0</v>
      </c>
      <c r="M21" s="34">
        <f t="shared" ref="M21:M27" si="17">SUM(E21,L21)</f>
        <v>0</v>
      </c>
      <c r="N21" s="8"/>
      <c r="O21" s="7"/>
      <c r="P21" s="7"/>
      <c r="Q21" s="7"/>
      <c r="R21" s="7"/>
      <c r="S21" s="7"/>
      <c r="T21" s="7"/>
      <c r="U21" s="7">
        <f t="shared" ref="U21:U27" si="18">PRODUCT(P21,Q21)</f>
        <v>0</v>
      </c>
      <c r="V21" s="7"/>
      <c r="W21" s="7">
        <f t="shared" ref="W21:W27" si="19">SUM(U21:V21)</f>
        <v>0</v>
      </c>
      <c r="X21" s="7" t="str">
        <f t="shared" ref="X21:X27" si="20">IFERROR(V21/P21,"")</f>
        <v/>
      </c>
      <c r="Y21" s="7">
        <f t="shared" ref="Y21:Y27" si="21">SUM(Q21,X21)</f>
        <v>0</v>
      </c>
    </row>
    <row r="22" spans="1:25">
      <c r="A22" s="16" t="s">
        <v>17</v>
      </c>
      <c r="B22" s="8">
        <v>14</v>
      </c>
      <c r="C22" s="7"/>
      <c r="D22" s="8"/>
      <c r="E22" s="20"/>
      <c r="F22" s="20"/>
      <c r="G22" s="20"/>
      <c r="H22" s="28"/>
      <c r="I22" s="36">
        <f t="shared" si="14"/>
        <v>0</v>
      </c>
      <c r="J22" s="26"/>
      <c r="K22" s="36">
        <f t="shared" si="15"/>
        <v>0</v>
      </c>
      <c r="L22" s="34" t="str">
        <f t="shared" si="16"/>
        <v/>
      </c>
      <c r="M22" s="34">
        <f t="shared" si="17"/>
        <v>0</v>
      </c>
      <c r="N22" s="8"/>
      <c r="O22" s="7"/>
      <c r="P22" s="7"/>
      <c r="Q22" s="7"/>
      <c r="R22" s="7"/>
      <c r="S22" s="7"/>
      <c r="T22" s="7"/>
      <c r="U22" s="7">
        <f t="shared" si="18"/>
        <v>0</v>
      </c>
      <c r="V22" s="7"/>
      <c r="W22" s="7">
        <f t="shared" si="19"/>
        <v>0</v>
      </c>
      <c r="X22" s="7" t="str">
        <f t="shared" si="20"/>
        <v/>
      </c>
      <c r="Y22" s="7">
        <f t="shared" si="21"/>
        <v>0</v>
      </c>
    </row>
    <row r="23" spans="1:25">
      <c r="A23" s="17" t="s">
        <v>18</v>
      </c>
      <c r="B23" s="8">
        <v>15</v>
      </c>
      <c r="C23" s="7"/>
      <c r="D23" s="8"/>
      <c r="E23" s="20"/>
      <c r="F23" s="20"/>
      <c r="G23" s="20"/>
      <c r="H23" s="28"/>
      <c r="I23" s="36">
        <f t="shared" si="14"/>
        <v>0</v>
      </c>
      <c r="J23" s="26"/>
      <c r="K23" s="36">
        <f t="shared" si="15"/>
        <v>0</v>
      </c>
      <c r="L23" s="34" t="str">
        <f t="shared" si="16"/>
        <v/>
      </c>
      <c r="M23" s="34">
        <f t="shared" si="17"/>
        <v>0</v>
      </c>
      <c r="N23" s="8"/>
      <c r="O23" s="7"/>
      <c r="P23" s="7"/>
      <c r="Q23" s="7"/>
      <c r="R23" s="7"/>
      <c r="S23" s="7"/>
      <c r="T23" s="7"/>
      <c r="U23" s="7">
        <f t="shared" si="18"/>
        <v>0</v>
      </c>
      <c r="V23" s="7"/>
      <c r="W23" s="7">
        <f t="shared" si="19"/>
        <v>0</v>
      </c>
      <c r="X23" s="7" t="str">
        <f t="shared" si="20"/>
        <v/>
      </c>
      <c r="Y23" s="7">
        <f t="shared" si="21"/>
        <v>0</v>
      </c>
    </row>
    <row r="24" spans="1:25">
      <c r="A24" s="17" t="s">
        <v>20</v>
      </c>
      <c r="B24" s="8">
        <v>16</v>
      </c>
      <c r="C24" s="7"/>
      <c r="D24" s="8"/>
      <c r="E24" s="20"/>
      <c r="F24" s="20"/>
      <c r="G24" s="20"/>
      <c r="H24" s="28"/>
      <c r="I24" s="36">
        <f t="shared" si="14"/>
        <v>0</v>
      </c>
      <c r="J24" s="26"/>
      <c r="K24" s="36">
        <f t="shared" si="15"/>
        <v>0</v>
      </c>
      <c r="L24" s="34" t="str">
        <f t="shared" si="16"/>
        <v/>
      </c>
      <c r="M24" s="34">
        <f t="shared" si="17"/>
        <v>0</v>
      </c>
      <c r="N24" s="8"/>
      <c r="O24" s="7"/>
      <c r="P24" s="7"/>
      <c r="Q24" s="7"/>
      <c r="R24" s="7"/>
      <c r="S24" s="7"/>
      <c r="T24" s="7"/>
      <c r="U24" s="7">
        <f t="shared" si="18"/>
        <v>0</v>
      </c>
      <c r="V24" s="7"/>
      <c r="W24" s="7">
        <f t="shared" si="19"/>
        <v>0</v>
      </c>
      <c r="X24" s="7" t="str">
        <f t="shared" si="20"/>
        <v/>
      </c>
      <c r="Y24" s="7">
        <f t="shared" si="21"/>
        <v>0</v>
      </c>
    </row>
    <row r="25" spans="1:25">
      <c r="A25" s="17" t="s">
        <v>21</v>
      </c>
      <c r="B25" s="8">
        <v>17</v>
      </c>
      <c r="C25" s="7" t="s">
        <v>22</v>
      </c>
      <c r="D25" s="8">
        <v>2.5</v>
      </c>
      <c r="E25" s="20"/>
      <c r="F25" s="20"/>
      <c r="G25" s="20"/>
      <c r="H25" s="28"/>
      <c r="I25" s="36">
        <f t="shared" si="14"/>
        <v>2.5</v>
      </c>
      <c r="J25" s="26"/>
      <c r="K25" s="36">
        <f t="shared" si="15"/>
        <v>2.5</v>
      </c>
      <c r="L25" s="34">
        <f t="shared" si="16"/>
        <v>0</v>
      </c>
      <c r="M25" s="34">
        <f t="shared" si="17"/>
        <v>0</v>
      </c>
      <c r="N25" s="8"/>
      <c r="O25" s="7"/>
      <c r="P25" s="7"/>
      <c r="Q25" s="7"/>
      <c r="R25" s="7"/>
      <c r="S25" s="7"/>
      <c r="T25" s="7"/>
      <c r="U25" s="7">
        <f t="shared" si="18"/>
        <v>0</v>
      </c>
      <c r="V25" s="7"/>
      <c r="W25" s="7">
        <f t="shared" si="19"/>
        <v>0</v>
      </c>
      <c r="X25" s="7" t="str">
        <f t="shared" si="20"/>
        <v/>
      </c>
      <c r="Y25" s="7">
        <f t="shared" si="21"/>
        <v>0</v>
      </c>
    </row>
    <row r="26" spans="1:25">
      <c r="A26" s="17" t="s">
        <v>24</v>
      </c>
      <c r="B26" s="8">
        <v>18</v>
      </c>
      <c r="C26" s="7" t="s">
        <v>25</v>
      </c>
      <c r="D26" s="8">
        <v>3</v>
      </c>
      <c r="E26" s="20"/>
      <c r="F26" s="20"/>
      <c r="G26" s="20"/>
      <c r="H26" s="28"/>
      <c r="I26" s="36">
        <f t="shared" si="14"/>
        <v>3</v>
      </c>
      <c r="J26" s="26"/>
      <c r="K26" s="36">
        <f t="shared" si="15"/>
        <v>3</v>
      </c>
      <c r="L26" s="34">
        <f t="shared" si="16"/>
        <v>0</v>
      </c>
      <c r="M26" s="34">
        <f t="shared" si="17"/>
        <v>0</v>
      </c>
      <c r="N26" s="8"/>
      <c r="O26" s="7"/>
      <c r="P26" s="7"/>
      <c r="Q26" s="7"/>
      <c r="R26" s="7"/>
      <c r="S26" s="7"/>
      <c r="T26" s="7"/>
      <c r="U26" s="7">
        <f t="shared" si="18"/>
        <v>0</v>
      </c>
      <c r="V26" s="7"/>
      <c r="W26" s="7">
        <f t="shared" si="19"/>
        <v>0</v>
      </c>
      <c r="X26" s="7" t="str">
        <f t="shared" si="20"/>
        <v/>
      </c>
      <c r="Y26" s="7">
        <f t="shared" si="21"/>
        <v>0</v>
      </c>
    </row>
    <row r="27" spans="1:25">
      <c r="A27" s="17" t="s">
        <v>26</v>
      </c>
      <c r="B27" s="8">
        <v>19</v>
      </c>
      <c r="C27" s="7" t="s">
        <v>36</v>
      </c>
      <c r="D27" s="8">
        <v>5.5</v>
      </c>
      <c r="E27" s="20"/>
      <c r="F27" s="20"/>
      <c r="G27" s="20"/>
      <c r="H27" s="28"/>
      <c r="I27" s="36">
        <f t="shared" si="14"/>
        <v>5.5</v>
      </c>
      <c r="J27" s="26"/>
      <c r="K27" s="36">
        <f t="shared" si="15"/>
        <v>5.5</v>
      </c>
      <c r="L27" s="34">
        <f t="shared" si="16"/>
        <v>0</v>
      </c>
      <c r="M27" s="34">
        <f t="shared" si="17"/>
        <v>0</v>
      </c>
      <c r="N27" s="7"/>
      <c r="O27" s="7"/>
      <c r="P27" s="7"/>
      <c r="Q27" s="7"/>
      <c r="R27" s="7"/>
      <c r="S27" s="7"/>
      <c r="T27" s="7"/>
      <c r="U27" s="7">
        <f t="shared" si="18"/>
        <v>0</v>
      </c>
      <c r="V27" s="7"/>
      <c r="W27" s="7">
        <f t="shared" si="19"/>
        <v>0</v>
      </c>
      <c r="X27" s="7" t="str">
        <f t="shared" si="20"/>
        <v/>
      </c>
      <c r="Y27" s="7">
        <f t="shared" si="21"/>
        <v>0</v>
      </c>
    </row>
    <row r="28" spans="1:25">
      <c r="A28" s="18" t="s">
        <v>29</v>
      </c>
      <c r="B28" s="20"/>
      <c r="C28" s="7"/>
      <c r="D28" s="12">
        <f>SUM(D21:D27)</f>
        <v>13.5</v>
      </c>
      <c r="E28" s="20"/>
      <c r="F28" s="20"/>
      <c r="G28" s="20"/>
      <c r="H28" s="29"/>
      <c r="I28" s="33">
        <f t="shared" ref="I28:K28" si="22">SUM(I21:I27)</f>
        <v>13.5</v>
      </c>
      <c r="J28" s="33">
        <f t="shared" si="22"/>
        <v>0</v>
      </c>
      <c r="K28" s="35">
        <f t="shared" si="22"/>
        <v>13.5</v>
      </c>
      <c r="L28" s="33">
        <f>IFERROR(AVERAGEIF(L21:L27,"&lt;&gt;"),"")</f>
        <v>0</v>
      </c>
      <c r="M28" s="33" t="str">
        <f>IFERROR(AVERAGEIF(M21:M27,"&lt;&gt;0"),"")</f>
        <v/>
      </c>
      <c r="N28" s="7"/>
      <c r="O28" s="7"/>
      <c r="P28" s="7">
        <f>SUM(P21:P27)</f>
        <v>0</v>
      </c>
      <c r="Q28" s="7"/>
      <c r="R28" s="7"/>
      <c r="S28" s="7"/>
      <c r="T28" s="7"/>
      <c r="U28" s="7">
        <f t="shared" ref="U28:W28" si="23">SUM(U21:U27)</f>
        <v>0</v>
      </c>
      <c r="V28" s="7">
        <f t="shared" si="23"/>
        <v>0</v>
      </c>
      <c r="W28" s="7">
        <f t="shared" si="23"/>
        <v>0</v>
      </c>
      <c r="X28" s="7" t="str">
        <f>IFERROR(AVERAGEIF(X21:X27,"&lt;&gt;"),"")</f>
        <v/>
      </c>
      <c r="Y28" s="7" t="str">
        <f>IFERROR(AVERAGEIF(Y21:Y27,"&lt;&gt;0"),"")</f>
        <v/>
      </c>
    </row>
    <row r="29" spans="1:25">
      <c r="A29" s="21" t="s">
        <v>1</v>
      </c>
      <c r="B29" s="22" t="s">
        <v>37</v>
      </c>
      <c r="C29" s="23"/>
      <c r="D29" s="12">
        <f>SUM(D10,D19,P10,P19,D28)</f>
        <v>34.5</v>
      </c>
      <c r="E29" s="22" t="s">
        <v>38</v>
      </c>
      <c r="F29" s="32"/>
      <c r="G29" s="32"/>
      <c r="H29" s="33">
        <f>SUM(I10,U10,U19,I19,I28)</f>
        <v>34.5</v>
      </c>
      <c r="I29" s="22" t="s">
        <v>39</v>
      </c>
      <c r="J29" s="22"/>
      <c r="K29" s="32"/>
      <c r="L29" s="33">
        <f>SUM(J10,V10,J19,V19,J28)</f>
        <v>0</v>
      </c>
      <c r="M29" s="22" t="s">
        <v>40</v>
      </c>
      <c r="N29" s="32"/>
      <c r="O29" s="32"/>
      <c r="P29" s="33">
        <f>SUM(K10,W10,K19,W19,K28)</f>
        <v>34.5</v>
      </c>
      <c r="Q29" s="22" t="s">
        <v>41</v>
      </c>
      <c r="R29" s="32"/>
      <c r="S29" s="32"/>
      <c r="T29" s="37">
        <f>SUM(H10,T10,H19,T19,H28)</f>
        <v>0</v>
      </c>
      <c r="U29" s="25"/>
      <c r="V29" s="25"/>
      <c r="W29" s="25"/>
      <c r="X29" s="25"/>
      <c r="Y29" s="25"/>
    </row>
    <row r="30" spans="1:2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ht="21" spans="1:25">
      <c r="A31" s="1" t="s">
        <v>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2024-12-04T01:36:00Z</dcterms:created>
  <dcterms:modified xsi:type="dcterms:W3CDTF">2024-12-05T22:10:10Z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20E7060C276C558DC9AD51670366DD4D_42</vt:lpwstr>
  </property>
  <property fmtid="{D5CDD505-2E9C-101B-9397-08002B2CF9AE}" pid="3" name="KSOProductBuildVer">
    <vt:lpwstr>2052-6.8.2.8850</vt:lpwstr>
  </property>
</Properties>
</file>