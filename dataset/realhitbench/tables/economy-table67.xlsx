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2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<sst xmlns="http://schemas.openxmlformats.org/spreadsheetml/2006/main" count="19" uniqueCount="19">
  <si>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Package Details</t>
  </si>
  <si>
    <t>Monthly</t>
  </si>
  <si>
    <t>Annual</t>
  </si>
  <si>
    <t xml:space="preserve">CTC </t>
  </si>
  <si>
    <t>Earnings:</t>
  </si>
  <si>
    <t>BASIC SALARY</t>
  </si>
  <si>
    <t>HRA</t>
  </si>
  <si>
    <t>TRANSPORT ALLOWANCE</t>
  </si>
  <si>
    <t>MEDICAL REIMBURSEMENT</t>
  </si>
  <si>
    <t>SPECIAL ALLOWANCE</t>
  </si>
  <si>
    <t>TOTAL EARNINGS (Gross)</t>
  </si>
  <si>
    <t>Employer's Contribution:</t>
  </si>
  <si>
    <t>Gratuity</t>
  </si>
  <si>
    <t>Employer's Provident Fund Contribution</t>
  </si>
  <si>
    <t>Employer's ESI Contribution</t>
  </si>
  <si>
    <t>Medical Insuramce</t>
  </si>
  <si>
    <t>Peformance Incentive</t>
  </si>
  <si>
    <t>Total of employer's contribution</t>
  </si>
  <si>
    <t>TOTAL CTC (Cross Verification)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</si>
</sst>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_);_(* \(#,##0\);_(* \-??_);_(@_)"/>
    <numFmt numFmtId="177" formatCode="_-* #,##0_-;\-* #,##0_-;_-* \-??_-;_-@_-"/>
  </numFmts>
  <fonts count="26">
    <font>
      <sz val="11"/>
      <color theme="1"/>
      <name val="宋体"/>
      <charset val="134"/>
      <scheme val="minor"/>
    </font>
    <font>
      <b/>
      <sz val="12"/>
      <name val="Times New Roman"/>
      <family val="1"/>
      <charset val="0"/>
    </font>
    <font>
      <sz val="12"/>
      <name val="Times New Roman"/>
      <family val="1"/>
      <charset val="0"/>
    </font>
    <font>
      <b/>
      <u/>
      <sz val="12"/>
      <color indexed="8"/>
      <name val="Times New Roman"/>
      <family val="1"/>
      <charset val="0"/>
    </font>
    <font>
      <sz val="12"/>
      <color indexed="8"/>
      <name val="Times New Roman"/>
      <family val="1"/>
      <charset val="0"/>
    </font>
    <font>
      <b/>
      <sz val="12"/>
      <color indexed="8"/>
      <name val="Times New Roman"/>
      <family val="1"/>
      <charset val="0"/>
    </font>
    <font>
      <b/>
      <u/>
      <sz val="12"/>
      <name val="Times New Roman"/>
      <family val="1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17"/>
        <bgColor indexed="21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hair">
        <color indexed="8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/>
      <top style="thin">
        <color indexed="63"/>
      </top>
      <bottom style="thin">
        <color indexed="63"/>
      </bottom>
      <diagonal/>
    </border>
    <border>
      <left style="hair">
        <color indexed="8"/>
      </left>
      <right/>
      <top style="thin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double">
        <color indexed="63"/>
      </bottom>
      <diagonal/>
    </border>
    <border>
      <left style="hair">
        <color indexed="8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20" applyNumberFormat="0" applyAlignment="0" applyProtection="0">
      <alignment vertical="center"/>
    </xf>
    <xf numFmtId="0" fontId="16" fillId="7" borderId="21" applyNumberFormat="0" applyAlignment="0" applyProtection="0">
      <alignment vertical="center"/>
    </xf>
    <xf numFmtId="0" fontId="17" fillId="7" borderId="20" applyNumberFormat="0" applyAlignment="0" applyProtection="0">
      <alignment vertical="center"/>
    </xf>
    <xf numFmtId="0" fontId="18" fillId="8" borderId="22" applyNumberFormat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wrapText="1"/>
    </xf>
    <xf numFmtId="176" fontId="1" fillId="0" borderId="2" xfId="1" applyNumberFormat="1" applyFont="1" applyFill="1" applyBorder="1" applyAlignment="1" applyProtection="1">
      <alignment horizontal="center" wrapText="1"/>
    </xf>
    <xf numFmtId="0" fontId="2" fillId="0" borderId="3" xfId="0" applyFont="1" applyFill="1" applyBorder="1" applyAlignment="1"/>
    <xf numFmtId="176" fontId="2" fillId="0" borderId="2" xfId="1" applyNumberFormat="1" applyFont="1" applyFill="1" applyBorder="1" applyAlignment="1" applyProtection="1"/>
    <xf numFmtId="0" fontId="2" fillId="2" borderId="4" xfId="0" applyFont="1" applyFill="1" applyBorder="1" applyAlignment="1"/>
    <xf numFmtId="176" fontId="2" fillId="3" borderId="2" xfId="1" applyNumberFormat="1" applyFont="1" applyFill="1" applyBorder="1" applyAlignment="1" applyProtection="1"/>
    <xf numFmtId="176" fontId="2" fillId="2" borderId="5" xfId="1" applyNumberFormat="1" applyFont="1" applyFill="1" applyBorder="1" applyAlignment="1" applyProtection="1"/>
    <xf numFmtId="0" fontId="3" fillId="0" borderId="6" xfId="0" applyFont="1" applyFill="1" applyBorder="1" applyAlignment="1">
      <alignment vertical="top"/>
    </xf>
    <xf numFmtId="176" fontId="2" fillId="0" borderId="7" xfId="1" applyNumberFormat="1" applyFont="1" applyFill="1" applyBorder="1" applyAlignment="1" applyProtection="1"/>
    <xf numFmtId="176" fontId="2" fillId="0" borderId="8" xfId="1" applyNumberFormat="1" applyFont="1" applyFill="1" applyBorder="1" applyAlignment="1" applyProtection="1"/>
    <xf numFmtId="0" fontId="4" fillId="0" borderId="6" xfId="0" applyFont="1" applyFill="1" applyBorder="1" applyAlignment="1">
      <alignment vertical="top"/>
    </xf>
    <xf numFmtId="177" fontId="2" fillId="0" borderId="8" xfId="1" applyNumberFormat="1" applyFont="1" applyFill="1" applyBorder="1" applyAlignment="1" applyProtection="1"/>
    <xf numFmtId="176" fontId="2" fillId="0" borderId="9" xfId="1" applyNumberFormat="1" applyFont="1" applyFill="1" applyBorder="1" applyAlignment="1" applyProtection="1"/>
    <xf numFmtId="0" fontId="4" fillId="4" borderId="6" xfId="0" applyFont="1" applyFill="1" applyBorder="1" applyAlignment="1">
      <alignment vertical="top"/>
    </xf>
    <xf numFmtId="176" fontId="2" fillId="4" borderId="10" xfId="1" applyNumberFormat="1" applyFont="1" applyFill="1" applyBorder="1" applyAlignment="1" applyProtection="1"/>
    <xf numFmtId="0" fontId="5" fillId="0" borderId="3" xfId="0" applyFont="1" applyFill="1" applyBorder="1" applyAlignment="1">
      <alignment vertical="top"/>
    </xf>
    <xf numFmtId="176" fontId="1" fillId="0" borderId="7" xfId="1" applyNumberFormat="1" applyFont="1" applyFill="1" applyBorder="1" applyAlignment="1" applyProtection="1"/>
    <xf numFmtId="176" fontId="1" fillId="0" borderId="11" xfId="1" applyNumberFormat="1" applyFont="1" applyFill="1" applyBorder="1" applyAlignment="1" applyProtection="1"/>
    <xf numFmtId="0" fontId="2" fillId="0" borderId="6" xfId="0" applyFont="1" applyFill="1" applyBorder="1" applyAlignment="1"/>
    <xf numFmtId="176" fontId="2" fillId="0" borderId="12" xfId="1" applyNumberFormat="1" applyFont="1" applyFill="1" applyBorder="1" applyAlignment="1" applyProtection="1"/>
    <xf numFmtId="176" fontId="2" fillId="0" borderId="13" xfId="1" applyNumberFormat="1" applyFont="1" applyFill="1" applyBorder="1" applyAlignment="1" applyProtection="1"/>
    <xf numFmtId="0" fontId="6" fillId="0" borderId="6" xfId="0" applyFont="1" applyFill="1" applyBorder="1" applyAlignment="1">
      <alignment vertical="top"/>
    </xf>
    <xf numFmtId="176" fontId="2" fillId="0" borderId="14" xfId="1" applyNumberFormat="1" applyFont="1" applyFill="1" applyBorder="1" applyAlignment="1" applyProtection="1"/>
    <xf numFmtId="176" fontId="2" fillId="0" borderId="15" xfId="1" applyNumberFormat="1" applyFont="1" applyFill="1" applyBorder="1" applyAlignment="1" applyProtection="1"/>
    <xf numFmtId="0" fontId="2" fillId="0" borderId="6" xfId="0" applyFont="1" applyFill="1" applyBorder="1" applyAlignment="1">
      <alignment vertical="top"/>
    </xf>
    <xf numFmtId="0" fontId="1" fillId="0" borderId="3" xfId="0" applyFont="1" applyFill="1" applyBorder="1" applyAlignment="1">
      <alignment vertical="top"/>
    </xf>
    <xf numFmtId="176" fontId="1" fillId="0" borderId="16" xfId="1" applyNumberFormat="1" applyFont="1" applyFill="1" applyBorder="1" applyAlignment="1" applyProtection="1">
      <alignment horizontal="right" vertical="top"/>
    </xf>
    <xf numFmtId="176" fontId="2" fillId="0" borderId="10" xfId="1" applyNumberFormat="1" applyFont="1" applyFill="1" applyBorder="1" applyAlignment="1" applyProtection="1">
      <alignment horizontal="right" vertical="top"/>
    </xf>
    <xf numFmtId="0" fontId="1" fillId="2" borderId="4" xfId="0" applyFont="1" applyFill="1" applyBorder="1" applyAlignment="1">
      <alignment vertical="top"/>
    </xf>
    <xf numFmtId="176" fontId="1" fillId="2" borderId="5" xfId="1" applyNumberFormat="1" applyFont="1" applyFill="1" applyBorder="1" applyAlignment="1" applyProtection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I14" sqref="I14"/>
    </sheetView>
  </sheetViews>
  <sheetFormatPr defaultColWidth="9.23076923076923" defaultRowHeight="16.8" outlineLevelCol="2"/>
  <cols>
    <col min="1" max="1" width="35.5769230769231" customWidth="1"/>
    <col min="2" max="2" width="14.2596153846154" customWidth="1"/>
    <col min="3" max="3" width="15.0576923076923" customWidth="1"/>
  </cols>
  <sheetData>
    <row r="1" ht="36" spans="1:3">
      <c r="A1" s="1" t="s">
        <v>0</v>
      </c>
      <c r="B1" s="2"/>
      <c r="C1" s="2"/>
    </row>
    <row r="2" ht="17.6" spans="1:3">
      <c r="A2" s="3"/>
      <c r="B2" s="4" t="s">
        <v>1</v>
      </c>
      <c r="C2" s="4" t="s">
        <v>2</v>
      </c>
    </row>
    <row r="3" ht="18.35" spans="1:3">
      <c r="A3" s="5" t="s">
        <v>3</v>
      </c>
      <c r="B3" s="6">
        <f>ROUND(C3/12,0)</f>
        <v>50000</v>
      </c>
      <c r="C3" s="7">
        <v>600000</v>
      </c>
    </row>
    <row r="4" ht="18.35" spans="1:3">
      <c r="A4" s="8" t="s">
        <v>4</v>
      </c>
      <c r="B4" s="9"/>
      <c r="C4" s="10"/>
    </row>
    <row r="5" ht="17.6" spans="1:3">
      <c r="A5" s="11" t="s">
        <v>5</v>
      </c>
      <c r="B5" s="12">
        <f>ROUND(B3*40%,0)</f>
        <v>20000</v>
      </c>
      <c r="C5" s="13">
        <f t="shared" ref="C5:C9" si="0">B5*12</f>
        <v>240000</v>
      </c>
    </row>
    <row r="6" ht="17.6" spans="1:3">
      <c r="A6" s="11" t="s">
        <v>6</v>
      </c>
      <c r="B6" s="10">
        <f>ROUND(B5*40%,0)</f>
        <v>8000</v>
      </c>
      <c r="C6" s="13">
        <f t="shared" si="0"/>
        <v>96000</v>
      </c>
    </row>
    <row r="7" ht="17.6" spans="1:3">
      <c r="A7" s="11" t="s">
        <v>7</v>
      </c>
      <c r="B7" s="10">
        <v>800</v>
      </c>
      <c r="C7" s="13">
        <f t="shared" si="0"/>
        <v>9600</v>
      </c>
    </row>
    <row r="8" ht="17.6" spans="1:3">
      <c r="A8" s="11" t="s">
        <v>8</v>
      </c>
      <c r="B8" s="10">
        <v>1250</v>
      </c>
      <c r="C8" s="13">
        <f t="shared" si="0"/>
        <v>15000</v>
      </c>
    </row>
    <row r="9" ht="17.6" spans="1:3">
      <c r="A9" s="14" t="s">
        <v>9</v>
      </c>
      <c r="B9" s="15">
        <f ca="1">ROUND((B3-(B13+B14+B15+B16+B17))-SUM(B5:B8),0)</f>
        <v>11894</v>
      </c>
      <c r="C9" s="13">
        <f ca="1" t="shared" si="0"/>
        <v>142728</v>
      </c>
    </row>
    <row r="10" ht="17.6" spans="1:3">
      <c r="A10" s="16" t="s">
        <v>10</v>
      </c>
      <c r="B10" s="17">
        <f ca="1">SUM(B5:B9)</f>
        <v>41944</v>
      </c>
      <c r="C10" s="18">
        <f ca="1">SUM(C5:C9)</f>
        <v>503328</v>
      </c>
    </row>
    <row r="11" ht="17.6" spans="1:3">
      <c r="A11" s="19"/>
      <c r="B11" s="20"/>
      <c r="C11" s="21"/>
    </row>
    <row r="12" ht="17.6" spans="1:3">
      <c r="A12" s="22" t="s">
        <v>11</v>
      </c>
      <c r="B12" s="23"/>
      <c r="C12" s="24"/>
    </row>
    <row r="13" ht="17.6" spans="1:3">
      <c r="A13" s="25" t="s">
        <v>12</v>
      </c>
      <c r="B13" s="23">
        <f>ROUND(B5*4.81/100,0)</f>
        <v>962</v>
      </c>
      <c r="C13" s="24">
        <f t="shared" ref="C13:C17" si="1">B13*12</f>
        <v>11544</v>
      </c>
    </row>
    <row r="14" ht="17.6" spans="1:3">
      <c r="A14" s="25" t="s">
        <v>13</v>
      </c>
      <c r="B14" s="23">
        <f>ROUND(B5*12%,0)</f>
        <v>2400</v>
      </c>
      <c r="C14" s="24">
        <f t="shared" si="1"/>
        <v>28800</v>
      </c>
    </row>
    <row r="15" ht="17.6" spans="1:3">
      <c r="A15" s="25" t="s">
        <v>14</v>
      </c>
      <c r="B15" s="23">
        <f>ROUND(IF(B23&lt;=15000,B23*4.75%,0),0)</f>
        <v>0</v>
      </c>
      <c r="C15" s="24">
        <f t="shared" si="1"/>
        <v>0</v>
      </c>
    </row>
    <row r="16" ht="17.6" spans="1:3">
      <c r="A16" s="25" t="s">
        <v>15</v>
      </c>
      <c r="B16" s="23">
        <v>500</v>
      </c>
      <c r="C16" s="24">
        <f t="shared" si="1"/>
        <v>6000</v>
      </c>
    </row>
    <row r="17" ht="17.6" spans="1:3">
      <c r="A17" s="25" t="s">
        <v>16</v>
      </c>
      <c r="B17" s="23">
        <f ca="1">B10*10/100</f>
        <v>4194.4</v>
      </c>
      <c r="C17" s="24">
        <f ca="1" t="shared" si="1"/>
        <v>50332.8</v>
      </c>
    </row>
    <row r="18" ht="17.6" spans="1:3">
      <c r="A18" s="26" t="s">
        <v>17</v>
      </c>
      <c r="B18" s="27">
        <f ca="1">SUM(B13:B17)</f>
        <v>8056.4</v>
      </c>
      <c r="C18" s="27">
        <f ca="1">SUM(C13:C17)</f>
        <v>96676.8</v>
      </c>
    </row>
    <row r="19" ht="17.6" spans="1:3">
      <c r="A19" s="25"/>
      <c r="B19" s="28"/>
      <c r="C19" s="10"/>
    </row>
    <row r="20" ht="18.35" spans="1:3">
      <c r="A20" s="29" t="s">
        <v>18</v>
      </c>
      <c r="B20" s="30">
        <f ca="1">B10+B18</f>
        <v>50000.4</v>
      </c>
      <c r="C20" s="30">
        <f ca="1">C10+C18</f>
        <v>600004.8</v>
      </c>
    </row>
    <row r="21" ht="17.55"/>
  </sheetData>
  <mergeCells count="1">
    <mergeCell ref="B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2024-12-10T19:53:20Z</dcterms:created>
  <dcterms:modified xsi:type="dcterms:W3CDTF">2024-12-10T20:12:56Z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43E179CEADB6716EB02B5867CF20520D_41</vt:lpwstr>
  </property>
  <property fmtid="{D5CDD505-2E9C-101B-9397-08002B2CF9AE}" pid="3" name="KSOProductBuildVer">
    <vt:lpwstr>2052-6.8.2.8850</vt:lpwstr>
  </property>
</Properties>
</file>