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<sst xmlns="http://schemas.openxmlformats.org/spreadsheetml/2006/main" count="82" uniqueCount="24">
  <si>
    <t>EMSA panels</t>
  </si>
  <si>
    <t>Expt1</t>
  </si>
  <si>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</si>
  <si>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</si>
  <si>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</si>
  <si>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</si>
  <si>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</si>
  <si>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</si>
  <si>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</si>
  <si>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</si>
  <si>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Set1</t>
  </si>
  <si>
    <t>uninf DC-SAG</t>
  </si>
  <si>
    <t>Set2</t>
  </si>
  <si>
    <t>uinf DC + SAG</t>
  </si>
  <si>
    <t>Set3</t>
  </si>
  <si>
    <t>DC + AG83 (24h) - SAG</t>
  </si>
  <si>
    <t>Set4</t>
  </si>
  <si>
    <t>DC + AG83 (24h) + SAG</t>
  </si>
  <si>
    <t>Set5</t>
  </si>
  <si>
    <t>DC + GE1F8R (24 h) - SAG</t>
  </si>
  <si>
    <t>Set6</t>
  </si>
  <si>
    <t>DC + GE1F8R (24 h) +  SAG</t>
  </si>
  <si>
    <t>Expt2</t>
  </si>
  <si>
    <t>Expt3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</si>
</sst>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S12" sqref="S12"/>
    </sheetView>
  </sheetViews>
  <sheetFormatPr defaultColWidth="8.72727272727273" defaultRowHeight="14"/>
  <cols>
    <col min="3" max="3" width="27.3636363636364" customWidth="1"/>
    <col min="5" max="5" width="10.4545454545455" customWidth="1"/>
    <col min="6" max="6" width="14.7272727272727" customWidth="1"/>
    <col min="9" max="9" width="10.0909090909091" customWidth="1"/>
    <col min="10" max="10" width="15.4545454545455" customWidth="1"/>
    <col min="13" max="13" width="10.6363636363636" customWidth="1"/>
    <col min="14" max="14" width="15.5454545454545" customWidth="1"/>
    <col min="15" max="15" width="9.54545454545454" customWidth="1"/>
    <col min="16" max="16" width="9.81818181818182" customWidth="1"/>
  </cols>
  <sheetData>
    <row r="1" ht="17.5" spans="1:16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4"/>
      <c r="C4" s="5"/>
      <c r="D4" s="6" t="s">
        <v>2</v>
      </c>
      <c r="E4" s="7"/>
      <c r="F4" s="8"/>
      <c r="G4" s="5"/>
      <c r="H4" s="6" t="s">
        <v>3</v>
      </c>
      <c r="I4" s="7"/>
      <c r="J4" s="8"/>
      <c r="K4" s="5"/>
      <c r="L4" s="22" t="s">
        <v>4</v>
      </c>
      <c r="M4" s="7"/>
      <c r="N4" s="8"/>
      <c r="O4" s="7" t="s">
        <v>5</v>
      </c>
      <c r="P4" s="23" t="s">
        <v>6</v>
      </c>
    </row>
    <row r="5" spans="1:16">
      <c r="A5" s="2"/>
      <c r="B5" s="9"/>
      <c r="C5" s="10"/>
      <c r="D5" s="11" t="s">
        <v>7</v>
      </c>
      <c r="E5" s="12" t="s">
        <v>8</v>
      </c>
      <c r="F5" s="13" t="s">
        <v>9</v>
      </c>
      <c r="G5" s="12"/>
      <c r="H5" s="11" t="s">
        <v>7</v>
      </c>
      <c r="I5" s="12" t="s">
        <v>8</v>
      </c>
      <c r="J5" s="13" t="s">
        <v>9</v>
      </c>
      <c r="K5" s="12"/>
      <c r="L5" s="11" t="s">
        <v>7</v>
      </c>
      <c r="M5" s="12" t="s">
        <v>8</v>
      </c>
      <c r="N5" s="13" t="s">
        <v>9</v>
      </c>
      <c r="O5" s="12"/>
      <c r="P5" s="13"/>
    </row>
    <row r="6" spans="1:16">
      <c r="A6" s="2"/>
      <c r="B6" s="4" t="s">
        <v>10</v>
      </c>
      <c r="C6" s="5" t="s">
        <v>11</v>
      </c>
      <c r="D6" s="14">
        <v>0.03</v>
      </c>
      <c r="E6" s="15">
        <v>64.35</v>
      </c>
      <c r="F6" s="16">
        <f t="shared" ref="F6:F11" si="0">(E6/D6)</f>
        <v>2145</v>
      </c>
      <c r="G6" s="15"/>
      <c r="H6" s="14">
        <v>0.04</v>
      </c>
      <c r="I6" s="15">
        <v>57.36</v>
      </c>
      <c r="J6" s="16">
        <f t="shared" ref="J6:J11" si="1">(I6/H6)</f>
        <v>1434</v>
      </c>
      <c r="K6" s="15"/>
      <c r="L6" s="14">
        <v>0.35</v>
      </c>
      <c r="M6" s="15">
        <v>182.54</v>
      </c>
      <c r="N6" s="16">
        <f t="shared" ref="N6:N11" si="2">(M6/L6)</f>
        <v>521.542857142857</v>
      </c>
      <c r="O6" s="15">
        <f t="shared" ref="O6:O11" si="3">(F6/N6)</f>
        <v>4.11279719513531</v>
      </c>
      <c r="P6" s="16">
        <f t="shared" ref="P6:P11" si="4">(J6/N6)</f>
        <v>2.74953434863591</v>
      </c>
    </row>
    <row r="7" spans="1:16">
      <c r="A7" s="2"/>
      <c r="B7" s="17" t="s">
        <v>12</v>
      </c>
      <c r="C7" s="18" t="s">
        <v>13</v>
      </c>
      <c r="D7" s="19">
        <v>0.03</v>
      </c>
      <c r="E7" s="20">
        <v>200.75</v>
      </c>
      <c r="F7" s="21">
        <f t="shared" si="0"/>
        <v>6691.66666666667</v>
      </c>
      <c r="G7" s="20"/>
      <c r="H7" s="19">
        <v>0.04</v>
      </c>
      <c r="I7" s="20">
        <v>178.38</v>
      </c>
      <c r="J7" s="21">
        <f t="shared" si="1"/>
        <v>4459.5</v>
      </c>
      <c r="K7" s="20"/>
      <c r="L7" s="19">
        <v>0.35</v>
      </c>
      <c r="M7" s="20">
        <v>181.8</v>
      </c>
      <c r="N7" s="21">
        <f t="shared" si="2"/>
        <v>519.428571428571</v>
      </c>
      <c r="O7" s="20">
        <f t="shared" si="3"/>
        <v>12.8827466079941</v>
      </c>
      <c r="P7" s="21">
        <f t="shared" si="4"/>
        <v>8.58539603960396</v>
      </c>
    </row>
    <row r="8" spans="1:16">
      <c r="A8" s="2"/>
      <c r="B8" s="4" t="s">
        <v>14</v>
      </c>
      <c r="C8" s="5" t="s">
        <v>15</v>
      </c>
      <c r="D8" s="14">
        <v>0.03</v>
      </c>
      <c r="E8" s="15">
        <v>62.12</v>
      </c>
      <c r="F8" s="16">
        <f t="shared" si="0"/>
        <v>2070.66666666667</v>
      </c>
      <c r="G8" s="15"/>
      <c r="H8" s="14">
        <v>0.04</v>
      </c>
      <c r="I8" s="15">
        <v>60.15</v>
      </c>
      <c r="J8" s="16">
        <f t="shared" si="1"/>
        <v>1503.75</v>
      </c>
      <c r="K8" s="15"/>
      <c r="L8" s="14">
        <v>0.35</v>
      </c>
      <c r="M8" s="15">
        <v>185.43</v>
      </c>
      <c r="N8" s="16">
        <f t="shared" si="2"/>
        <v>529.8</v>
      </c>
      <c r="O8" s="15">
        <f t="shared" si="3"/>
        <v>3.90839310431609</v>
      </c>
      <c r="P8" s="16">
        <f t="shared" si="4"/>
        <v>2.83833522083805</v>
      </c>
    </row>
    <row r="9" spans="1:16">
      <c r="A9" s="2"/>
      <c r="B9" s="17" t="s">
        <v>16</v>
      </c>
      <c r="C9" s="18" t="s">
        <v>17</v>
      </c>
      <c r="D9" s="19">
        <v>0.03</v>
      </c>
      <c r="E9" s="20">
        <v>189.44</v>
      </c>
      <c r="F9" s="21">
        <f t="shared" si="0"/>
        <v>6314.66666666667</v>
      </c>
      <c r="G9" s="20"/>
      <c r="H9" s="19">
        <v>0.04</v>
      </c>
      <c r="I9" s="20">
        <v>183.52</v>
      </c>
      <c r="J9" s="21">
        <f t="shared" si="1"/>
        <v>4588</v>
      </c>
      <c r="K9" s="20"/>
      <c r="L9" s="19">
        <v>0.35</v>
      </c>
      <c r="M9" s="20">
        <v>181.75</v>
      </c>
      <c r="N9" s="21">
        <f t="shared" si="2"/>
        <v>519.285714285714</v>
      </c>
      <c r="O9" s="20">
        <f t="shared" si="3"/>
        <v>12.1602934433746</v>
      </c>
      <c r="P9" s="21">
        <f t="shared" si="4"/>
        <v>8.83521320495186</v>
      </c>
    </row>
    <row r="10" spans="1:16">
      <c r="A10" s="2"/>
      <c r="B10" s="9" t="s">
        <v>18</v>
      </c>
      <c r="C10" s="10" t="s">
        <v>19</v>
      </c>
      <c r="D10" s="11">
        <v>0.03</v>
      </c>
      <c r="E10" s="12">
        <v>51.52</v>
      </c>
      <c r="F10" s="13">
        <f t="shared" si="0"/>
        <v>1717.33333333333</v>
      </c>
      <c r="G10" s="12"/>
      <c r="H10" s="11">
        <v>0.04</v>
      </c>
      <c r="I10" s="12">
        <v>46.47</v>
      </c>
      <c r="J10" s="13">
        <f t="shared" si="1"/>
        <v>1161.75</v>
      </c>
      <c r="K10" s="12"/>
      <c r="L10" s="11">
        <v>0.35</v>
      </c>
      <c r="M10" s="12">
        <v>176.45</v>
      </c>
      <c r="N10" s="13">
        <f t="shared" si="2"/>
        <v>504.142857142857</v>
      </c>
      <c r="O10" s="12">
        <f t="shared" si="3"/>
        <v>3.40644186266175</v>
      </c>
      <c r="P10" s="13">
        <f t="shared" si="4"/>
        <v>2.3044063474072</v>
      </c>
    </row>
    <row r="11" spans="1:16">
      <c r="A11" s="2"/>
      <c r="B11" s="17" t="s">
        <v>20</v>
      </c>
      <c r="C11" s="18" t="s">
        <v>21</v>
      </c>
      <c r="D11" s="19">
        <v>0.03</v>
      </c>
      <c r="E11" s="20">
        <v>67.87</v>
      </c>
      <c r="F11" s="21">
        <f t="shared" si="0"/>
        <v>2262.33333333333</v>
      </c>
      <c r="G11" s="20"/>
      <c r="H11" s="19">
        <v>0.04</v>
      </c>
      <c r="I11" s="20">
        <v>62.06</v>
      </c>
      <c r="J11" s="21">
        <f t="shared" si="1"/>
        <v>1551.5</v>
      </c>
      <c r="K11" s="20"/>
      <c r="L11" s="19">
        <v>0.35</v>
      </c>
      <c r="M11" s="20">
        <v>171.73</v>
      </c>
      <c r="N11" s="21">
        <f t="shared" si="2"/>
        <v>490.657142857143</v>
      </c>
      <c r="O11" s="20">
        <f t="shared" si="3"/>
        <v>4.61082319144393</v>
      </c>
      <c r="P11" s="21">
        <f t="shared" si="4"/>
        <v>3.16208583241134</v>
      </c>
    </row>
    <row r="13" spans="1:16">
      <c r="A13" s="3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4"/>
      <c r="C14" s="5"/>
      <c r="D14" s="6" t="s">
        <v>2</v>
      </c>
      <c r="E14" s="7"/>
      <c r="F14" s="16"/>
      <c r="G14" s="15"/>
      <c r="H14" s="6" t="s">
        <v>3</v>
      </c>
      <c r="I14" s="7"/>
      <c r="J14" s="8"/>
      <c r="K14" s="15"/>
      <c r="L14" s="22" t="s">
        <v>4</v>
      </c>
      <c r="M14" s="7"/>
      <c r="N14" s="8"/>
      <c r="O14" s="7" t="s">
        <v>5</v>
      </c>
      <c r="P14" s="8" t="s">
        <v>6</v>
      </c>
    </row>
    <row r="15" spans="1:16">
      <c r="A15" s="2"/>
      <c r="B15" s="9"/>
      <c r="C15" s="10"/>
      <c r="D15" s="11" t="s">
        <v>7</v>
      </c>
      <c r="E15" s="12" t="s">
        <v>8</v>
      </c>
      <c r="F15" s="13" t="s">
        <v>9</v>
      </c>
      <c r="G15" s="12"/>
      <c r="H15" s="11" t="s">
        <v>7</v>
      </c>
      <c r="I15" s="12" t="s">
        <v>8</v>
      </c>
      <c r="J15" s="13" t="s">
        <v>9</v>
      </c>
      <c r="K15" s="12"/>
      <c r="L15" s="11" t="s">
        <v>7</v>
      </c>
      <c r="M15" s="12" t="s">
        <v>8</v>
      </c>
      <c r="N15" s="13" t="s">
        <v>9</v>
      </c>
      <c r="O15" s="12"/>
      <c r="P15" s="13"/>
    </row>
    <row r="16" spans="1:16">
      <c r="A16" s="2"/>
      <c r="B16" s="4" t="s">
        <v>10</v>
      </c>
      <c r="C16" s="5" t="s">
        <v>11</v>
      </c>
      <c r="D16" s="14">
        <v>0.06</v>
      </c>
      <c r="E16" s="15">
        <v>26.92</v>
      </c>
      <c r="F16" s="16">
        <f t="shared" ref="F16:F21" si="5">(E16/D16)</f>
        <v>448.666666666667</v>
      </c>
      <c r="G16" s="15"/>
      <c r="H16" s="14">
        <v>0.06</v>
      </c>
      <c r="I16" s="15">
        <v>32.45</v>
      </c>
      <c r="J16" s="16">
        <f t="shared" ref="J16:J21" si="6">(I16/H16)</f>
        <v>540.833333333333</v>
      </c>
      <c r="K16" s="15"/>
      <c r="L16" s="14">
        <v>0.06</v>
      </c>
      <c r="M16" s="15">
        <v>135.01</v>
      </c>
      <c r="N16" s="16">
        <f t="shared" ref="N16:N21" si="7">(M16/L16)</f>
        <v>2250.16666666667</v>
      </c>
      <c r="O16" s="15">
        <f t="shared" ref="O16:O21" si="8">(F16/N16)</f>
        <v>0.199392637582401</v>
      </c>
      <c r="P16" s="16">
        <f t="shared" ref="P16:P21" si="9">(J16/N16)</f>
        <v>0.240352566476557</v>
      </c>
    </row>
    <row r="17" spans="1:16">
      <c r="A17" s="2"/>
      <c r="B17" s="17" t="s">
        <v>12</v>
      </c>
      <c r="C17" s="18" t="s">
        <v>13</v>
      </c>
      <c r="D17" s="19">
        <v>0.06</v>
      </c>
      <c r="E17" s="20">
        <v>153.97</v>
      </c>
      <c r="F17" s="21">
        <f t="shared" si="5"/>
        <v>2566.16666666667</v>
      </c>
      <c r="G17" s="20"/>
      <c r="H17" s="19">
        <v>0.06</v>
      </c>
      <c r="I17" s="20">
        <v>152.27</v>
      </c>
      <c r="J17" s="21">
        <f t="shared" si="6"/>
        <v>2537.83333333333</v>
      </c>
      <c r="K17" s="20"/>
      <c r="L17" s="19">
        <v>0.06</v>
      </c>
      <c r="M17" s="20">
        <v>168.23</v>
      </c>
      <c r="N17" s="21">
        <f t="shared" si="7"/>
        <v>2803.83333333333</v>
      </c>
      <c r="O17" s="20">
        <f t="shared" si="8"/>
        <v>0.915235094810676</v>
      </c>
      <c r="P17" s="21">
        <f t="shared" si="9"/>
        <v>0.905129881709564</v>
      </c>
    </row>
    <row r="18" spans="1:16">
      <c r="A18" s="2"/>
      <c r="B18" s="4" t="s">
        <v>14</v>
      </c>
      <c r="C18" s="5" t="s">
        <v>15</v>
      </c>
      <c r="D18" s="14">
        <v>0.06</v>
      </c>
      <c r="E18" s="15">
        <v>29.29</v>
      </c>
      <c r="F18" s="16">
        <f t="shared" si="5"/>
        <v>488.166666666667</v>
      </c>
      <c r="G18" s="15"/>
      <c r="H18" s="14">
        <v>0.06</v>
      </c>
      <c r="I18" s="15">
        <v>33.58</v>
      </c>
      <c r="J18" s="16">
        <f t="shared" si="6"/>
        <v>559.666666666667</v>
      </c>
      <c r="K18" s="15"/>
      <c r="L18" s="14">
        <v>0.06</v>
      </c>
      <c r="M18" s="15">
        <v>162.16</v>
      </c>
      <c r="N18" s="16">
        <f t="shared" si="7"/>
        <v>2702.66666666667</v>
      </c>
      <c r="O18" s="15">
        <f t="shared" si="8"/>
        <v>0.180624074987667</v>
      </c>
      <c r="P18" s="16">
        <f t="shared" si="9"/>
        <v>0.207079427725703</v>
      </c>
    </row>
    <row r="19" spans="1:16">
      <c r="A19" s="2"/>
      <c r="B19" s="17" t="s">
        <v>16</v>
      </c>
      <c r="C19" s="18" t="s">
        <v>17</v>
      </c>
      <c r="D19" s="19">
        <v>0.06</v>
      </c>
      <c r="E19" s="20">
        <v>147.34</v>
      </c>
      <c r="F19" s="21">
        <f t="shared" si="5"/>
        <v>2455.66666666667</v>
      </c>
      <c r="G19" s="20"/>
      <c r="H19" s="19">
        <v>0.06</v>
      </c>
      <c r="I19" s="20">
        <v>153.57</v>
      </c>
      <c r="J19" s="21">
        <f t="shared" si="6"/>
        <v>2559.5</v>
      </c>
      <c r="K19" s="20"/>
      <c r="L19" s="19">
        <v>0.06</v>
      </c>
      <c r="M19" s="20">
        <v>149.49</v>
      </c>
      <c r="N19" s="21">
        <f t="shared" si="7"/>
        <v>2491.5</v>
      </c>
      <c r="O19" s="20">
        <f t="shared" si="8"/>
        <v>0.985617767074721</v>
      </c>
      <c r="P19" s="21">
        <f t="shared" si="9"/>
        <v>1.02729279550472</v>
      </c>
    </row>
    <row r="20" spans="1:16">
      <c r="A20" s="2"/>
      <c r="B20" s="9" t="s">
        <v>18</v>
      </c>
      <c r="C20" s="10" t="s">
        <v>19</v>
      </c>
      <c r="D20" s="11">
        <v>0.06</v>
      </c>
      <c r="E20" s="12">
        <v>23.63</v>
      </c>
      <c r="F20" s="13">
        <f t="shared" si="5"/>
        <v>393.833333333333</v>
      </c>
      <c r="G20" s="12"/>
      <c r="H20" s="11">
        <v>0.06</v>
      </c>
      <c r="I20" s="12">
        <v>25.68</v>
      </c>
      <c r="J20" s="13">
        <f t="shared" si="6"/>
        <v>428</v>
      </c>
      <c r="K20" s="12"/>
      <c r="L20" s="11">
        <v>0.06</v>
      </c>
      <c r="M20" s="12">
        <v>146.55</v>
      </c>
      <c r="N20" s="13">
        <f t="shared" si="7"/>
        <v>2442.5</v>
      </c>
      <c r="O20" s="12">
        <f t="shared" si="8"/>
        <v>0.161241896963494</v>
      </c>
      <c r="P20" s="13">
        <f t="shared" si="9"/>
        <v>0.175230296827021</v>
      </c>
    </row>
    <row r="21" spans="1:16">
      <c r="A21" s="2"/>
      <c r="B21" s="17" t="s">
        <v>20</v>
      </c>
      <c r="C21" s="18" t="s">
        <v>21</v>
      </c>
      <c r="D21" s="19">
        <v>0.06</v>
      </c>
      <c r="E21" s="20">
        <v>45.81</v>
      </c>
      <c r="F21" s="21">
        <f t="shared" si="5"/>
        <v>763.5</v>
      </c>
      <c r="G21" s="20"/>
      <c r="H21" s="19">
        <v>0.06</v>
      </c>
      <c r="I21" s="20">
        <v>52.57</v>
      </c>
      <c r="J21" s="21">
        <f t="shared" si="6"/>
        <v>876.166666666667</v>
      </c>
      <c r="K21" s="20"/>
      <c r="L21" s="19">
        <v>0.06</v>
      </c>
      <c r="M21" s="20">
        <v>153.88</v>
      </c>
      <c r="N21" s="21">
        <f t="shared" si="7"/>
        <v>2564.66666666667</v>
      </c>
      <c r="O21" s="20">
        <f t="shared" si="8"/>
        <v>0.297699506108656</v>
      </c>
      <c r="P21" s="21">
        <f t="shared" si="9"/>
        <v>0.341629841434884</v>
      </c>
    </row>
    <row r="23" spans="1:16">
      <c r="A23" s="3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4"/>
      <c r="C24" s="5"/>
      <c r="D24" s="6" t="s">
        <v>2</v>
      </c>
      <c r="E24" s="7"/>
      <c r="F24" s="8"/>
      <c r="G24" s="5"/>
      <c r="H24" s="6" t="s">
        <v>3</v>
      </c>
      <c r="I24" s="7"/>
      <c r="J24" s="8"/>
      <c r="K24" s="5"/>
      <c r="L24" s="22" t="s">
        <v>4</v>
      </c>
      <c r="M24" s="7"/>
      <c r="N24" s="8"/>
      <c r="O24" s="7" t="s">
        <v>5</v>
      </c>
      <c r="P24" s="8" t="s">
        <v>6</v>
      </c>
    </row>
    <row r="25" spans="1:16">
      <c r="A25" s="2"/>
      <c r="B25" s="9"/>
      <c r="C25" s="10"/>
      <c r="D25" s="11" t="s">
        <v>7</v>
      </c>
      <c r="E25" s="12" t="s">
        <v>8</v>
      </c>
      <c r="F25" s="13" t="s">
        <v>9</v>
      </c>
      <c r="G25" s="12"/>
      <c r="H25" s="11" t="s">
        <v>7</v>
      </c>
      <c r="I25" s="12" t="s">
        <v>8</v>
      </c>
      <c r="J25" s="13" t="s">
        <v>9</v>
      </c>
      <c r="K25" s="12"/>
      <c r="L25" s="11" t="s">
        <v>7</v>
      </c>
      <c r="M25" s="12" t="s">
        <v>8</v>
      </c>
      <c r="N25" s="13" t="s">
        <v>9</v>
      </c>
      <c r="O25" s="12"/>
      <c r="P25" s="13"/>
    </row>
    <row r="26" spans="1:16">
      <c r="A26" s="2"/>
      <c r="B26" s="4" t="s">
        <v>10</v>
      </c>
      <c r="C26" s="5" t="s">
        <v>11</v>
      </c>
      <c r="D26" s="14">
        <v>0.07</v>
      </c>
      <c r="E26" s="15">
        <v>19.08</v>
      </c>
      <c r="F26" s="16">
        <f t="shared" ref="F26:F31" si="10">(E26/D26)</f>
        <v>272.571428571428</v>
      </c>
      <c r="G26" s="15"/>
      <c r="H26" s="14">
        <v>0.05</v>
      </c>
      <c r="I26" s="15">
        <v>32.42</v>
      </c>
      <c r="J26" s="16">
        <f t="shared" ref="J26:J31" si="11">(I26/H26)</f>
        <v>648.4</v>
      </c>
      <c r="K26" s="15"/>
      <c r="L26" s="14">
        <v>0.04</v>
      </c>
      <c r="M26" s="15">
        <v>181.04</v>
      </c>
      <c r="N26" s="16">
        <f t="shared" ref="N26:N31" si="12">(M26/L26)</f>
        <v>4526</v>
      </c>
      <c r="O26" s="15">
        <f t="shared" ref="O26:O31" si="13">(F26/N26)</f>
        <v>0.0602234707404835</v>
      </c>
      <c r="P26" s="16">
        <f t="shared" ref="P26:P31" si="14">(J26/N26)</f>
        <v>0.143261157755192</v>
      </c>
    </row>
    <row r="27" spans="1:16">
      <c r="A27" s="2"/>
      <c r="B27" s="17" t="s">
        <v>12</v>
      </c>
      <c r="C27" s="18" t="s">
        <v>13</v>
      </c>
      <c r="D27" s="19">
        <v>0.07</v>
      </c>
      <c r="E27" s="20">
        <v>87.06</v>
      </c>
      <c r="F27" s="21">
        <f t="shared" si="10"/>
        <v>1243.71428571429</v>
      </c>
      <c r="G27" s="20"/>
      <c r="H27" s="19">
        <v>0.05</v>
      </c>
      <c r="I27" s="20">
        <v>126.59</v>
      </c>
      <c r="J27" s="21">
        <f t="shared" si="11"/>
        <v>2531.8</v>
      </c>
      <c r="K27" s="20"/>
      <c r="L27" s="19">
        <v>0.04</v>
      </c>
      <c r="M27" s="20">
        <v>149.19</v>
      </c>
      <c r="N27" s="21">
        <f t="shared" si="12"/>
        <v>3729.75</v>
      </c>
      <c r="O27" s="20">
        <f t="shared" si="13"/>
        <v>0.333457815058459</v>
      </c>
      <c r="P27" s="21">
        <f t="shared" si="14"/>
        <v>0.678812252831959</v>
      </c>
    </row>
    <row r="28" spans="1:16">
      <c r="A28" s="2"/>
      <c r="B28" s="4" t="s">
        <v>14</v>
      </c>
      <c r="C28" s="5" t="s">
        <v>15</v>
      </c>
      <c r="D28" s="14">
        <v>0.07</v>
      </c>
      <c r="E28" s="15">
        <v>32.63</v>
      </c>
      <c r="F28" s="16">
        <f t="shared" si="10"/>
        <v>466.142857142857</v>
      </c>
      <c r="G28" s="15"/>
      <c r="H28" s="14">
        <v>0.05</v>
      </c>
      <c r="I28" s="15">
        <v>1.05</v>
      </c>
      <c r="J28" s="16">
        <f t="shared" si="11"/>
        <v>21</v>
      </c>
      <c r="K28" s="15"/>
      <c r="L28" s="14">
        <v>0.04</v>
      </c>
      <c r="M28" s="15">
        <v>213.52</v>
      </c>
      <c r="N28" s="16">
        <f t="shared" si="12"/>
        <v>5338</v>
      </c>
      <c r="O28" s="15">
        <f t="shared" si="13"/>
        <v>0.0873253760102767</v>
      </c>
      <c r="P28" s="16">
        <f t="shared" si="14"/>
        <v>0.00393405769951293</v>
      </c>
    </row>
    <row r="29" spans="1:16">
      <c r="A29" s="2"/>
      <c r="B29" s="17" t="s">
        <v>16</v>
      </c>
      <c r="C29" s="18" t="s">
        <v>17</v>
      </c>
      <c r="D29" s="19">
        <v>0.07</v>
      </c>
      <c r="E29" s="20">
        <v>93.76</v>
      </c>
      <c r="F29" s="21">
        <f t="shared" si="10"/>
        <v>1339.42857142857</v>
      </c>
      <c r="G29" s="20"/>
      <c r="H29" s="19">
        <v>0.05</v>
      </c>
      <c r="I29" s="20">
        <v>118.87</v>
      </c>
      <c r="J29" s="21">
        <f t="shared" si="11"/>
        <v>2377.4</v>
      </c>
      <c r="K29" s="20"/>
      <c r="L29" s="19">
        <v>0.04</v>
      </c>
      <c r="M29" s="20">
        <v>214.9</v>
      </c>
      <c r="N29" s="21">
        <f t="shared" si="12"/>
        <v>5372.5</v>
      </c>
      <c r="O29" s="20">
        <f t="shared" si="13"/>
        <v>0.249311972345942</v>
      </c>
      <c r="P29" s="21">
        <f t="shared" si="14"/>
        <v>0.442512796649604</v>
      </c>
    </row>
    <row r="30" spans="1:16">
      <c r="A30" s="2"/>
      <c r="B30" s="9" t="s">
        <v>18</v>
      </c>
      <c r="C30" s="10" t="s">
        <v>19</v>
      </c>
      <c r="D30" s="11">
        <v>0.07</v>
      </c>
      <c r="E30" s="12">
        <v>13.5</v>
      </c>
      <c r="F30" s="13">
        <f t="shared" si="10"/>
        <v>192.857142857143</v>
      </c>
      <c r="G30" s="12"/>
      <c r="H30" s="11">
        <v>0.05</v>
      </c>
      <c r="I30" s="12">
        <v>0.66</v>
      </c>
      <c r="J30" s="13">
        <f t="shared" si="11"/>
        <v>13.2</v>
      </c>
      <c r="K30" s="12"/>
      <c r="L30" s="11">
        <v>0.04</v>
      </c>
      <c r="M30" s="12">
        <v>222.1</v>
      </c>
      <c r="N30" s="13">
        <f t="shared" si="12"/>
        <v>5552.5</v>
      </c>
      <c r="O30" s="12">
        <f t="shared" si="13"/>
        <v>0.0347333890782788</v>
      </c>
      <c r="P30" s="13">
        <f t="shared" si="14"/>
        <v>0.00237730751913552</v>
      </c>
    </row>
    <row r="31" spans="1:16">
      <c r="A31" s="2"/>
      <c r="B31" s="17" t="s">
        <v>20</v>
      </c>
      <c r="C31" s="18" t="s">
        <v>21</v>
      </c>
      <c r="D31" s="19">
        <v>0.07</v>
      </c>
      <c r="E31" s="20">
        <v>56.21</v>
      </c>
      <c r="F31" s="21">
        <f t="shared" si="10"/>
        <v>803</v>
      </c>
      <c r="G31" s="20"/>
      <c r="H31" s="19">
        <v>0.05</v>
      </c>
      <c r="I31" s="20">
        <v>37.47</v>
      </c>
      <c r="J31" s="21">
        <f t="shared" si="11"/>
        <v>749.4</v>
      </c>
      <c r="K31" s="20"/>
      <c r="L31" s="19">
        <v>0.04</v>
      </c>
      <c r="M31" s="20">
        <v>214.39</v>
      </c>
      <c r="N31" s="21">
        <f t="shared" si="12"/>
        <v>5359.75</v>
      </c>
      <c r="O31" s="20">
        <f t="shared" si="13"/>
        <v>0.149820420728579</v>
      </c>
      <c r="P31" s="21">
        <f t="shared" si="14"/>
        <v>0.139819954288913</v>
      </c>
    </row>
  </sheetData>
  <mergeCells count="10">
    <mergeCell ref="A1:B1"/>
    <mergeCell ref="D4:F4"/>
    <mergeCell ref="H4:J4"/>
    <mergeCell ref="L4:N4"/>
    <mergeCell ref="D14:E14"/>
    <mergeCell ref="H14:J14"/>
    <mergeCell ref="L14:N14"/>
    <mergeCell ref="D24:F24"/>
    <mergeCell ref="H24:J24"/>
    <mergeCell ref="L24:N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2024-12-03T12:57:00Z</dcterms:created>
  <dcterms:modified xsi:type="dcterms:W3CDTF">2024-12-26T09:07:45Z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25BDDFF1DC8A4376BA588DFA2F6F4D9A_11</vt:lpwstr>
  </property>
  <property fmtid="{D5CDD505-2E9C-101B-9397-08002B2CF9AE}" pid="3" name="KSOProductBuildVer">
    <vt:lpwstr>2052-12.1.0.19302</vt:lpwstr>
  </property>
</Properties>
</file>