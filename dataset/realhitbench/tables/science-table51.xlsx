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<sst xmlns="http://schemas.openxmlformats.org/spreadsheetml/2006/main" count="15" uniqueCount="9">
  <si>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Number of measurements</t>
  </si>
  <si>
    <t>control</t>
  </si>
  <si>
    <t>before HD</t>
  </si>
  <si>
    <t>after HD</t>
  </si>
  <si>
    <t>base</t>
  </si>
  <si>
    <t>t-BOOH</t>
  </si>
  <si>
    <r>
      <t>+H</t>
    </r>
    <r>
      <rPr>
        <b/>
        <vertAlign val="subscript"/>
        <sz val="10"/>
        <color indexed="8"/>
        <rFont val="Calibri"/>
        <family val="2"/>
        <charset val="238"/>
      </rPr>
      <t>2</t>
    </r>
    <r>
      <rPr>
        <b/>
        <sz val="10"/>
        <color indexed="8"/>
        <rFont val="Calibri"/>
        <family val="2"/>
        <charset val="238"/>
      </rPr>
      <t>O</t>
    </r>
    <r>
      <rPr>
        <b/>
        <vertAlign val="subscript"/>
        <sz val="10"/>
        <color indexed="8"/>
        <rFont val="Calibri"/>
        <family val="2"/>
        <charset val="238"/>
      </rPr>
      <t>2</t>
    </r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</si>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</sst>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family val="2"/>
      <charset val="238"/>
      <scheme val="minor"/>
    </font>
    <font>
      <b/>
      <sz val="12"/>
      <color theme="1"/>
      <name val="宋体"/>
      <family val="2"/>
      <charset val="238"/>
      <scheme val="minor"/>
    </font>
    <font>
      <b/>
      <sz val="10"/>
      <color theme="1"/>
      <name val="宋体"/>
      <family val="2"/>
      <charset val="238"/>
      <scheme val="minor"/>
    </font>
    <font>
      <sz val="12"/>
      <color theme="1"/>
      <name val="宋体"/>
      <family val="2"/>
      <charset val="238"/>
      <scheme val="minor"/>
    </font>
    <font>
      <sz val="10"/>
      <color theme="1"/>
      <name val="宋体"/>
      <family val="2"/>
      <charset val="238"/>
      <scheme val="minor"/>
    </font>
    <font>
      <sz val="11"/>
      <color theme="1"/>
      <name val="宋体"/>
      <family val="2"/>
      <charset val="238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0"/>
      <color indexed="8"/>
      <name val="Calibri"/>
      <family val="2"/>
      <charset val="238"/>
    </font>
    <font>
      <b/>
      <sz val="10"/>
      <color indexed="8"/>
      <name val="Calibri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6" fillId="0" borderId="0" xfId="0" applyFont="1" applyFill="1" applyBorder="1" applyAlignment="1"/>
    <xf numFmtId="2" fontId="6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O11" sqref="O11"/>
    </sheetView>
  </sheetViews>
  <sheetFormatPr defaultColWidth="8.72727272727273" defaultRowHeight="14"/>
  <cols>
    <col min="1" max="1" width="15.9090909090909" customWidth="1"/>
    <col min="2" max="2" width="5.54545454545455" customWidth="1"/>
    <col min="3" max="3" width="6.63636363636364" customWidth="1"/>
    <col min="4" max="5" width="5.54545454545455" customWidth="1"/>
    <col min="6" max="6" width="6.63636363636364" customWidth="1"/>
    <col min="7" max="8" width="5.54545454545455" customWidth="1"/>
    <col min="9" max="9" width="6.63636363636364" customWidth="1"/>
    <col min="10" max="10" width="5.54545454545455" customWidth="1"/>
  </cols>
  <sheetData>
    <row r="1" ht="15" spans="1:10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</row>
    <row r="2" ht="16" spans="1:10">
      <c r="A2" s="1"/>
      <c r="B2" s="2" t="s">
        <v>4</v>
      </c>
      <c r="C2" s="3" t="s">
        <v>5</v>
      </c>
      <c r="D2" s="3" t="s">
        <v>6</v>
      </c>
      <c r="E2" s="2" t="s">
        <v>4</v>
      </c>
      <c r="F2" s="3" t="s">
        <v>5</v>
      </c>
      <c r="G2" s="3" t="s">
        <v>6</v>
      </c>
      <c r="H2" s="2" t="s">
        <v>4</v>
      </c>
      <c r="I2" s="3" t="s">
        <v>5</v>
      </c>
      <c r="J2" s="3" t="s">
        <v>6</v>
      </c>
    </row>
    <row r="3" ht="15" spans="1:10">
      <c r="A3" s="4">
        <v>1</v>
      </c>
      <c r="B3" s="5">
        <v>1.71</v>
      </c>
      <c r="C3" s="5">
        <v>2.25</v>
      </c>
      <c r="D3" s="5">
        <v>1.88</v>
      </c>
      <c r="E3" s="5">
        <v>1.91</v>
      </c>
      <c r="F3" s="5">
        <v>2.18</v>
      </c>
      <c r="G3" s="5">
        <v>1.96</v>
      </c>
      <c r="H3" s="5">
        <v>1.83</v>
      </c>
      <c r="I3" s="5">
        <v>1.93</v>
      </c>
      <c r="J3" s="5">
        <v>1.96</v>
      </c>
    </row>
    <row r="4" ht="15" spans="1:10">
      <c r="A4" s="4">
        <v>2</v>
      </c>
      <c r="B4" s="5">
        <v>1.61</v>
      </c>
      <c r="C4" s="5">
        <v>2.16</v>
      </c>
      <c r="D4" s="5">
        <v>1.81</v>
      </c>
      <c r="E4" s="5">
        <v>1.88</v>
      </c>
      <c r="F4" s="5">
        <v>1.92</v>
      </c>
      <c r="G4" s="5">
        <v>1.79</v>
      </c>
      <c r="H4" s="5">
        <v>1.78</v>
      </c>
      <c r="I4" s="5">
        <v>1.83</v>
      </c>
      <c r="J4" s="5">
        <v>1.77</v>
      </c>
    </row>
    <row r="5" ht="15" spans="1:10">
      <c r="A5" s="4">
        <v>3</v>
      </c>
      <c r="B5" s="5">
        <v>1.59</v>
      </c>
      <c r="C5" s="5">
        <v>2.12</v>
      </c>
      <c r="D5" s="5">
        <v>1.79</v>
      </c>
      <c r="E5" s="5">
        <v>1.84</v>
      </c>
      <c r="F5" s="5">
        <v>1.81</v>
      </c>
      <c r="G5" s="5">
        <v>1.72</v>
      </c>
      <c r="H5" s="5">
        <v>1.74</v>
      </c>
      <c r="I5" s="5">
        <v>1.81</v>
      </c>
      <c r="J5" s="5">
        <v>1.77</v>
      </c>
    </row>
    <row r="6" ht="15" spans="1:10">
      <c r="A6" s="4">
        <v>4</v>
      </c>
      <c r="B6" s="5">
        <v>1.56</v>
      </c>
      <c r="C6" s="5">
        <v>1.89</v>
      </c>
      <c r="D6" s="5">
        <v>1.69</v>
      </c>
      <c r="E6" s="5">
        <v>1.8</v>
      </c>
      <c r="F6" s="5">
        <v>1.8</v>
      </c>
      <c r="G6" s="5">
        <v>1.71</v>
      </c>
      <c r="H6" s="5">
        <v>1.64</v>
      </c>
      <c r="I6" s="5">
        <v>1.81</v>
      </c>
      <c r="J6" s="5">
        <v>1.61</v>
      </c>
    </row>
    <row r="7" ht="15" spans="1:10">
      <c r="A7" s="4">
        <v>5</v>
      </c>
      <c r="B7" s="5">
        <v>1.54</v>
      </c>
      <c r="C7" s="5">
        <v>1.81</v>
      </c>
      <c r="D7" s="5">
        <v>1.8</v>
      </c>
      <c r="E7" s="5">
        <v>1.78</v>
      </c>
      <c r="F7" s="5">
        <v>1.78</v>
      </c>
      <c r="G7" s="5">
        <v>1.7</v>
      </c>
      <c r="H7" s="5">
        <v>1.61</v>
      </c>
      <c r="I7" s="5">
        <v>1.79</v>
      </c>
      <c r="J7" s="5">
        <v>1.61</v>
      </c>
    </row>
    <row r="8" ht="15" spans="1:10">
      <c r="A8" s="4">
        <v>6</v>
      </c>
      <c r="B8" s="5">
        <v>1.53</v>
      </c>
      <c r="C8" s="5">
        <v>2.13</v>
      </c>
      <c r="D8" s="5">
        <v>1.87</v>
      </c>
      <c r="E8" s="5">
        <v>1.73</v>
      </c>
      <c r="F8" s="5">
        <v>1.77</v>
      </c>
      <c r="G8" s="5">
        <v>1.66</v>
      </c>
      <c r="H8" s="5">
        <v>1.61</v>
      </c>
      <c r="I8" s="5">
        <v>1.77</v>
      </c>
      <c r="J8" s="5">
        <v>1.58</v>
      </c>
    </row>
    <row r="9" ht="15" spans="1:10">
      <c r="A9" s="4">
        <v>7</v>
      </c>
      <c r="B9" s="5">
        <v>1.52</v>
      </c>
      <c r="C9" s="5">
        <v>2.14</v>
      </c>
      <c r="D9" s="5">
        <v>1.76</v>
      </c>
      <c r="E9" s="5">
        <v>1.66</v>
      </c>
      <c r="F9" s="5">
        <v>1.77</v>
      </c>
      <c r="G9" s="5">
        <v>1.62</v>
      </c>
      <c r="H9" s="5">
        <v>1.58</v>
      </c>
      <c r="I9" s="5">
        <v>1.75</v>
      </c>
      <c r="J9" s="5">
        <v>1.55</v>
      </c>
    </row>
    <row r="10" ht="15" spans="1:10">
      <c r="A10" s="4">
        <v>8</v>
      </c>
      <c r="B10" s="5">
        <v>1.38</v>
      </c>
      <c r="C10" s="5">
        <v>2.17</v>
      </c>
      <c r="D10" s="5">
        <v>1.79</v>
      </c>
      <c r="E10" s="5">
        <v>1.63</v>
      </c>
      <c r="F10" s="5">
        <v>1.73</v>
      </c>
      <c r="G10" s="5">
        <v>1.62</v>
      </c>
      <c r="H10" s="5">
        <v>1.57</v>
      </c>
      <c r="I10" s="5">
        <v>1.66</v>
      </c>
      <c r="J10" s="5">
        <v>1.52</v>
      </c>
    </row>
    <row r="11" ht="15" spans="1:10">
      <c r="A11" s="4">
        <v>9</v>
      </c>
      <c r="B11" s="5">
        <v>1.64</v>
      </c>
      <c r="C11" s="5">
        <v>2.18</v>
      </c>
      <c r="D11" s="5">
        <v>1.79</v>
      </c>
      <c r="E11" s="5">
        <v>1.59</v>
      </c>
      <c r="F11" s="5">
        <v>1.73</v>
      </c>
      <c r="G11" s="5">
        <v>1.56</v>
      </c>
      <c r="H11" s="5">
        <v>1.37</v>
      </c>
      <c r="I11" s="5">
        <v>1.65</v>
      </c>
      <c r="J11" s="5">
        <v>1.51</v>
      </c>
    </row>
    <row r="12" ht="15" spans="1:10">
      <c r="A12" s="4"/>
      <c r="B12" s="5"/>
      <c r="C12" s="4"/>
      <c r="D12" s="4"/>
      <c r="E12" s="4"/>
      <c r="F12" s="4"/>
      <c r="G12" s="4"/>
      <c r="H12" s="4"/>
      <c r="I12" s="4"/>
      <c r="J12" s="4"/>
    </row>
    <row r="13" spans="1:10">
      <c r="A13" s="6" t="s">
        <v>7</v>
      </c>
      <c r="B13" s="7">
        <f t="shared" ref="B13:J13" si="0">AVERAGE(B3:B12)</f>
        <v>1.56444444444444</v>
      </c>
      <c r="C13" s="7">
        <f t="shared" si="0"/>
        <v>2.09444444444444</v>
      </c>
      <c r="D13" s="7">
        <f t="shared" si="0"/>
        <v>1.79777777777778</v>
      </c>
      <c r="E13" s="7">
        <f t="shared" si="0"/>
        <v>1.75777777777778</v>
      </c>
      <c r="F13" s="7">
        <f t="shared" si="0"/>
        <v>1.83222222222222</v>
      </c>
      <c r="G13" s="7">
        <f t="shared" si="0"/>
        <v>1.70444444444444</v>
      </c>
      <c r="H13" s="7">
        <f t="shared" si="0"/>
        <v>1.63666666666667</v>
      </c>
      <c r="I13" s="7">
        <f t="shared" si="0"/>
        <v>1.77777777777778</v>
      </c>
      <c r="J13" s="7">
        <f t="shared" si="0"/>
        <v>1.65333333333333</v>
      </c>
    </row>
    <row r="14" spans="1:10">
      <c r="A14" s="6" t="s">
        <v>8</v>
      </c>
      <c r="B14" s="7">
        <f t="shared" ref="B14:J14" si="1">STDEV(B3:B12)</f>
        <v>0.0918029290261361</v>
      </c>
      <c r="C14" s="7">
        <f t="shared" si="1"/>
        <v>0.145009578227708</v>
      </c>
      <c r="D14" s="7">
        <f t="shared" si="1"/>
        <v>0.0562978191801818</v>
      </c>
      <c r="E14" s="7">
        <f t="shared" si="1"/>
        <v>0.112891294812507</v>
      </c>
      <c r="F14" s="7">
        <f t="shared" si="1"/>
        <v>0.142107158315281</v>
      </c>
      <c r="G14" s="7">
        <f t="shared" si="1"/>
        <v>0.117272237881682</v>
      </c>
      <c r="H14" s="7">
        <f t="shared" si="1"/>
        <v>0.136381816969859</v>
      </c>
      <c r="I14" s="7">
        <f t="shared" si="1"/>
        <v>0.0859909555967629</v>
      </c>
      <c r="J14" s="7">
        <f t="shared" si="1"/>
        <v>0.149749791318719</v>
      </c>
    </row>
  </sheetData>
  <mergeCells count="4">
    <mergeCell ref="B1:D1"/>
    <mergeCell ref="E1:G1"/>
    <mergeCell ref="H1:J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2025-01-10T12:20:52Z</dcterms:created>
  <dcterms:modified xsi:type="dcterms:W3CDTF">2025-01-10T12:26:25Z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08587945FD874E48AA8CF803DCE3BD68_11</vt:lpwstr>
  </property>
  <property fmtid="{D5CDD505-2E9C-101B-9397-08002B2CF9AE}" pid="3" name="KSOProductBuildVer">
    <vt:lpwstr>2052-12.1.0.19302</vt:lpwstr>
  </property>
</Properties>
</file>