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<sst xmlns="http://schemas.openxmlformats.org/spreadsheetml/2006/main" count="23" uniqueCount="19">
  <si>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Consolidated data</t>
  </si>
  <si>
    <t>MFI fold change</t>
  </si>
  <si>
    <t>Expt1</t>
  </si>
  <si>
    <t>Expt2</t>
  </si>
  <si>
    <t>Expt3</t>
  </si>
  <si>
    <t xml:space="preserve">mean </t>
  </si>
  <si>
    <t>SD</t>
  </si>
  <si>
    <t xml:space="preserve">CD40 stained </t>
  </si>
  <si>
    <t>Set1</t>
  </si>
  <si>
    <t>Uninf</t>
  </si>
  <si>
    <t>DC -SAG</t>
  </si>
  <si>
    <t>Set2</t>
  </si>
  <si>
    <t>DC + SAG</t>
  </si>
  <si>
    <t>Set3</t>
  </si>
  <si>
    <t>AG83 (SbSLD)</t>
  </si>
  <si>
    <t>Set4</t>
  </si>
  <si>
    <t>Set5</t>
  </si>
  <si>
    <t>GE1F8R (SbRLD)</t>
  </si>
  <si>
    <t>Set6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</si>
</sst>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0" fillId="0" borderId="8" xfId="0" applyFill="1" applyBorder="1" applyAlignment="1"/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/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3" fillId="0" borderId="10" xfId="0" applyFont="1" applyFill="1" applyBorder="1" applyAlignment="1">
      <alignment horizontal="center" vertical="center"/>
    </xf>
    <xf numFmtId="0" fontId="0" fillId="0" borderId="3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M7" sqref="M7"/>
    </sheetView>
  </sheetViews>
  <sheetFormatPr defaultColWidth="8.72727272727273" defaultRowHeight="14"/>
  <cols>
    <col min="1" max="1" width="19.2727272727273" customWidth="1"/>
    <col min="3" max="3" width="14.4545454545455" customWidth="1"/>
  </cols>
  <sheetData>
    <row r="1" ht="15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3"/>
      <c r="F2" s="3"/>
      <c r="G2" s="3"/>
      <c r="H2" s="3"/>
      <c r="I2" s="3"/>
    </row>
    <row r="3" spans="1:9">
      <c r="A3" s="4"/>
      <c r="B3" s="5"/>
      <c r="C3" s="5"/>
      <c r="D3" s="5"/>
      <c r="E3" s="6" t="s">
        <v>1</v>
      </c>
      <c r="F3" s="7"/>
      <c r="G3" s="8"/>
      <c r="H3" s="5"/>
      <c r="I3" s="29"/>
    </row>
    <row r="4" spans="1:9">
      <c r="A4" s="9"/>
      <c r="B4" s="10"/>
      <c r="C4" s="10"/>
      <c r="D4" s="10"/>
      <c r="E4" s="11" t="s">
        <v>2</v>
      </c>
      <c r="F4" s="12" t="s">
        <v>3</v>
      </c>
      <c r="G4" s="13" t="s">
        <v>4</v>
      </c>
      <c r="H4" s="12" t="s">
        <v>5</v>
      </c>
      <c r="I4" s="13" t="s">
        <v>6</v>
      </c>
    </row>
    <row r="5" spans="1:9">
      <c r="A5" s="14" t="s">
        <v>7</v>
      </c>
      <c r="B5" s="4" t="s">
        <v>8</v>
      </c>
      <c r="C5" s="15" t="s">
        <v>9</v>
      </c>
      <c r="D5" s="5" t="s">
        <v>10</v>
      </c>
      <c r="E5" s="16">
        <v>1</v>
      </c>
      <c r="F5" s="17">
        <v>1</v>
      </c>
      <c r="G5" s="18">
        <v>1</v>
      </c>
      <c r="H5" s="19">
        <f t="shared" ref="H5:H10" si="0">AVERAGE(E5:G5)</f>
        <v>1</v>
      </c>
      <c r="I5" s="18">
        <f t="shared" ref="I5:I10" si="1">STDEV(E5:G5)</f>
        <v>0</v>
      </c>
    </row>
    <row r="6" spans="1:9">
      <c r="A6" s="20"/>
      <c r="B6" s="21" t="s">
        <v>11</v>
      </c>
      <c r="C6" s="22"/>
      <c r="D6" s="23" t="s">
        <v>12</v>
      </c>
      <c r="E6" s="24">
        <v>6.61087866108787</v>
      </c>
      <c r="F6" s="25">
        <v>4.58882521489971</v>
      </c>
      <c r="G6" s="26">
        <v>5.76737381126554</v>
      </c>
      <c r="H6" s="27">
        <f t="shared" si="0"/>
        <v>5.65569256241771</v>
      </c>
      <c r="I6" s="26">
        <f t="shared" si="1"/>
        <v>1.01564243748404</v>
      </c>
    </row>
    <row r="7" spans="1:9">
      <c r="A7" s="20"/>
      <c r="B7" s="4" t="s">
        <v>13</v>
      </c>
      <c r="C7" s="15" t="s">
        <v>14</v>
      </c>
      <c r="D7" s="5" t="s">
        <v>10</v>
      </c>
      <c r="E7" s="16">
        <v>0.702092050209205</v>
      </c>
      <c r="F7" s="17">
        <v>1.05945558739255</v>
      </c>
      <c r="G7" s="18">
        <v>0.46781272860278</v>
      </c>
      <c r="H7" s="19">
        <f t="shared" si="0"/>
        <v>0.743120122068178</v>
      </c>
      <c r="I7" s="18">
        <f t="shared" si="1"/>
        <v>0.297947638184265</v>
      </c>
    </row>
    <row r="8" spans="1:9">
      <c r="A8" s="20"/>
      <c r="B8" s="21" t="s">
        <v>15</v>
      </c>
      <c r="C8" s="22"/>
      <c r="D8" s="23" t="s">
        <v>12</v>
      </c>
      <c r="E8" s="24">
        <v>6.2234309623431</v>
      </c>
      <c r="F8" s="25">
        <v>5.01934097421203</v>
      </c>
      <c r="G8" s="26">
        <v>5.54389173372348</v>
      </c>
      <c r="H8" s="27">
        <f t="shared" si="0"/>
        <v>5.59555455675954</v>
      </c>
      <c r="I8" s="26">
        <f t="shared" si="1"/>
        <v>0.603705193237901</v>
      </c>
    </row>
    <row r="9" spans="1:9">
      <c r="A9" s="20"/>
      <c r="B9" s="4" t="s">
        <v>16</v>
      </c>
      <c r="C9" s="15" t="s">
        <v>17</v>
      </c>
      <c r="D9" s="5" t="s">
        <v>10</v>
      </c>
      <c r="E9" s="16">
        <v>0.657740585774059</v>
      </c>
      <c r="F9" s="17">
        <v>1.62893982808023</v>
      </c>
      <c r="G9" s="18">
        <v>1.8643013899049</v>
      </c>
      <c r="H9" s="19">
        <f t="shared" si="0"/>
        <v>1.38366060125306</v>
      </c>
      <c r="I9" s="18">
        <f t="shared" si="1"/>
        <v>0.639584762053408</v>
      </c>
    </row>
    <row r="10" spans="1:9">
      <c r="A10" s="28"/>
      <c r="B10" s="21" t="s">
        <v>18</v>
      </c>
      <c r="C10" s="22"/>
      <c r="D10" s="23" t="s">
        <v>12</v>
      </c>
      <c r="E10" s="24">
        <v>1.75564853556485</v>
      </c>
      <c r="F10" s="25">
        <v>1.86604584527221</v>
      </c>
      <c r="G10" s="26">
        <v>2.79882955376737</v>
      </c>
      <c r="H10" s="27">
        <f t="shared" si="0"/>
        <v>2.14017464486814</v>
      </c>
      <c r="I10" s="26">
        <f t="shared" si="1"/>
        <v>0.573076441899719</v>
      </c>
    </row>
  </sheetData>
  <mergeCells count="5">
    <mergeCell ref="E3:G3"/>
    <mergeCell ref="A5:A10"/>
    <mergeCell ref="C5:C6"/>
    <mergeCell ref="C7:C8"/>
    <mergeCell ref="C9:C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2024-12-04T03:01:00Z</dcterms:created>
  <dcterms:modified xsi:type="dcterms:W3CDTF">2024-12-26T09:11:01Z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BF452BC277A64727B29B14CA33E0E2FC_11</vt:lpwstr>
  </property>
  <property fmtid="{D5CDD505-2E9C-101B-9397-08002B2CF9AE}" pid="3" name="KSOProductBuildVer">
    <vt:lpwstr>2052-12.1.0.19302</vt:lpwstr>
  </property>
</Properties>
</file>