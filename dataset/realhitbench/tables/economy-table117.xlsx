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180"/>
  </bookViews>
  <sheets>
    <sheet name="1.1" sheetId="1" r:id="rId1"/>
  </sheets>
  <externalReferences>
    <externalReference r:id="rId2"/>
  </externalReferences>
  <definedNames>
    <definedName name="CapAME">'[1]Dept AMEsum'!#REF!</definedName>
    <definedName name="CapDEL">[1]DELsum!#REF!</definedName>
    <definedName name="CGCapDEL">#REF!</definedName>
    <definedName name="PCCapDEL">#REF!</definedName>
    <definedName name="_xlnm.Print_Area" localSheetId="0">'1.1'!$A$1:$I$56</definedName>
    <definedName name="ResAME">'[1]Dept AMEsum'!#REF!</definedName>
    <definedName name="ResDEL">[1]DELsum!#REF!</definedName>
    <definedName name="rngTable1">#REF!</definedName>
    <definedName name="rngTable2">#REF!</definedName>
    <definedName name="rngTable20">#REF!</definedName>
    <definedName name="rngTable3">#REF!</definedName>
    <definedName name="rngTable4">#REF!</definedName>
    <definedName name="rngTable5">#REF!</definedName>
    <definedName name="rngTable6">#REF!</definedName>
    <definedName name="rngTable7">#REF!</definedName>
    <definedName name="Table" localSheetId="0">'1.1'!#REF!,'1.1'!$B$9:$I$17,'1.1'!$B$20:$I$22,'1.1'!$B$26:$I$26,'1.1'!$B$29:$I$29,'1.1'!$B$31:$I$35,'1.1'!$B$38:$I$40,'1.1'!$B$43:$I$43,'1.1'!$B$44:$I$44,'1.1'!$B$48:$I$50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<sst xmlns="http://schemas.openxmlformats.org/spreadsheetml/2006/main" count="133" uniqueCount="60">
  <si>
    <t>2007-08</t>
  </si>
  <si>
    <t>2008-09</t>
  </si>
  <si>
    <t>2009-10</t>
  </si>
  <si>
    <t>2010-11</t>
  </si>
  <si>
    <t>2011-12</t>
  </si>
  <si>
    <t>2012-13</t>
  </si>
  <si>
    <t>2013-14</t>
  </si>
  <si>
    <t>2014-15</t>
  </si>
  <si>
    <t>outturn</t>
  </si>
  <si>
    <t>plans</t>
  </si>
  <si>
    <t>CURRENT EXPENDITURE</t>
  </si>
  <si>
    <t>Resource DEL</t>
  </si>
  <si>
    <r>
      <rPr>
        <sz val="8"/>
        <rFont val="Humnst777 Lt BT"/>
        <charset val="134"/>
      </rPr>
      <t>Resource DEL excluding depreciation</t>
    </r>
    <r>
      <rPr>
        <vertAlign val="superscript"/>
        <sz val="8"/>
        <rFont val="Humnst777 Lt BT"/>
        <charset val="134"/>
      </rPr>
      <t>(1)</t>
    </r>
  </si>
  <si>
    <r>
      <rPr>
        <sz val="8"/>
        <rFont val="Humnst777 Lt BT"/>
        <charset val="134"/>
      </rPr>
      <t>Depreciation in resource DEL</t>
    </r>
    <r>
      <rPr>
        <vertAlign val="superscript"/>
        <sz val="8"/>
        <rFont val="Humnst777 Lt BT"/>
        <charset val="134"/>
      </rPr>
      <t>(1)</t>
    </r>
  </si>
  <si>
    <t>Total resource DEL</t>
  </si>
  <si>
    <t>Resource departmental AME</t>
  </si>
  <si>
    <t xml:space="preserve"> </t>
  </si>
  <si>
    <t>Social security benefits</t>
  </si>
  <si>
    <r>
      <rPr>
        <sz val="8"/>
        <rFont val="Humnst777 Lt BT"/>
        <charset val="134"/>
      </rPr>
      <t xml:space="preserve">Tax credits </t>
    </r>
    <r>
      <rPr>
        <vertAlign val="superscript"/>
        <sz val="8"/>
        <rFont val="Humnst777 Lt BT"/>
        <charset val="134"/>
      </rPr>
      <t>(2)</t>
    </r>
  </si>
  <si>
    <r>
      <rPr>
        <sz val="8"/>
        <rFont val="Humnst777 Lt BT"/>
        <charset val="134"/>
      </rPr>
      <t xml:space="preserve">Net public service pensions </t>
    </r>
    <r>
      <rPr>
        <vertAlign val="superscript"/>
        <sz val="8"/>
        <rFont val="Humnst777 Lt BT"/>
        <charset val="134"/>
      </rPr>
      <t>(3)</t>
    </r>
  </si>
  <si>
    <t>National lottery</t>
  </si>
  <si>
    <t>BBC domestic services</t>
  </si>
  <si>
    <t>Student loans</t>
  </si>
  <si>
    <t>Non-cash items</t>
  </si>
  <si>
    <t>Financial sector interventions</t>
  </si>
  <si>
    <t>-</t>
  </si>
  <si>
    <t>Other departmental expenditure</t>
  </si>
  <si>
    <t>Total resource departmental AME</t>
  </si>
  <si>
    <t>Resource other AME</t>
  </si>
  <si>
    <t>Net expenditure transfers to the EU</t>
  </si>
  <si>
    <t>Locally financed expenditure</t>
  </si>
  <si>
    <t>Central government gross debt interest</t>
  </si>
  <si>
    <r>
      <rPr>
        <sz val="8"/>
        <rFont val="Humnst777 Lt BT"/>
        <charset val="134"/>
      </rPr>
      <t xml:space="preserve">Accounting adjustments </t>
    </r>
    <r>
      <rPr>
        <vertAlign val="superscript"/>
        <sz val="8"/>
        <rFont val="Humnst777 Lt BT"/>
        <charset val="134"/>
      </rPr>
      <t>(4)</t>
    </r>
  </si>
  <si>
    <t>Total resource other AME</t>
  </si>
  <si>
    <t>Total resource AME</t>
  </si>
  <si>
    <t>Public sector current expenditure</t>
  </si>
  <si>
    <t>CAPITAL EXPENDITURE</t>
  </si>
  <si>
    <t>Capital DEL</t>
  </si>
  <si>
    <t>Total capital DEL</t>
  </si>
  <si>
    <t>Capital departmental AME</t>
  </si>
  <si>
    <t>Total capital departmental AME</t>
  </si>
  <si>
    <t>Capital other AME</t>
  </si>
  <si>
    <t xml:space="preserve">  </t>
  </si>
  <si>
    <t>Public corporations' own-financed capital expenditure</t>
  </si>
  <si>
    <t>Total capital other AME</t>
  </si>
  <si>
    <t>Total capital AME</t>
  </si>
  <si>
    <r>
      <rPr>
        <sz val="8"/>
        <rFont val="Humnst777 BlkCn BT"/>
        <charset val="134"/>
      </rPr>
      <t xml:space="preserve">Public sector gross investment </t>
    </r>
    <r>
      <rPr>
        <vertAlign val="superscript"/>
        <sz val="8"/>
        <rFont val="Humnst777 BlkCn BT"/>
        <charset val="134"/>
      </rPr>
      <t>(5)</t>
    </r>
  </si>
  <si>
    <r>
      <rPr>
        <i/>
        <sz val="8"/>
        <rFont val="Humnst777 Lt BT"/>
        <charset val="134"/>
      </rPr>
      <t>less</t>
    </r>
    <r>
      <rPr>
        <sz val="8"/>
        <rFont val="Humnst777 Lt BT"/>
        <charset val="134"/>
      </rPr>
      <t xml:space="preserve"> public sector depreciation </t>
    </r>
    <r>
      <rPr>
        <vertAlign val="superscript"/>
        <sz val="8"/>
        <rFont val="Humnst777 Lt BT"/>
        <charset val="134"/>
      </rPr>
      <t>(5)</t>
    </r>
  </si>
  <si>
    <r>
      <rPr>
        <sz val="8"/>
        <rFont val="Humnst777 BlkCn BT"/>
        <charset val="134"/>
      </rPr>
      <t xml:space="preserve">Public sector net investment </t>
    </r>
    <r>
      <rPr>
        <vertAlign val="superscript"/>
        <sz val="8"/>
        <rFont val="Humnst777 BlkCn BT"/>
        <charset val="134"/>
      </rPr>
      <t>(5)</t>
    </r>
  </si>
  <si>
    <r>
      <rPr>
        <sz val="8"/>
        <rFont val="Humnst777 BlkCn BT"/>
        <charset val="134"/>
      </rPr>
      <t xml:space="preserve">TOTAL MANAGED EXPENDITURE </t>
    </r>
    <r>
      <rPr>
        <vertAlign val="superscript"/>
        <sz val="8"/>
        <rFont val="Humnst777 BlkCn BT"/>
        <charset val="134"/>
      </rPr>
      <t>(5)</t>
    </r>
  </si>
  <si>
    <t>of which:</t>
  </si>
  <si>
    <r>
      <rPr>
        <sz val="8"/>
        <rFont val="Humnst777 Lt BT"/>
        <charset val="134"/>
      </rPr>
      <t xml:space="preserve">Total DEL </t>
    </r>
    <r>
      <rPr>
        <vertAlign val="superscript"/>
        <sz val="8"/>
        <rFont val="Humnst777 Lt BT"/>
        <charset val="134"/>
      </rPr>
      <t>(6)</t>
    </r>
  </si>
  <si>
    <t>Departmental AME</t>
  </si>
  <si>
    <t>Other AME</t>
  </si>
  <si>
    <t>(1) As part of the Spending Review 2010 DEL was presented less depreciation. This is continued in this table to allow comparison</t>
  </si>
  <si>
    <t>(2) Tax credits include working tax credits, stakeholder pension credits and Child Tax Credits. Child allowances paid as part of Income Support and Jobseekers' Allowance are shown within social security benefits. Tax credits include elements that are treated as negative tax in National Accounts, see Box 1.A.</t>
  </si>
  <si>
    <t>(3) The main pension schemes are reported under FRS17 accounting requirements, the reconciliation to National Accounts is explained in Annex D. In the 2010 Budget Statement it was announced that the Government would use the CPI rather than the RPI for the indexation of public service pensions. This change has been recognised as a negative past service c ost in 2010-11 in accordance with IAS19.</t>
  </si>
  <si>
    <t>(4) Transactions from 2008-09 onwards have been affected by financial sector interventions, see Box 2.A in Chapter 2.</t>
  </si>
  <si>
    <t>(5) This excludes the temporary effects of banks being classified to the public sector. See Box 2.A in Chapter 2.</t>
  </si>
  <si>
    <t>(6) Total DEL is given by resource DEL excluding depreciation plus capital DEL</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</si>
</sst>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36">
    <font>
      <sz val="8"/>
      <name val="Arial"/>
      <charset val="134"/>
    </font>
    <font>
      <sz val="8"/>
      <name val="Humnst777 BlkCn BT"/>
      <charset val="134"/>
    </font>
    <font>
      <sz val="8"/>
      <name val="Humnst777 Lt BT"/>
      <charset val="134"/>
    </font>
    <font>
      <sz val="8"/>
      <color indexed="30"/>
      <name val="Humnst777 BlkCn BT"/>
      <charset val="134"/>
    </font>
    <font>
      <sz val="8"/>
      <color indexed="12"/>
      <name val="Humnst777 BlkCn BT"/>
      <charset val="134"/>
    </font>
    <font>
      <i/>
      <sz val="8"/>
      <color indexed="30"/>
      <name val="Humnst777 Lt BT"/>
      <charset val="134"/>
    </font>
    <font>
      <sz val="8"/>
      <color indexed="12"/>
      <name val="Humnst777 Lt BT"/>
      <charset val="134"/>
    </font>
    <font>
      <i/>
      <sz val="8"/>
      <color indexed="12"/>
      <name val="Humnst777 Lt BT"/>
      <charset val="134"/>
    </font>
    <font>
      <i/>
      <sz val="8"/>
      <name val="Humnst777 Lt BT"/>
      <charset val="134"/>
    </font>
    <font>
      <b/>
      <sz val="12"/>
      <name val="Humnst777 Lt BT"/>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8"/>
      <name val="Arial"/>
      <charset val="134"/>
    </font>
    <font>
      <sz val="10"/>
      <name val="Arial"/>
      <charset val="134"/>
    </font>
    <font>
      <b/>
      <sz val="8"/>
      <color indexed="12"/>
      <name val="Arial"/>
      <charset val="134"/>
    </font>
    <font>
      <i/>
      <sz val="8"/>
      <color indexed="12"/>
      <name val="Arial"/>
      <charset val="134"/>
    </font>
    <font>
      <vertAlign val="superscript"/>
      <sz val="8"/>
      <name val="Humnst777 Lt BT"/>
      <charset val="134"/>
    </font>
    <font>
      <vertAlign val="superscript"/>
      <sz val="8"/>
      <name val="Humnst777 BlkCn BT"/>
      <charset val="134"/>
    </font>
  </fonts>
  <fills count="36">
    <fill>
      <patternFill patternType="none"/>
    </fill>
    <fill>
      <patternFill patternType="gray125"/>
    </fill>
    <fill>
      <patternFill patternType="solid">
        <fgColor indexed="31"/>
        <bgColor indexed="64"/>
      </patternFill>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24"/>
        <bgColor indexed="64"/>
      </patternFill>
    </fill>
  </fills>
  <borders count="15">
    <border>
      <left/>
      <right/>
      <top/>
      <bottom/>
      <diagonal/>
    </border>
    <border>
      <left/>
      <right/>
      <top/>
      <bottom style="thin">
        <color indexed="30"/>
      </bottom>
      <diagonal/>
    </border>
    <border>
      <left/>
      <right/>
      <top style="thin">
        <color indexed="30"/>
      </top>
      <bottom style="thin">
        <color indexed="30"/>
      </bottom>
      <diagonal/>
    </border>
    <border>
      <left/>
      <right/>
      <top style="thin">
        <color indexed="30"/>
      </top>
      <bottom style="medium">
        <color indexed="30"/>
      </bottom>
      <diagonal/>
    </border>
    <border>
      <left/>
      <right/>
      <top style="thin">
        <color indexed="30"/>
      </top>
      <bottom/>
      <diagonal/>
    </border>
    <border>
      <left/>
      <right/>
      <top/>
      <bottom style="medium">
        <color indexed="3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thin">
        <color indexed="12"/>
      </bottom>
      <diagonal/>
    </border>
  </borders>
  <cellStyleXfs count="57">
    <xf numFmtId="0" fontId="0" fillId="0" borderId="0"/>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4" borderId="6"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7" applyNumberFormat="0" applyFill="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8" fillId="0" borderId="0" applyNumberFormat="0" applyFill="0" applyBorder="0" applyAlignment="0" applyProtection="0">
      <alignment vertical="center"/>
    </xf>
    <xf numFmtId="0" fontId="19" fillId="5" borderId="9" applyNumberFormat="0" applyAlignment="0" applyProtection="0">
      <alignment vertical="center"/>
    </xf>
    <xf numFmtId="0" fontId="20" fillId="6" borderId="10" applyNumberFormat="0" applyAlignment="0" applyProtection="0">
      <alignment vertical="center"/>
    </xf>
    <xf numFmtId="0" fontId="21" fillId="6" borderId="9" applyNumberFormat="0" applyAlignment="0" applyProtection="0">
      <alignment vertical="center"/>
    </xf>
    <xf numFmtId="0" fontId="22" fillId="7" borderId="11" applyNumberFormat="0" applyAlignment="0" applyProtection="0">
      <alignment vertical="center"/>
    </xf>
    <xf numFmtId="0" fontId="23" fillId="0" borderId="12" applyNumberFormat="0" applyFill="0" applyAlignment="0" applyProtection="0">
      <alignment vertical="center"/>
    </xf>
    <xf numFmtId="0" fontId="24" fillId="0" borderId="13" applyNumberFormat="0" applyFill="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29"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28" fillId="34" borderId="0" applyNumberFormat="0" applyBorder="0" applyAlignment="0" applyProtection="0">
      <alignment vertical="center"/>
    </xf>
    <xf numFmtId="0" fontId="30" fillId="35" borderId="0">
      <alignment horizontal="right" vertical="top" wrapText="1"/>
    </xf>
    <xf numFmtId="0" fontId="31" fillId="0" borderId="0"/>
    <xf numFmtId="0" fontId="32" fillId="0" borderId="0"/>
    <xf numFmtId="176" fontId="0" fillId="0" borderId="0">
      <alignment wrapText="1"/>
      <protection locked="0"/>
    </xf>
    <xf numFmtId="0" fontId="33" fillId="0" borderId="0"/>
    <xf numFmtId="0" fontId="32" fillId="0" borderId="14">
      <alignment horizontal="right"/>
    </xf>
    <xf numFmtId="0" fontId="0" fillId="0" borderId="0"/>
    <xf numFmtId="0" fontId="0" fillId="0" borderId="0"/>
  </cellStyleXfs>
  <cellXfs count="47">
    <xf numFmtId="0" fontId="0" fillId="0" borderId="0" xfId="0"/>
    <xf numFmtId="0" fontId="1" fillId="0" borderId="0" xfId="49" applyFont="1" applyFill="1" applyProtection="1">
      <alignment horizontal="right" vertical="top" wrapText="1"/>
      <protection locked="0"/>
    </xf>
    <xf numFmtId="0" fontId="1" fillId="0" borderId="0" xfId="0" applyFont="1" applyFill="1" applyBorder="1"/>
    <xf numFmtId="0" fontId="2" fillId="0" borderId="0" xfId="0" applyFont="1" applyFill="1"/>
    <xf numFmtId="0" fontId="1" fillId="0" borderId="0" xfId="49" applyFont="1" applyFill="1" applyBorder="1" applyAlignment="1" applyProtection="1">
      <alignment horizontal="left" vertical="top" wrapText="1"/>
      <protection locked="0"/>
    </xf>
    <xf numFmtId="0" fontId="2" fillId="0" borderId="0" xfId="0" applyFont="1" applyFill="1" applyBorder="1"/>
    <xf numFmtId="3" fontId="1" fillId="2" borderId="0" xfId="50" applyNumberFormat="1" applyFont="1" applyFill="1" applyBorder="1" applyAlignment="1">
      <alignment horizontal="left" vertical="center"/>
    </xf>
    <xf numFmtId="3" fontId="1" fillId="2" borderId="0" xfId="50" applyNumberFormat="1" applyFont="1" applyFill="1" applyBorder="1" applyAlignment="1">
      <alignment horizontal="right" vertical="center"/>
    </xf>
    <xf numFmtId="0" fontId="1" fillId="2" borderId="0" xfId="49" applyFont="1" applyFill="1" applyBorder="1" applyProtection="1">
      <alignment horizontal="right" vertical="top" wrapText="1"/>
      <protection locked="0"/>
    </xf>
    <xf numFmtId="0" fontId="3" fillId="0" borderId="0" xfId="51" applyFont="1" applyFill="1" applyBorder="1" applyProtection="1">
      <protection locked="0"/>
    </xf>
    <xf numFmtId="0" fontId="4" fillId="0" borderId="0" xfId="51" applyFont="1" applyFill="1" applyBorder="1" applyProtection="1">
      <protection locked="0"/>
    </xf>
    <xf numFmtId="0" fontId="5" fillId="0" borderId="0" xfId="51" applyFont="1" applyFill="1" applyBorder="1" applyAlignment="1" applyProtection="1">
      <protection locked="0"/>
    </xf>
    <xf numFmtId="0" fontId="6" fillId="0" borderId="0" xfId="51" applyFont="1" applyFill="1" applyBorder="1" applyAlignment="1" applyProtection="1">
      <alignment horizontal="right"/>
      <protection locked="0"/>
    </xf>
    <xf numFmtId="3" fontId="6" fillId="0" borderId="0" xfId="51" applyNumberFormat="1" applyFont="1" applyFill="1" applyBorder="1" applyAlignment="1" applyProtection="1">
      <alignment horizontal="right"/>
      <protection locked="0"/>
    </xf>
    <xf numFmtId="0" fontId="2" fillId="0" borderId="0" xfId="55" applyFont="1" applyFill="1" applyBorder="1" applyAlignment="1">
      <alignment horizontal="left"/>
    </xf>
    <xf numFmtId="3" fontId="2" fillId="0" borderId="0" xfId="52" applyNumberFormat="1" applyFont="1" applyFill="1" applyBorder="1" applyAlignment="1" applyProtection="1">
      <alignment horizontal="right" wrapText="1"/>
      <protection locked="0"/>
    </xf>
    <xf numFmtId="0" fontId="1" fillId="2" borderId="0" xfId="49" applyFont="1" applyFill="1" applyBorder="1" applyAlignment="1" applyProtection="1">
      <alignment horizontal="left" vertical="top" wrapText="1"/>
      <protection locked="0"/>
    </xf>
    <xf numFmtId="3" fontId="1" fillId="2" borderId="0" xfId="49" applyNumberFormat="1" applyFont="1" applyFill="1" applyBorder="1" applyAlignment="1" applyProtection="1">
      <alignment horizontal="right" vertical="top" wrapText="1"/>
      <protection locked="0"/>
    </xf>
    <xf numFmtId="3" fontId="6" fillId="0" borderId="0" xfId="51" applyNumberFormat="1" applyFont="1" applyFill="1" applyBorder="1" applyProtection="1">
      <protection locked="0"/>
    </xf>
    <xf numFmtId="3" fontId="2" fillId="0" borderId="0" xfId="52" applyNumberFormat="1" applyFont="1" applyFill="1" applyBorder="1" applyProtection="1">
      <alignment wrapText="1"/>
      <protection locked="0"/>
    </xf>
    <xf numFmtId="0" fontId="2" fillId="0" borderId="0" xfId="55" applyFont="1" applyFill="1" applyBorder="1" applyAlignment="1">
      <alignment wrapText="1"/>
    </xf>
    <xf numFmtId="3" fontId="7" fillId="0" borderId="0" xfId="53" applyNumberFormat="1" applyFont="1" applyFill="1" applyBorder="1" applyAlignment="1" applyProtection="1">
      <alignment horizontal="right"/>
      <protection locked="0"/>
    </xf>
    <xf numFmtId="3" fontId="7" fillId="0" borderId="0" xfId="53" applyNumberFormat="1" applyFont="1" applyFill="1" applyBorder="1" applyProtection="1">
      <protection locked="0"/>
    </xf>
    <xf numFmtId="0" fontId="2" fillId="0" borderId="0" xfId="55" applyFont="1" applyFill="1" applyBorder="1" applyAlignment="1">
      <alignment horizontal="left" wrapText="1"/>
    </xf>
    <xf numFmtId="0" fontId="1" fillId="2" borderId="1" xfId="49" applyFont="1" applyFill="1" applyBorder="1" applyAlignment="1" applyProtection="1">
      <alignment horizontal="left" vertical="top" wrapText="1"/>
      <protection locked="0"/>
    </xf>
    <xf numFmtId="3" fontId="1" fillId="2" borderId="1" xfId="49" applyNumberFormat="1" applyFont="1" applyFill="1" applyBorder="1" applyAlignment="1" applyProtection="1">
      <alignment horizontal="right" vertical="top" wrapText="1"/>
      <protection locked="0"/>
    </xf>
    <xf numFmtId="0" fontId="1" fillId="2" borderId="2" xfId="49" applyFont="1" applyFill="1" applyBorder="1" applyAlignment="1" applyProtection="1">
      <alignment horizontal="left" vertical="top" wrapText="1"/>
      <protection locked="0"/>
    </xf>
    <xf numFmtId="3" fontId="1" fillId="2" borderId="2" xfId="49" applyNumberFormat="1" applyFont="1" applyFill="1" applyBorder="1" applyAlignment="1" applyProtection="1">
      <alignment horizontal="right" vertical="top" wrapText="1"/>
      <protection locked="0"/>
    </xf>
    <xf numFmtId="0" fontId="1" fillId="2" borderId="3" xfId="49" applyFont="1" applyFill="1" applyBorder="1" applyAlignment="1" applyProtection="1">
      <alignment horizontal="left" vertical="top" wrapText="1"/>
      <protection locked="0"/>
    </xf>
    <xf numFmtId="3" fontId="1" fillId="2" borderId="3" xfId="49" applyNumberFormat="1" applyFont="1" applyFill="1" applyBorder="1" applyAlignment="1" applyProtection="1">
      <alignment horizontal="right" vertical="top" wrapText="1"/>
      <protection locked="0"/>
    </xf>
    <xf numFmtId="3" fontId="4" fillId="0" borderId="0" xfId="51" applyNumberFormat="1" applyFont="1" applyFill="1" applyBorder="1" applyAlignment="1" applyProtection="1">
      <alignment horizontal="right"/>
      <protection locked="0"/>
    </xf>
    <xf numFmtId="3" fontId="4" fillId="0" borderId="0" xfId="51" applyNumberFormat="1" applyFont="1" applyFill="1" applyBorder="1" applyProtection="1">
      <protection locked="0"/>
    </xf>
    <xf numFmtId="3" fontId="1" fillId="2" borderId="0" xfId="49" applyNumberFormat="1" applyFont="1" applyFill="1" applyBorder="1" applyAlignment="1" applyProtection="1">
      <alignment horizontal="left" vertical="top" wrapText="1"/>
      <protection locked="0"/>
    </xf>
    <xf numFmtId="0" fontId="2" fillId="0" borderId="0" xfId="55" applyFont="1" applyFill="1" applyBorder="1" applyAlignment="1"/>
    <xf numFmtId="0" fontId="8" fillId="0" borderId="0" xfId="55" applyFont="1" applyFill="1" applyBorder="1" applyAlignment="1">
      <alignment horizontal="left" indent="1"/>
    </xf>
    <xf numFmtId="0" fontId="1" fillId="2" borderId="4" xfId="49" applyFont="1" applyFill="1" applyBorder="1" applyAlignment="1" applyProtection="1">
      <alignment vertical="top" wrapText="1"/>
      <protection locked="0"/>
    </xf>
    <xf numFmtId="3" fontId="1" fillId="2" borderId="4" xfId="49" applyNumberFormat="1" applyFont="1" applyFill="1" applyBorder="1" applyAlignment="1" applyProtection="1">
      <alignment horizontal="right" vertical="top" wrapText="1"/>
      <protection locked="0"/>
    </xf>
    <xf numFmtId="0" fontId="8" fillId="0" borderId="0" xfId="55" applyFont="1" applyFill="1" applyBorder="1" applyAlignment="1">
      <alignment horizontal="left"/>
    </xf>
    <xf numFmtId="0" fontId="2" fillId="0" borderId="0" xfId="55" applyFont="1" applyFill="1" applyBorder="1" applyAlignment="1">
      <alignment horizontal="left" indent="1"/>
    </xf>
    <xf numFmtId="0" fontId="2" fillId="0" borderId="5" xfId="55" applyFont="1" applyFill="1" applyBorder="1" applyAlignment="1">
      <alignment horizontal="left" indent="1"/>
    </xf>
    <xf numFmtId="3" fontId="2" fillId="0" borderId="5" xfId="52" applyNumberFormat="1" applyFont="1" applyFill="1" applyBorder="1" applyAlignment="1" applyProtection="1">
      <alignment horizontal="right" wrapText="1"/>
      <protection locked="0"/>
    </xf>
    <xf numFmtId="0" fontId="2" fillId="0" borderId="0" xfId="0" applyFont="1" applyFill="1" applyBorder="1" applyAlignment="1">
      <alignment horizontal="left"/>
    </xf>
    <xf numFmtId="3" fontId="2" fillId="3" borderId="0" xfId="56" applyNumberFormat="1" applyFont="1" applyFill="1" applyBorder="1" applyAlignment="1" applyProtection="1">
      <alignment horizontal="left" vertical="top" wrapText="1"/>
      <protection locked="0"/>
    </xf>
    <xf numFmtId="3" fontId="2" fillId="3" borderId="0" xfId="56" applyNumberFormat="1" applyFont="1" applyFill="1" applyAlignment="1" applyProtection="1">
      <alignment horizontal="left" vertical="top" wrapText="1"/>
      <protection locked="0"/>
    </xf>
    <xf numFmtId="0" fontId="2" fillId="0" borderId="0" xfId="0" applyFont="1" applyFill="1" applyAlignment="1">
      <alignment horizontal="left"/>
    </xf>
    <xf numFmtId="3" fontId="9" fillId="0" borderId="0" xfId="0" applyNumberFormat="1" applyFont="1" applyFill="1" applyBorder="1"/>
    <xf numFmtId="3" fontId="2" fillId="0" borderId="0" xfId="0" applyNumberFormat="1" applyFont="1" applyFill="1" applyBorder="1"/>
    <xf numFmtId="0" fontId="2" fillId="0" borderId="0" xfId="0" applyFont="1" applyFill="1" applyBorder="1" applyAlignment="1" quotePrefix="1">
      <alignment horizontal="left"/>
    </xf>
    <xf numFmtId="0" fontId="2" fillId="0" borderId="0" xfId="0" applyFont="1" applyFill="1" applyAlignment="1" quotePrefix="1">
      <alignment horizontal="left"/>
    </xf>
  </cellXfs>
  <cellStyles count="5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Table Header" xfId="49"/>
    <cellStyle name="Normal_PESA 2008 Chapter 9 Tables (Web)" xfId="50"/>
    <cellStyle name="Table Heading 1" xfId="51"/>
    <cellStyle name="Table Row Millions" xfId="52"/>
    <cellStyle name="Table Heading 2" xfId="53"/>
    <cellStyle name="Table Units" xfId="54"/>
    <cellStyle name="Normal_Sheet1" xfId="55"/>
    <cellStyle name="Normal_Final 1.1 Feb 23" xfId="56"/>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eyijing\Downloads\tsclient\P\PESA\Publications\PESA08\Copy%20of%20PEF%20FSBR08.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ta"/>
      <sheetName val="Classification"/>
      <sheetName val="Dept AMEsum"/>
      <sheetName val="DELsum"/>
      <sheetName val="PC DELsum"/>
      <sheetName val="Oth COINS data"/>
      <sheetName val="ONS NAA data"/>
      <sheetName val="Adjusts in DEL"/>
      <sheetName val="DEL_PSATforecast"/>
      <sheetName val="Ftabs input"/>
      <sheetName val="PBR Ftabs input"/>
      <sheetName val="Ftabs diff"/>
      <sheetName val="Calculations"/>
      <sheetName val="Actual PSCE, PSNI"/>
      <sheetName val="TME"/>
      <sheetName val="Oth cur ac adj in AME"/>
      <sheetName val="Oth cap ac adj in AME"/>
      <sheetName val="PESA TME table"/>
      <sheetName val="NA Query"/>
      <sheetName val="New DEL Query"/>
      <sheetName val="PSAT2"/>
      <sheetName val="PBR PSAT2"/>
      <sheetName val="Diff PSAT2"/>
      <sheetName val="LA curr, old"/>
      <sheetName val="LA curr, PBR"/>
      <sheetName val="LA curr, FSBR"/>
      <sheetName val="LA cap, old"/>
      <sheetName val="LA cap, new"/>
      <sheetName val="Mod Query"/>
      <sheetName val="Mod input"/>
      <sheetName val="Upload"/>
      <sheetName val="ANTdl"/>
      <sheetName val="Model BEFORE input"/>
      <sheetName val=" Model AFTER input"/>
      <sheetName val="Input-Model AFTER input"/>
      <sheetName val="AA Query"/>
      <sheetName val="New AA table"/>
      <sheetName val="EC co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pageSetUpPr autoPageBreaks="0"/>
  </sheetPr>
  <dimension ref="A1:HP70"/>
  <sheetViews>
    <sheetView showGridLines="0" tabSelected="1" zoomScale="134" zoomScaleNormal="134" workbookViewId="0">
      <selection activeCell="A1" sqref="A1:C13"/>
    </sheetView>
  </sheetViews>
  <sheetFormatPr defaultColWidth="9" defaultRowHeight="10.2"/>
  <cols>
    <col min="1" max="1" width="45.3333333333333" style="3" customWidth="1"/>
    <col min="2" max="9" width="10.8333333333333" style="3" customWidth="1"/>
    <col min="10" max="239" width="9.33333333333333" style="5"/>
    <col min="240" max="240" width="45.3333333333333" style="5" customWidth="1"/>
    <col min="241" max="248" width="11.1547619047619" style="5" customWidth="1"/>
    <col min="249" max="254" width="9.33333333333333" style="5"/>
    <col min="255" max="257" width="11.1547619047619" style="5" customWidth="1"/>
    <col min="258" max="495" width="9.33333333333333" style="5"/>
    <col min="496" max="496" width="45.3333333333333" style="5" customWidth="1"/>
    <col min="497" max="504" width="11.1547619047619" style="5" customWidth="1"/>
    <col min="505" max="510" width="9.33333333333333" style="5"/>
    <col min="511" max="513" width="11.1547619047619" style="5" customWidth="1"/>
    <col min="514" max="751" width="9.33333333333333" style="5"/>
    <col min="752" max="752" width="45.3333333333333" style="5" customWidth="1"/>
    <col min="753" max="760" width="11.1547619047619" style="5" customWidth="1"/>
    <col min="761" max="766" width="9.33333333333333" style="5"/>
    <col min="767" max="769" width="11.1547619047619" style="5" customWidth="1"/>
    <col min="770" max="1007" width="9.33333333333333" style="5"/>
    <col min="1008" max="1008" width="45.3333333333333" style="5" customWidth="1"/>
    <col min="1009" max="1016" width="11.1547619047619" style="5" customWidth="1"/>
    <col min="1017" max="1022" width="9.33333333333333" style="5"/>
    <col min="1023" max="1025" width="11.1547619047619" style="5" customWidth="1"/>
    <col min="1026" max="1263" width="9.33333333333333" style="5"/>
    <col min="1264" max="1264" width="45.3333333333333" style="5" customWidth="1"/>
    <col min="1265" max="1272" width="11.1547619047619" style="5" customWidth="1"/>
    <col min="1273" max="1278" width="9.33333333333333" style="5"/>
    <col min="1279" max="1281" width="11.1547619047619" style="5" customWidth="1"/>
    <col min="1282" max="1519" width="9.33333333333333" style="5"/>
    <col min="1520" max="1520" width="45.3333333333333" style="5" customWidth="1"/>
    <col min="1521" max="1528" width="11.1547619047619" style="5" customWidth="1"/>
    <col min="1529" max="1534" width="9.33333333333333" style="5"/>
    <col min="1535" max="1537" width="11.1547619047619" style="5" customWidth="1"/>
    <col min="1538" max="1775" width="9.33333333333333" style="5"/>
    <col min="1776" max="1776" width="45.3333333333333" style="5" customWidth="1"/>
    <col min="1777" max="1784" width="11.1547619047619" style="5" customWidth="1"/>
    <col min="1785" max="1790" width="9.33333333333333" style="5"/>
    <col min="1791" max="1793" width="11.1547619047619" style="5" customWidth="1"/>
    <col min="1794" max="2031" width="9.33333333333333" style="5"/>
    <col min="2032" max="2032" width="45.3333333333333" style="5" customWidth="1"/>
    <col min="2033" max="2040" width="11.1547619047619" style="5" customWidth="1"/>
    <col min="2041" max="2046" width="9.33333333333333" style="5"/>
    <col min="2047" max="2049" width="11.1547619047619" style="5" customWidth="1"/>
    <col min="2050" max="2287" width="9.33333333333333" style="5"/>
    <col min="2288" max="2288" width="45.3333333333333" style="5" customWidth="1"/>
    <col min="2289" max="2296" width="11.1547619047619" style="5" customWidth="1"/>
    <col min="2297" max="2302" width="9.33333333333333" style="5"/>
    <col min="2303" max="2305" width="11.1547619047619" style="5" customWidth="1"/>
    <col min="2306" max="2543" width="9.33333333333333" style="5"/>
    <col min="2544" max="2544" width="45.3333333333333" style="5" customWidth="1"/>
    <col min="2545" max="2552" width="11.1547619047619" style="5" customWidth="1"/>
    <col min="2553" max="2558" width="9.33333333333333" style="5"/>
    <col min="2559" max="2561" width="11.1547619047619" style="5" customWidth="1"/>
    <col min="2562" max="2799" width="9.33333333333333" style="5"/>
    <col min="2800" max="2800" width="45.3333333333333" style="5" customWidth="1"/>
    <col min="2801" max="2808" width="11.1547619047619" style="5" customWidth="1"/>
    <col min="2809" max="2814" width="9.33333333333333" style="5"/>
    <col min="2815" max="2817" width="11.1547619047619" style="5" customWidth="1"/>
    <col min="2818" max="3055" width="9.33333333333333" style="5"/>
    <col min="3056" max="3056" width="45.3333333333333" style="5" customWidth="1"/>
    <col min="3057" max="3064" width="11.1547619047619" style="5" customWidth="1"/>
    <col min="3065" max="3070" width="9.33333333333333" style="5"/>
    <col min="3071" max="3073" width="11.1547619047619" style="5" customWidth="1"/>
    <col min="3074" max="3311" width="9.33333333333333" style="5"/>
    <col min="3312" max="3312" width="45.3333333333333" style="5" customWidth="1"/>
    <col min="3313" max="3320" width="11.1547619047619" style="5" customWidth="1"/>
    <col min="3321" max="3326" width="9.33333333333333" style="5"/>
    <col min="3327" max="3329" width="11.1547619047619" style="5" customWidth="1"/>
    <col min="3330" max="3567" width="9.33333333333333" style="5"/>
    <col min="3568" max="3568" width="45.3333333333333" style="5" customWidth="1"/>
    <col min="3569" max="3576" width="11.1547619047619" style="5" customWidth="1"/>
    <col min="3577" max="3582" width="9.33333333333333" style="5"/>
    <col min="3583" max="3585" width="11.1547619047619" style="5" customWidth="1"/>
    <col min="3586" max="3823" width="9.33333333333333" style="5"/>
    <col min="3824" max="3824" width="45.3333333333333" style="5" customWidth="1"/>
    <col min="3825" max="3832" width="11.1547619047619" style="5" customWidth="1"/>
    <col min="3833" max="3838" width="9.33333333333333" style="5"/>
    <col min="3839" max="3841" width="11.1547619047619" style="5" customWidth="1"/>
    <col min="3842" max="4079" width="9.33333333333333" style="5"/>
    <col min="4080" max="4080" width="45.3333333333333" style="5" customWidth="1"/>
    <col min="4081" max="4088" width="11.1547619047619" style="5" customWidth="1"/>
    <col min="4089" max="4094" width="9.33333333333333" style="5"/>
    <col min="4095" max="4097" width="11.1547619047619" style="5" customWidth="1"/>
    <col min="4098" max="4335" width="9.33333333333333" style="5"/>
    <col min="4336" max="4336" width="45.3333333333333" style="5" customWidth="1"/>
    <col min="4337" max="4344" width="11.1547619047619" style="5" customWidth="1"/>
    <col min="4345" max="4350" width="9.33333333333333" style="5"/>
    <col min="4351" max="4353" width="11.1547619047619" style="5" customWidth="1"/>
    <col min="4354" max="4591" width="9.33333333333333" style="5"/>
    <col min="4592" max="4592" width="45.3333333333333" style="5" customWidth="1"/>
    <col min="4593" max="4600" width="11.1547619047619" style="5" customWidth="1"/>
    <col min="4601" max="4606" width="9.33333333333333" style="5"/>
    <col min="4607" max="4609" width="11.1547619047619" style="5" customWidth="1"/>
    <col min="4610" max="4847" width="9.33333333333333" style="5"/>
    <col min="4848" max="4848" width="45.3333333333333" style="5" customWidth="1"/>
    <col min="4849" max="4856" width="11.1547619047619" style="5" customWidth="1"/>
    <col min="4857" max="4862" width="9.33333333333333" style="5"/>
    <col min="4863" max="4865" width="11.1547619047619" style="5" customWidth="1"/>
    <col min="4866" max="5103" width="9.33333333333333" style="5"/>
    <col min="5104" max="5104" width="45.3333333333333" style="5" customWidth="1"/>
    <col min="5105" max="5112" width="11.1547619047619" style="5" customWidth="1"/>
    <col min="5113" max="5118" width="9.33333333333333" style="5"/>
    <col min="5119" max="5121" width="11.1547619047619" style="5" customWidth="1"/>
    <col min="5122" max="5359" width="9.33333333333333" style="5"/>
    <col min="5360" max="5360" width="45.3333333333333" style="5" customWidth="1"/>
    <col min="5361" max="5368" width="11.1547619047619" style="5" customWidth="1"/>
    <col min="5369" max="5374" width="9.33333333333333" style="5"/>
    <col min="5375" max="5377" width="11.1547619047619" style="5" customWidth="1"/>
    <col min="5378" max="5615" width="9.33333333333333" style="5"/>
    <col min="5616" max="5616" width="45.3333333333333" style="5" customWidth="1"/>
    <col min="5617" max="5624" width="11.1547619047619" style="5" customWidth="1"/>
    <col min="5625" max="5630" width="9.33333333333333" style="5"/>
    <col min="5631" max="5633" width="11.1547619047619" style="5" customWidth="1"/>
    <col min="5634" max="5871" width="9.33333333333333" style="5"/>
    <col min="5872" max="5872" width="45.3333333333333" style="5" customWidth="1"/>
    <col min="5873" max="5880" width="11.1547619047619" style="5" customWidth="1"/>
    <col min="5881" max="5886" width="9.33333333333333" style="5"/>
    <col min="5887" max="5889" width="11.1547619047619" style="5" customWidth="1"/>
    <col min="5890" max="6127" width="9.33333333333333" style="5"/>
    <col min="6128" max="6128" width="45.3333333333333" style="5" customWidth="1"/>
    <col min="6129" max="6136" width="11.1547619047619" style="5" customWidth="1"/>
    <col min="6137" max="6142" width="9.33333333333333" style="5"/>
    <col min="6143" max="6145" width="11.1547619047619" style="5" customWidth="1"/>
    <col min="6146" max="6383" width="9.33333333333333" style="5"/>
    <col min="6384" max="6384" width="45.3333333333333" style="5" customWidth="1"/>
    <col min="6385" max="6392" width="11.1547619047619" style="5" customWidth="1"/>
    <col min="6393" max="6398" width="9.33333333333333" style="5"/>
    <col min="6399" max="6401" width="11.1547619047619" style="5" customWidth="1"/>
    <col min="6402" max="6639" width="9.33333333333333" style="5"/>
    <col min="6640" max="6640" width="45.3333333333333" style="5" customWidth="1"/>
    <col min="6641" max="6648" width="11.1547619047619" style="5" customWidth="1"/>
    <col min="6649" max="6654" width="9.33333333333333" style="5"/>
    <col min="6655" max="6657" width="11.1547619047619" style="5" customWidth="1"/>
    <col min="6658" max="6895" width="9.33333333333333" style="5"/>
    <col min="6896" max="6896" width="45.3333333333333" style="5" customWidth="1"/>
    <col min="6897" max="6904" width="11.1547619047619" style="5" customWidth="1"/>
    <col min="6905" max="6910" width="9.33333333333333" style="5"/>
    <col min="6911" max="6913" width="11.1547619047619" style="5" customWidth="1"/>
    <col min="6914" max="7151" width="9.33333333333333" style="5"/>
    <col min="7152" max="7152" width="45.3333333333333" style="5" customWidth="1"/>
    <col min="7153" max="7160" width="11.1547619047619" style="5" customWidth="1"/>
    <col min="7161" max="7166" width="9.33333333333333" style="5"/>
    <col min="7167" max="7169" width="11.1547619047619" style="5" customWidth="1"/>
    <col min="7170" max="7407" width="9.33333333333333" style="5"/>
    <col min="7408" max="7408" width="45.3333333333333" style="5" customWidth="1"/>
    <col min="7409" max="7416" width="11.1547619047619" style="5" customWidth="1"/>
    <col min="7417" max="7422" width="9.33333333333333" style="5"/>
    <col min="7423" max="7425" width="11.1547619047619" style="5" customWidth="1"/>
    <col min="7426" max="7663" width="9.33333333333333" style="5"/>
    <col min="7664" max="7664" width="45.3333333333333" style="5" customWidth="1"/>
    <col min="7665" max="7672" width="11.1547619047619" style="5" customWidth="1"/>
    <col min="7673" max="7678" width="9.33333333333333" style="5"/>
    <col min="7679" max="7681" width="11.1547619047619" style="5" customWidth="1"/>
    <col min="7682" max="7919" width="9.33333333333333" style="5"/>
    <col min="7920" max="7920" width="45.3333333333333" style="5" customWidth="1"/>
    <col min="7921" max="7928" width="11.1547619047619" style="5" customWidth="1"/>
    <col min="7929" max="7934" width="9.33333333333333" style="5"/>
    <col min="7935" max="7937" width="11.1547619047619" style="5" customWidth="1"/>
    <col min="7938" max="8175" width="9.33333333333333" style="5"/>
    <col min="8176" max="8176" width="45.3333333333333" style="5" customWidth="1"/>
    <col min="8177" max="8184" width="11.1547619047619" style="5" customWidth="1"/>
    <col min="8185" max="8190" width="9.33333333333333" style="5"/>
    <col min="8191" max="8193" width="11.1547619047619" style="5" customWidth="1"/>
    <col min="8194" max="8431" width="9.33333333333333" style="5"/>
    <col min="8432" max="8432" width="45.3333333333333" style="5" customWidth="1"/>
    <col min="8433" max="8440" width="11.1547619047619" style="5" customWidth="1"/>
    <col min="8441" max="8446" width="9.33333333333333" style="5"/>
    <col min="8447" max="8449" width="11.1547619047619" style="5" customWidth="1"/>
    <col min="8450" max="8687" width="9.33333333333333" style="5"/>
    <col min="8688" max="8688" width="45.3333333333333" style="5" customWidth="1"/>
    <col min="8689" max="8696" width="11.1547619047619" style="5" customWidth="1"/>
    <col min="8697" max="8702" width="9.33333333333333" style="5"/>
    <col min="8703" max="8705" width="11.1547619047619" style="5" customWidth="1"/>
    <col min="8706" max="8943" width="9.33333333333333" style="5"/>
    <col min="8944" max="8944" width="45.3333333333333" style="5" customWidth="1"/>
    <col min="8945" max="8952" width="11.1547619047619" style="5" customWidth="1"/>
    <col min="8953" max="8958" width="9.33333333333333" style="5"/>
    <col min="8959" max="8961" width="11.1547619047619" style="5" customWidth="1"/>
    <col min="8962" max="9199" width="9.33333333333333" style="5"/>
    <col min="9200" max="9200" width="45.3333333333333" style="5" customWidth="1"/>
    <col min="9201" max="9208" width="11.1547619047619" style="5" customWidth="1"/>
    <col min="9209" max="9214" width="9.33333333333333" style="5"/>
    <col min="9215" max="9217" width="11.1547619047619" style="5" customWidth="1"/>
    <col min="9218" max="9455" width="9.33333333333333" style="5"/>
    <col min="9456" max="9456" width="45.3333333333333" style="5" customWidth="1"/>
    <col min="9457" max="9464" width="11.1547619047619" style="5" customWidth="1"/>
    <col min="9465" max="9470" width="9.33333333333333" style="5"/>
    <col min="9471" max="9473" width="11.1547619047619" style="5" customWidth="1"/>
    <col min="9474" max="9711" width="9.33333333333333" style="5"/>
    <col min="9712" max="9712" width="45.3333333333333" style="5" customWidth="1"/>
    <col min="9713" max="9720" width="11.1547619047619" style="5" customWidth="1"/>
    <col min="9721" max="9726" width="9.33333333333333" style="5"/>
    <col min="9727" max="9729" width="11.1547619047619" style="5" customWidth="1"/>
    <col min="9730" max="9967" width="9.33333333333333" style="5"/>
    <col min="9968" max="9968" width="45.3333333333333" style="5" customWidth="1"/>
    <col min="9969" max="9976" width="11.1547619047619" style="5" customWidth="1"/>
    <col min="9977" max="9982" width="9.33333333333333" style="5"/>
    <col min="9983" max="9985" width="11.1547619047619" style="5" customWidth="1"/>
    <col min="9986" max="10223" width="9.33333333333333" style="5"/>
    <col min="10224" max="10224" width="45.3333333333333" style="5" customWidth="1"/>
    <col min="10225" max="10232" width="11.1547619047619" style="5" customWidth="1"/>
    <col min="10233" max="10238" width="9.33333333333333" style="5"/>
    <col min="10239" max="10241" width="11.1547619047619" style="5" customWidth="1"/>
    <col min="10242" max="10479" width="9.33333333333333" style="5"/>
    <col min="10480" max="10480" width="45.3333333333333" style="5" customWidth="1"/>
    <col min="10481" max="10488" width="11.1547619047619" style="5" customWidth="1"/>
    <col min="10489" max="10494" width="9.33333333333333" style="5"/>
    <col min="10495" max="10497" width="11.1547619047619" style="5" customWidth="1"/>
    <col min="10498" max="10735" width="9.33333333333333" style="5"/>
    <col min="10736" max="10736" width="45.3333333333333" style="5" customWidth="1"/>
    <col min="10737" max="10744" width="11.1547619047619" style="5" customWidth="1"/>
    <col min="10745" max="10750" width="9.33333333333333" style="5"/>
    <col min="10751" max="10753" width="11.1547619047619" style="5" customWidth="1"/>
    <col min="10754" max="10991" width="9.33333333333333" style="5"/>
    <col min="10992" max="10992" width="45.3333333333333" style="5" customWidth="1"/>
    <col min="10993" max="11000" width="11.1547619047619" style="5" customWidth="1"/>
    <col min="11001" max="11006" width="9.33333333333333" style="5"/>
    <col min="11007" max="11009" width="11.1547619047619" style="5" customWidth="1"/>
    <col min="11010" max="11247" width="9.33333333333333" style="5"/>
    <col min="11248" max="11248" width="45.3333333333333" style="5" customWidth="1"/>
    <col min="11249" max="11256" width="11.1547619047619" style="5" customWidth="1"/>
    <col min="11257" max="11262" width="9.33333333333333" style="5"/>
    <col min="11263" max="11265" width="11.1547619047619" style="5" customWidth="1"/>
    <col min="11266" max="11503" width="9.33333333333333" style="5"/>
    <col min="11504" max="11504" width="45.3333333333333" style="5" customWidth="1"/>
    <col min="11505" max="11512" width="11.1547619047619" style="5" customWidth="1"/>
    <col min="11513" max="11518" width="9.33333333333333" style="5"/>
    <col min="11519" max="11521" width="11.1547619047619" style="5" customWidth="1"/>
    <col min="11522" max="11759" width="9.33333333333333" style="5"/>
    <col min="11760" max="11760" width="45.3333333333333" style="5" customWidth="1"/>
    <col min="11761" max="11768" width="11.1547619047619" style="5" customWidth="1"/>
    <col min="11769" max="11774" width="9.33333333333333" style="5"/>
    <col min="11775" max="11777" width="11.1547619047619" style="5" customWidth="1"/>
    <col min="11778" max="12015" width="9.33333333333333" style="5"/>
    <col min="12016" max="12016" width="45.3333333333333" style="5" customWidth="1"/>
    <col min="12017" max="12024" width="11.1547619047619" style="5" customWidth="1"/>
    <col min="12025" max="12030" width="9.33333333333333" style="5"/>
    <col min="12031" max="12033" width="11.1547619047619" style="5" customWidth="1"/>
    <col min="12034" max="12271" width="9.33333333333333" style="5"/>
    <col min="12272" max="12272" width="45.3333333333333" style="5" customWidth="1"/>
    <col min="12273" max="12280" width="11.1547619047619" style="5" customWidth="1"/>
    <col min="12281" max="12286" width="9.33333333333333" style="5"/>
    <col min="12287" max="12289" width="11.1547619047619" style="5" customWidth="1"/>
    <col min="12290" max="12527" width="9.33333333333333" style="5"/>
    <col min="12528" max="12528" width="45.3333333333333" style="5" customWidth="1"/>
    <col min="12529" max="12536" width="11.1547619047619" style="5" customWidth="1"/>
    <col min="12537" max="12542" width="9.33333333333333" style="5"/>
    <col min="12543" max="12545" width="11.1547619047619" style="5" customWidth="1"/>
    <col min="12546" max="12783" width="9.33333333333333" style="5"/>
    <col min="12784" max="12784" width="45.3333333333333" style="5" customWidth="1"/>
    <col min="12785" max="12792" width="11.1547619047619" style="5" customWidth="1"/>
    <col min="12793" max="12798" width="9.33333333333333" style="5"/>
    <col min="12799" max="12801" width="11.1547619047619" style="5" customWidth="1"/>
    <col min="12802" max="13039" width="9.33333333333333" style="5"/>
    <col min="13040" max="13040" width="45.3333333333333" style="5" customWidth="1"/>
    <col min="13041" max="13048" width="11.1547619047619" style="5" customWidth="1"/>
    <col min="13049" max="13054" width="9.33333333333333" style="5"/>
    <col min="13055" max="13057" width="11.1547619047619" style="5" customWidth="1"/>
    <col min="13058" max="13295" width="9.33333333333333" style="5"/>
    <col min="13296" max="13296" width="45.3333333333333" style="5" customWidth="1"/>
    <col min="13297" max="13304" width="11.1547619047619" style="5" customWidth="1"/>
    <col min="13305" max="13310" width="9.33333333333333" style="5"/>
    <col min="13311" max="13313" width="11.1547619047619" style="5" customWidth="1"/>
    <col min="13314" max="13551" width="9.33333333333333" style="5"/>
    <col min="13552" max="13552" width="45.3333333333333" style="5" customWidth="1"/>
    <col min="13553" max="13560" width="11.1547619047619" style="5" customWidth="1"/>
    <col min="13561" max="13566" width="9.33333333333333" style="5"/>
    <col min="13567" max="13569" width="11.1547619047619" style="5" customWidth="1"/>
    <col min="13570" max="13807" width="9.33333333333333" style="5"/>
    <col min="13808" max="13808" width="45.3333333333333" style="5" customWidth="1"/>
    <col min="13809" max="13816" width="11.1547619047619" style="5" customWidth="1"/>
    <col min="13817" max="13822" width="9.33333333333333" style="5"/>
    <col min="13823" max="13825" width="11.1547619047619" style="5" customWidth="1"/>
    <col min="13826" max="14063" width="9.33333333333333" style="5"/>
    <col min="14064" max="14064" width="45.3333333333333" style="5" customWidth="1"/>
    <col min="14065" max="14072" width="11.1547619047619" style="5" customWidth="1"/>
    <col min="14073" max="14078" width="9.33333333333333" style="5"/>
    <col min="14079" max="14081" width="11.1547619047619" style="5" customWidth="1"/>
    <col min="14082" max="14319" width="9.33333333333333" style="5"/>
    <col min="14320" max="14320" width="45.3333333333333" style="5" customWidth="1"/>
    <col min="14321" max="14328" width="11.1547619047619" style="5" customWidth="1"/>
    <col min="14329" max="14334" width="9.33333333333333" style="5"/>
    <col min="14335" max="14337" width="11.1547619047619" style="5" customWidth="1"/>
    <col min="14338" max="14575" width="9.33333333333333" style="5"/>
    <col min="14576" max="14576" width="45.3333333333333" style="5" customWidth="1"/>
    <col min="14577" max="14584" width="11.1547619047619" style="5" customWidth="1"/>
    <col min="14585" max="14590" width="9.33333333333333" style="5"/>
    <col min="14591" max="14593" width="11.1547619047619" style="5" customWidth="1"/>
    <col min="14594" max="14831" width="9.33333333333333" style="5"/>
    <col min="14832" max="14832" width="45.3333333333333" style="5" customWidth="1"/>
    <col min="14833" max="14840" width="11.1547619047619" style="5" customWidth="1"/>
    <col min="14841" max="14846" width="9.33333333333333" style="5"/>
    <col min="14847" max="14849" width="11.1547619047619" style="5" customWidth="1"/>
    <col min="14850" max="15087" width="9.33333333333333" style="5"/>
    <col min="15088" max="15088" width="45.3333333333333" style="5" customWidth="1"/>
    <col min="15089" max="15096" width="11.1547619047619" style="5" customWidth="1"/>
    <col min="15097" max="15102" width="9.33333333333333" style="5"/>
    <col min="15103" max="15105" width="11.1547619047619" style="5" customWidth="1"/>
    <col min="15106" max="15343" width="9.33333333333333" style="5"/>
    <col min="15344" max="15344" width="45.3333333333333" style="5" customWidth="1"/>
    <col min="15345" max="15352" width="11.1547619047619" style="5" customWidth="1"/>
    <col min="15353" max="15358" width="9.33333333333333" style="5"/>
    <col min="15359" max="15361" width="11.1547619047619" style="5" customWidth="1"/>
    <col min="15362" max="15599" width="9.33333333333333" style="5"/>
    <col min="15600" max="15600" width="45.3333333333333" style="5" customWidth="1"/>
    <col min="15601" max="15608" width="11.1547619047619" style="5" customWidth="1"/>
    <col min="15609" max="15614" width="9.33333333333333" style="5"/>
    <col min="15615" max="15617" width="11.1547619047619" style="5" customWidth="1"/>
    <col min="15618" max="15855" width="9.33333333333333" style="5"/>
    <col min="15856" max="15856" width="45.3333333333333" style="5" customWidth="1"/>
    <col min="15857" max="15864" width="11.1547619047619" style="5" customWidth="1"/>
    <col min="15865" max="15870" width="9.33333333333333" style="5"/>
    <col min="15871" max="15873" width="11.1547619047619" style="5" customWidth="1"/>
    <col min="15874" max="16111" width="9.33333333333333" style="5"/>
    <col min="16112" max="16112" width="45.3333333333333" style="5" customWidth="1"/>
    <col min="16113" max="16120" width="11.1547619047619" style="5" customWidth="1"/>
    <col min="16121" max="16126" width="9.33333333333333" style="5"/>
    <col min="16127" max="16129" width="11.1547619047619" style="5" customWidth="1"/>
    <col min="16130" max="16378" width="9.33333333333333" style="5"/>
    <col min="16379" max="16384" width="9" style="5"/>
  </cols>
  <sheetData>
    <row r="1" s="1" customFormat="1" spans="1:224">
      <c r="A1" s="6"/>
      <c r="B1" s="7" t="s">
        <v>0</v>
      </c>
      <c r="C1" s="7" t="s">
        <v>1</v>
      </c>
      <c r="D1" s="8" t="s">
        <v>2</v>
      </c>
      <c r="E1" s="8" t="s">
        <v>3</v>
      </c>
      <c r="F1" s="8" t="s">
        <v>4</v>
      </c>
      <c r="G1" s="8" t="s">
        <v>5</v>
      </c>
      <c r="H1" s="8" t="s">
        <v>6</v>
      </c>
      <c r="I1" s="8" t="s">
        <v>7</v>
      </c>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row>
    <row r="2" s="1" customFormat="1" spans="1:224">
      <c r="A2" s="6"/>
      <c r="B2" s="7" t="s">
        <v>8</v>
      </c>
      <c r="C2" s="7" t="s">
        <v>8</v>
      </c>
      <c r="D2" s="7" t="s">
        <v>8</v>
      </c>
      <c r="E2" s="7" t="s">
        <v>8</v>
      </c>
      <c r="F2" s="7" t="s">
        <v>8</v>
      </c>
      <c r="G2" s="7" t="s">
        <v>9</v>
      </c>
      <c r="H2" s="7" t="s">
        <v>9</v>
      </c>
      <c r="I2" s="7" t="s">
        <v>9</v>
      </c>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row>
    <row r="3" s="2" customFormat="1" ht="11.1" customHeight="1" spans="1:9">
      <c r="A3" s="9" t="s">
        <v>10</v>
      </c>
      <c r="B3" s="10"/>
      <c r="C3" s="10"/>
      <c r="D3" s="10"/>
      <c r="E3" s="10"/>
      <c r="F3" s="10"/>
      <c r="G3" s="10"/>
      <c r="H3" s="10"/>
      <c r="I3" s="10"/>
    </row>
    <row r="4" s="3" customFormat="1" ht="11.1" customHeight="1" spans="1:224">
      <c r="A4" s="11" t="s">
        <v>11</v>
      </c>
      <c r="B4" s="12"/>
      <c r="C4" s="12"/>
      <c r="D4" s="13"/>
      <c r="E4" s="13"/>
      <c r="F4" s="13"/>
      <c r="G4" s="13"/>
      <c r="H4" s="13"/>
      <c r="I4" s="13"/>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row>
    <row r="5" s="3" customFormat="1" ht="11.1" customHeight="1" spans="1:224">
      <c r="A5" s="14" t="s">
        <v>12</v>
      </c>
      <c r="B5" s="15">
        <v>288321</v>
      </c>
      <c r="C5" s="15">
        <v>300885</v>
      </c>
      <c r="D5" s="15">
        <v>319329</v>
      </c>
      <c r="E5" s="15">
        <v>325246</v>
      </c>
      <c r="F5" s="15">
        <v>321859</v>
      </c>
      <c r="G5" s="15">
        <v>327200</v>
      </c>
      <c r="H5" s="15">
        <v>330200</v>
      </c>
      <c r="I5" s="15">
        <v>327000</v>
      </c>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c r="GL5" s="5"/>
      <c r="GM5" s="5"/>
      <c r="GN5" s="5"/>
      <c r="GO5" s="5"/>
      <c r="GP5" s="5"/>
      <c r="GQ5" s="5"/>
      <c r="GR5" s="5"/>
      <c r="GS5" s="5"/>
      <c r="GT5" s="5"/>
      <c r="GU5" s="5"/>
      <c r="GV5" s="5"/>
      <c r="GW5" s="5"/>
      <c r="GX5" s="5"/>
      <c r="GY5" s="5"/>
      <c r="GZ5" s="5"/>
      <c r="HA5" s="5"/>
      <c r="HB5" s="5"/>
      <c r="HC5" s="5"/>
      <c r="HD5" s="5"/>
      <c r="HE5" s="5"/>
      <c r="HF5" s="5"/>
      <c r="HG5" s="5"/>
      <c r="HH5" s="5"/>
      <c r="HI5" s="5"/>
      <c r="HJ5" s="5"/>
      <c r="HK5" s="5"/>
      <c r="HL5" s="5"/>
      <c r="HM5" s="5"/>
      <c r="HN5" s="5"/>
      <c r="HO5" s="5"/>
      <c r="HP5" s="5"/>
    </row>
    <row r="6" s="3" customFormat="1" ht="11.1" customHeight="1" spans="1:224">
      <c r="A6" s="14" t="s">
        <v>13</v>
      </c>
      <c r="B6" s="15">
        <v>11784</v>
      </c>
      <c r="C6" s="15">
        <v>12389</v>
      </c>
      <c r="D6" s="15">
        <v>13843</v>
      </c>
      <c r="E6" s="15">
        <v>20598</v>
      </c>
      <c r="F6" s="15">
        <v>18852</v>
      </c>
      <c r="G6" s="15">
        <v>18100</v>
      </c>
      <c r="H6" s="15">
        <v>18100</v>
      </c>
      <c r="I6" s="15">
        <v>19200</v>
      </c>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row>
    <row r="7" s="4" customFormat="1" ht="11.1" customHeight="1" spans="1:9">
      <c r="A7" s="16" t="s">
        <v>14</v>
      </c>
      <c r="B7" s="17">
        <v>300105</v>
      </c>
      <c r="C7" s="17">
        <v>313275</v>
      </c>
      <c r="D7" s="17">
        <v>333172</v>
      </c>
      <c r="E7" s="17">
        <v>345844</v>
      </c>
      <c r="F7" s="17">
        <v>340711</v>
      </c>
      <c r="G7" s="17">
        <v>345300</v>
      </c>
      <c r="H7" s="17">
        <v>348300</v>
      </c>
      <c r="I7" s="17">
        <v>346300</v>
      </c>
    </row>
    <row r="8" ht="11.1" customHeight="1" spans="1:9">
      <c r="A8" s="11" t="s">
        <v>15</v>
      </c>
      <c r="B8" s="13" t="s">
        <v>16</v>
      </c>
      <c r="C8" s="13" t="s">
        <v>16</v>
      </c>
      <c r="D8" s="18" t="s">
        <v>16</v>
      </c>
      <c r="E8" s="18" t="s">
        <v>16</v>
      </c>
      <c r="F8" s="18" t="s">
        <v>16</v>
      </c>
      <c r="G8" s="18" t="s">
        <v>16</v>
      </c>
      <c r="H8" s="18" t="s">
        <v>16</v>
      </c>
      <c r="I8" s="18" t="s">
        <v>16</v>
      </c>
    </row>
    <row r="9" ht="11.1" customHeight="1" spans="1:9">
      <c r="A9" s="14" t="s">
        <v>17</v>
      </c>
      <c r="B9" s="15">
        <v>140109</v>
      </c>
      <c r="C9" s="15">
        <v>150817</v>
      </c>
      <c r="D9" s="19">
        <v>164048</v>
      </c>
      <c r="E9" s="19">
        <v>169960</v>
      </c>
      <c r="F9" s="19">
        <v>176029</v>
      </c>
      <c r="G9" s="19">
        <v>183192</v>
      </c>
      <c r="H9" s="19">
        <v>183259</v>
      </c>
      <c r="I9" s="19">
        <v>186305</v>
      </c>
    </row>
    <row r="10" ht="11.1" customHeight="1" spans="1:9">
      <c r="A10" s="20" t="s">
        <v>18</v>
      </c>
      <c r="B10" s="15">
        <v>20114</v>
      </c>
      <c r="C10" s="15">
        <v>24154</v>
      </c>
      <c r="D10" s="19">
        <v>27651</v>
      </c>
      <c r="E10" s="19">
        <v>28924</v>
      </c>
      <c r="F10" s="19">
        <v>29967</v>
      </c>
      <c r="G10" s="19">
        <v>26141</v>
      </c>
      <c r="H10" s="19">
        <v>26229</v>
      </c>
      <c r="I10" s="19">
        <v>26656</v>
      </c>
    </row>
    <row r="11" ht="11.1" customHeight="1" spans="1:9">
      <c r="A11" s="20" t="s">
        <v>19</v>
      </c>
      <c r="B11" s="15">
        <v>5325</v>
      </c>
      <c r="C11" s="15">
        <v>5416</v>
      </c>
      <c r="D11" s="19">
        <v>1532</v>
      </c>
      <c r="E11" s="19">
        <v>-78069</v>
      </c>
      <c r="F11" s="19">
        <v>6054</v>
      </c>
      <c r="G11" s="19">
        <v>4998</v>
      </c>
      <c r="H11" s="19">
        <v>865</v>
      </c>
      <c r="I11" s="19">
        <v>1049</v>
      </c>
    </row>
    <row r="12" ht="11.1" customHeight="1" spans="1:9">
      <c r="A12" s="14" t="s">
        <v>20</v>
      </c>
      <c r="B12" s="15">
        <v>882</v>
      </c>
      <c r="C12" s="15">
        <v>1011</v>
      </c>
      <c r="D12" s="19">
        <v>1001</v>
      </c>
      <c r="E12" s="19">
        <v>995</v>
      </c>
      <c r="F12" s="19">
        <v>1399</v>
      </c>
      <c r="G12" s="19">
        <v>1141</v>
      </c>
      <c r="H12" s="19">
        <v>932</v>
      </c>
      <c r="I12" s="19">
        <v>932</v>
      </c>
    </row>
    <row r="13" ht="11.1" customHeight="1" spans="1:9">
      <c r="A13" s="14" t="s">
        <v>21</v>
      </c>
      <c r="B13" s="15">
        <v>3430</v>
      </c>
      <c r="C13" s="15">
        <v>3316</v>
      </c>
      <c r="D13" s="19">
        <v>3464</v>
      </c>
      <c r="E13" s="19">
        <v>3303</v>
      </c>
      <c r="F13" s="19">
        <v>3690</v>
      </c>
      <c r="G13" s="19">
        <v>3868</v>
      </c>
      <c r="H13" s="19">
        <v>3828</v>
      </c>
      <c r="I13" s="19">
        <v>3826</v>
      </c>
    </row>
    <row r="14" ht="11.1" customHeight="1" spans="1:9">
      <c r="A14" s="14" t="s">
        <v>22</v>
      </c>
      <c r="B14" s="15">
        <v>-820</v>
      </c>
      <c r="C14" s="15">
        <v>-942</v>
      </c>
      <c r="D14" s="19">
        <v>-233</v>
      </c>
      <c r="E14" s="19">
        <v>-287</v>
      </c>
      <c r="F14" s="19">
        <v>-624</v>
      </c>
      <c r="G14" s="19">
        <v>-686</v>
      </c>
      <c r="H14" s="19">
        <v>-1042</v>
      </c>
      <c r="I14" s="19">
        <v>-1657</v>
      </c>
    </row>
    <row r="15" ht="11.1" customHeight="1" spans="1:9">
      <c r="A15" s="14" t="s">
        <v>23</v>
      </c>
      <c r="B15" s="15">
        <v>47751</v>
      </c>
      <c r="C15" s="15">
        <v>43085</v>
      </c>
      <c r="D15" s="19">
        <v>44609</v>
      </c>
      <c r="E15" s="19">
        <v>55509</v>
      </c>
      <c r="F15" s="19">
        <v>50917</v>
      </c>
      <c r="G15" s="19">
        <v>51021</v>
      </c>
      <c r="H15" s="19">
        <v>41686</v>
      </c>
      <c r="I15" s="19">
        <v>43428</v>
      </c>
    </row>
    <row r="16" ht="11.1" customHeight="1" spans="1:9">
      <c r="A16" s="14" t="s">
        <v>24</v>
      </c>
      <c r="B16" s="15" t="s">
        <v>25</v>
      </c>
      <c r="C16" s="15">
        <v>41551</v>
      </c>
      <c r="D16" s="19">
        <v>-27588</v>
      </c>
      <c r="E16" s="19">
        <v>-14579</v>
      </c>
      <c r="F16" s="19">
        <v>-16575</v>
      </c>
      <c r="G16" s="15" t="s">
        <v>25</v>
      </c>
      <c r="H16" s="15" t="s">
        <v>25</v>
      </c>
      <c r="I16" s="15" t="s">
        <v>25</v>
      </c>
    </row>
    <row r="17" ht="11.1" customHeight="1" spans="1:9">
      <c r="A17" s="14" t="s">
        <v>26</v>
      </c>
      <c r="B17" s="15">
        <v>1359</v>
      </c>
      <c r="C17" s="15">
        <v>1765</v>
      </c>
      <c r="D17" s="19">
        <v>2739</v>
      </c>
      <c r="E17" s="19">
        <v>1111</v>
      </c>
      <c r="F17" s="19">
        <v>200</v>
      </c>
      <c r="G17" s="19">
        <v>4848</v>
      </c>
      <c r="H17" s="19">
        <v>6176</v>
      </c>
      <c r="I17" s="19">
        <v>6663</v>
      </c>
    </row>
    <row r="18" s="4" customFormat="1" ht="11.1" customHeight="1" spans="1:9">
      <c r="A18" s="16" t="s">
        <v>27</v>
      </c>
      <c r="B18" s="17">
        <v>218151</v>
      </c>
      <c r="C18" s="17">
        <v>270173</v>
      </c>
      <c r="D18" s="17">
        <v>217223</v>
      </c>
      <c r="E18" s="17">
        <v>166869</v>
      </c>
      <c r="F18" s="17">
        <v>251056</v>
      </c>
      <c r="G18" s="17">
        <v>274523</v>
      </c>
      <c r="H18" s="17">
        <v>261933</v>
      </c>
      <c r="I18" s="17">
        <v>267202</v>
      </c>
    </row>
    <row r="19" ht="11.1" customHeight="1" spans="1:9">
      <c r="A19" s="11" t="s">
        <v>28</v>
      </c>
      <c r="B19" s="21" t="s">
        <v>16</v>
      </c>
      <c r="C19" s="21" t="s">
        <v>16</v>
      </c>
      <c r="D19" s="22" t="s">
        <v>16</v>
      </c>
      <c r="E19" s="22" t="s">
        <v>16</v>
      </c>
      <c r="F19" s="22" t="s">
        <v>16</v>
      </c>
      <c r="G19" s="22" t="s">
        <v>16</v>
      </c>
      <c r="H19" s="22" t="s">
        <v>16</v>
      </c>
      <c r="I19" s="22" t="s">
        <v>16</v>
      </c>
    </row>
    <row r="20" ht="11.1" customHeight="1" spans="1:9">
      <c r="A20" s="23" t="s">
        <v>29</v>
      </c>
      <c r="B20" s="15">
        <v>5392</v>
      </c>
      <c r="C20" s="15">
        <v>3060</v>
      </c>
      <c r="D20" s="19">
        <v>6419</v>
      </c>
      <c r="E20" s="19">
        <v>8414</v>
      </c>
      <c r="F20" s="19">
        <v>7702</v>
      </c>
      <c r="G20" s="19">
        <v>7477</v>
      </c>
      <c r="H20" s="19">
        <v>8670</v>
      </c>
      <c r="I20" s="19">
        <v>9562</v>
      </c>
    </row>
    <row r="21" ht="11.1" customHeight="1" spans="1:9">
      <c r="A21" s="23" t="s">
        <v>30</v>
      </c>
      <c r="B21" s="15">
        <v>24340</v>
      </c>
      <c r="C21" s="15">
        <v>26966</v>
      </c>
      <c r="D21" s="19">
        <v>25794</v>
      </c>
      <c r="E21" s="19">
        <v>22906</v>
      </c>
      <c r="F21" s="19">
        <v>26740</v>
      </c>
      <c r="G21" s="19">
        <v>27330</v>
      </c>
      <c r="H21" s="19">
        <v>28742</v>
      </c>
      <c r="I21" s="19">
        <v>30051</v>
      </c>
    </row>
    <row r="22" ht="11.1" customHeight="1" spans="1:9">
      <c r="A22" s="14" t="s">
        <v>31</v>
      </c>
      <c r="B22" s="15">
        <v>29954</v>
      </c>
      <c r="C22" s="15">
        <v>30300</v>
      </c>
      <c r="D22" s="19">
        <v>30185</v>
      </c>
      <c r="E22" s="19">
        <v>44399</v>
      </c>
      <c r="F22" s="19">
        <v>46976</v>
      </c>
      <c r="G22" s="19">
        <v>44788</v>
      </c>
      <c r="H22" s="19">
        <v>46123</v>
      </c>
      <c r="I22" s="19">
        <v>53224</v>
      </c>
    </row>
    <row r="23" ht="11.1" customHeight="1" spans="1:9">
      <c r="A23" s="14" t="s">
        <v>32</v>
      </c>
      <c r="B23" s="15">
        <v>-41776</v>
      </c>
      <c r="C23" s="15">
        <v>-79045</v>
      </c>
      <c r="D23" s="19">
        <v>-10489</v>
      </c>
      <c r="E23" s="19">
        <v>42932</v>
      </c>
      <c r="F23" s="19">
        <v>-27497</v>
      </c>
      <c r="G23" s="19">
        <f>-35400+640</f>
        <v>-34760</v>
      </c>
      <c r="H23" s="19">
        <f>-19305-1000</f>
        <v>-20305</v>
      </c>
      <c r="I23" s="19">
        <f>-20005</f>
        <v>-20005</v>
      </c>
    </row>
    <row r="24" s="4" customFormat="1" ht="12.95" customHeight="1" spans="1:9">
      <c r="A24" s="24" t="s">
        <v>33</v>
      </c>
      <c r="B24" s="25">
        <v>17910</v>
      </c>
      <c r="C24" s="25">
        <v>-18719</v>
      </c>
      <c r="D24" s="25">
        <v>51909</v>
      </c>
      <c r="E24" s="25">
        <v>118651</v>
      </c>
      <c r="F24" s="25">
        <v>53921</v>
      </c>
      <c r="G24" s="25">
        <f>44194+640</f>
        <v>44834</v>
      </c>
      <c r="H24" s="25">
        <f>64229-1000</f>
        <v>63229</v>
      </c>
      <c r="I24" s="25">
        <f>72831</f>
        <v>72831</v>
      </c>
    </row>
    <row r="25" s="4" customFormat="1" ht="12.95" customHeight="1" spans="1:9">
      <c r="A25" s="26" t="s">
        <v>34</v>
      </c>
      <c r="B25" s="27">
        <v>236060</v>
      </c>
      <c r="C25" s="27">
        <v>251453</v>
      </c>
      <c r="D25" s="27">
        <v>269132</v>
      </c>
      <c r="E25" s="27">
        <v>285520</v>
      </c>
      <c r="F25" s="27">
        <v>304977</v>
      </c>
      <c r="G25" s="27">
        <f>318717+640</f>
        <v>319357</v>
      </c>
      <c r="H25" s="27">
        <f>326162-1000</f>
        <v>325162</v>
      </c>
      <c r="I25" s="27">
        <f>340033</f>
        <v>340033</v>
      </c>
    </row>
    <row r="26" s="4" customFormat="1" ht="12.95" customHeight="1" spans="1:9">
      <c r="A26" s="28" t="s">
        <v>35</v>
      </c>
      <c r="B26" s="29">
        <v>536165</v>
      </c>
      <c r="C26" s="29">
        <v>564728</v>
      </c>
      <c r="D26" s="29">
        <v>602304</v>
      </c>
      <c r="E26" s="29">
        <v>631364</v>
      </c>
      <c r="F26" s="29">
        <v>645688</v>
      </c>
      <c r="G26" s="29">
        <v>664600</v>
      </c>
      <c r="H26" s="29">
        <v>673600</v>
      </c>
      <c r="I26" s="29">
        <v>686400</v>
      </c>
    </row>
    <row r="27" s="2" customFormat="1" ht="11.1" customHeight="1" spans="1:9">
      <c r="A27" s="9" t="s">
        <v>36</v>
      </c>
      <c r="B27" s="30" t="s">
        <v>16</v>
      </c>
      <c r="C27" s="30" t="s">
        <v>16</v>
      </c>
      <c r="D27" s="31" t="s">
        <v>16</v>
      </c>
      <c r="E27" s="31" t="s">
        <v>16</v>
      </c>
      <c r="F27" s="31" t="s">
        <v>16</v>
      </c>
      <c r="G27" s="31"/>
      <c r="H27" s="31"/>
      <c r="I27" s="31"/>
    </row>
    <row r="28" ht="11.1" customHeight="1" spans="1:9">
      <c r="A28" s="11" t="s">
        <v>37</v>
      </c>
      <c r="B28" s="13" t="s">
        <v>16</v>
      </c>
      <c r="C28" s="13" t="s">
        <v>16</v>
      </c>
      <c r="D28" s="18" t="s">
        <v>16</v>
      </c>
      <c r="E28" s="18" t="s">
        <v>16</v>
      </c>
      <c r="F28" s="18" t="s">
        <v>16</v>
      </c>
      <c r="G28" s="18"/>
      <c r="H28" s="18"/>
      <c r="I28" s="18"/>
    </row>
    <row r="29" s="4" customFormat="1" ht="12.95" customHeight="1" spans="1:9">
      <c r="A29" s="32" t="s">
        <v>38</v>
      </c>
      <c r="B29" s="17">
        <v>44821</v>
      </c>
      <c r="C29" s="17">
        <v>48511</v>
      </c>
      <c r="D29" s="17">
        <v>56959</v>
      </c>
      <c r="E29" s="17">
        <v>49815</v>
      </c>
      <c r="F29" s="17">
        <v>42156</v>
      </c>
      <c r="G29" s="17">
        <v>43800</v>
      </c>
      <c r="H29" s="17">
        <v>40900</v>
      </c>
      <c r="I29" s="17">
        <v>41300</v>
      </c>
    </row>
    <row r="30" ht="11.1" customHeight="1" spans="1:9">
      <c r="A30" s="11" t="s">
        <v>39</v>
      </c>
      <c r="B30" s="15" t="s">
        <v>16</v>
      </c>
      <c r="C30" s="15" t="s">
        <v>16</v>
      </c>
      <c r="D30" s="19" t="s">
        <v>16</v>
      </c>
      <c r="E30" s="19" t="s">
        <v>16</v>
      </c>
      <c r="F30" s="19" t="s">
        <v>16</v>
      </c>
      <c r="G30" s="19" t="s">
        <v>16</v>
      </c>
      <c r="H30" s="19" t="s">
        <v>16</v>
      </c>
      <c r="I30" s="19" t="s">
        <v>16</v>
      </c>
    </row>
    <row r="31" ht="11.1" customHeight="1" spans="1:9">
      <c r="A31" s="14" t="s">
        <v>20</v>
      </c>
      <c r="B31" s="15">
        <v>713</v>
      </c>
      <c r="C31" s="15">
        <v>536</v>
      </c>
      <c r="D31" s="19">
        <v>752</v>
      </c>
      <c r="E31" s="19">
        <v>597</v>
      </c>
      <c r="F31" s="19">
        <v>404</v>
      </c>
      <c r="G31" s="19">
        <v>712</v>
      </c>
      <c r="H31" s="19">
        <v>497</v>
      </c>
      <c r="I31" s="19">
        <v>568</v>
      </c>
    </row>
    <row r="32" ht="11.1" customHeight="1" spans="1:9">
      <c r="A32" s="14" t="s">
        <v>21</v>
      </c>
      <c r="B32" s="15">
        <v>85</v>
      </c>
      <c r="C32" s="15">
        <v>81</v>
      </c>
      <c r="D32" s="19">
        <v>123</v>
      </c>
      <c r="E32" s="19">
        <v>114</v>
      </c>
      <c r="F32" s="19">
        <v>191</v>
      </c>
      <c r="G32" s="19">
        <v>54</v>
      </c>
      <c r="H32" s="19">
        <v>177</v>
      </c>
      <c r="I32" s="19">
        <v>145</v>
      </c>
    </row>
    <row r="33" ht="11.1" customHeight="1" spans="1:9">
      <c r="A33" s="14" t="s">
        <v>22</v>
      </c>
      <c r="B33" s="15">
        <v>4346</v>
      </c>
      <c r="C33" s="15">
        <v>4330</v>
      </c>
      <c r="D33" s="19">
        <v>4408</v>
      </c>
      <c r="E33" s="19">
        <v>4778</v>
      </c>
      <c r="F33" s="19">
        <v>5646</v>
      </c>
      <c r="G33" s="19">
        <v>6603</v>
      </c>
      <c r="H33" s="19">
        <v>8592</v>
      </c>
      <c r="I33" s="19">
        <v>10440</v>
      </c>
    </row>
    <row r="34" ht="11.1" customHeight="1" spans="1:9">
      <c r="A34" s="14" t="s">
        <v>24</v>
      </c>
      <c r="B34" s="15" t="s">
        <v>25</v>
      </c>
      <c r="C34" s="15">
        <v>85525</v>
      </c>
      <c r="D34" s="19">
        <v>38330</v>
      </c>
      <c r="E34" s="19">
        <v>-2984</v>
      </c>
      <c r="F34" s="19">
        <v>-3721</v>
      </c>
      <c r="G34" s="15" t="s">
        <v>25</v>
      </c>
      <c r="H34" s="15" t="s">
        <v>25</v>
      </c>
      <c r="I34" s="15" t="s">
        <v>25</v>
      </c>
    </row>
    <row r="35" ht="11.1" customHeight="1" spans="1:9">
      <c r="A35" s="33" t="s">
        <v>26</v>
      </c>
      <c r="B35" s="15">
        <v>861</v>
      </c>
      <c r="C35" s="15">
        <v>393</v>
      </c>
      <c r="D35" s="19">
        <v>4082</v>
      </c>
      <c r="E35" s="19">
        <v>1297</v>
      </c>
      <c r="F35" s="19">
        <v>967</v>
      </c>
      <c r="G35" s="19">
        <v>2829</v>
      </c>
      <c r="H35" s="19">
        <v>2834</v>
      </c>
      <c r="I35" s="19">
        <v>2735</v>
      </c>
    </row>
    <row r="36" s="4" customFormat="1" ht="12.95" customHeight="1" spans="1:9">
      <c r="A36" s="16" t="s">
        <v>40</v>
      </c>
      <c r="B36" s="17">
        <v>6005</v>
      </c>
      <c r="C36" s="17">
        <v>90866</v>
      </c>
      <c r="D36" s="17">
        <v>47694</v>
      </c>
      <c r="E36" s="17">
        <v>3802</v>
      </c>
      <c r="F36" s="17">
        <v>3488</v>
      </c>
      <c r="G36" s="17">
        <v>10198</v>
      </c>
      <c r="H36" s="17">
        <v>12100</v>
      </c>
      <c r="I36" s="17">
        <v>13888</v>
      </c>
    </row>
    <row r="37" ht="11.1" customHeight="1" spans="1:9">
      <c r="A37" s="11" t="s">
        <v>41</v>
      </c>
      <c r="B37" s="15" t="s">
        <v>16</v>
      </c>
      <c r="C37" s="15" t="s">
        <v>16</v>
      </c>
      <c r="D37" s="19" t="s">
        <v>16</v>
      </c>
      <c r="E37" s="19" t="s">
        <v>16</v>
      </c>
      <c r="F37" s="19" t="s">
        <v>16</v>
      </c>
      <c r="G37" s="19" t="s">
        <v>16</v>
      </c>
      <c r="H37" s="19" t="s">
        <v>42</v>
      </c>
      <c r="I37" s="19" t="s">
        <v>16</v>
      </c>
    </row>
    <row r="38" ht="11.1" customHeight="1" spans="1:9">
      <c r="A38" s="14" t="s">
        <v>30</v>
      </c>
      <c r="B38" s="15">
        <v>2120</v>
      </c>
      <c r="C38" s="15">
        <v>7321</v>
      </c>
      <c r="D38" s="19">
        <v>5241</v>
      </c>
      <c r="E38" s="19">
        <v>5448</v>
      </c>
      <c r="F38" s="19">
        <v>13641</v>
      </c>
      <c r="G38" s="19">
        <v>5268</v>
      </c>
      <c r="H38" s="19">
        <v>4921</v>
      </c>
      <c r="I38" s="19">
        <v>4815</v>
      </c>
    </row>
    <row r="39" ht="11.1" customHeight="1" spans="1:9">
      <c r="A39" s="23" t="s">
        <v>43</v>
      </c>
      <c r="B39" s="15">
        <v>5439</v>
      </c>
      <c r="C39" s="15">
        <v>7294</v>
      </c>
      <c r="D39" s="19">
        <v>7983</v>
      </c>
      <c r="E39" s="19">
        <v>8137</v>
      </c>
      <c r="F39" s="19">
        <v>6115</v>
      </c>
      <c r="G39" s="19">
        <v>6244</v>
      </c>
      <c r="H39" s="19">
        <v>5734</v>
      </c>
      <c r="I39" s="19">
        <v>5339</v>
      </c>
    </row>
    <row r="40" ht="11.25" customHeight="1" spans="1:9">
      <c r="A40" s="14" t="s">
        <v>32</v>
      </c>
      <c r="B40" s="15">
        <v>-11613</v>
      </c>
      <c r="C40" s="15">
        <v>-88975</v>
      </c>
      <c r="D40" s="19">
        <v>-50032</v>
      </c>
      <c r="E40" s="19">
        <v>-8932</v>
      </c>
      <c r="F40" s="19">
        <v>-16201</v>
      </c>
      <c r="G40" s="19">
        <f>-47008+228</f>
        <v>-46780</v>
      </c>
      <c r="H40" s="19">
        <v>-17187</v>
      </c>
      <c r="I40" s="19">
        <v>-18411</v>
      </c>
    </row>
    <row r="41" s="4" customFormat="1" ht="11.25" customHeight="1" spans="1:9">
      <c r="A41" s="24" t="s">
        <v>44</v>
      </c>
      <c r="B41" s="25">
        <v>-4055</v>
      </c>
      <c r="C41" s="25">
        <v>-74359</v>
      </c>
      <c r="D41" s="25">
        <v>-36808</v>
      </c>
      <c r="E41" s="25">
        <v>4653</v>
      </c>
      <c r="F41" s="25">
        <v>3556</v>
      </c>
      <c r="G41" s="25">
        <f>-35497+228</f>
        <v>-35269</v>
      </c>
      <c r="H41" s="25">
        <v>-6532</v>
      </c>
      <c r="I41" s="25">
        <v>-8256</v>
      </c>
    </row>
    <row r="42" s="4" customFormat="1" ht="11.25" customHeight="1" spans="1:9">
      <c r="A42" s="24" t="s">
        <v>45</v>
      </c>
      <c r="B42" s="25">
        <v>1951</v>
      </c>
      <c r="C42" s="25">
        <v>16506</v>
      </c>
      <c r="D42" s="25">
        <v>10887</v>
      </c>
      <c r="E42" s="25">
        <v>8455</v>
      </c>
      <c r="F42" s="25">
        <v>7044</v>
      </c>
      <c r="G42" s="25">
        <f>-25299+228</f>
        <v>-25071</v>
      </c>
      <c r="H42" s="25">
        <v>5568</v>
      </c>
      <c r="I42" s="25">
        <v>5632</v>
      </c>
    </row>
    <row r="43" s="4" customFormat="1" ht="11.25" customHeight="1" spans="1:9">
      <c r="A43" s="16" t="s">
        <v>46</v>
      </c>
      <c r="B43" s="17">
        <v>46772</v>
      </c>
      <c r="C43" s="17">
        <v>65017</v>
      </c>
      <c r="D43" s="17">
        <v>67846</v>
      </c>
      <c r="E43" s="17">
        <v>58270</v>
      </c>
      <c r="F43" s="17">
        <v>49200</v>
      </c>
      <c r="G43" s="17">
        <v>18600</v>
      </c>
      <c r="H43" s="17">
        <v>46400</v>
      </c>
      <c r="I43" s="17">
        <v>47000</v>
      </c>
    </row>
    <row r="44" ht="11.25" customHeight="1" spans="1:9">
      <c r="A44" s="34" t="s">
        <v>47</v>
      </c>
      <c r="B44" s="15">
        <v>17669</v>
      </c>
      <c r="C44" s="15">
        <v>18636</v>
      </c>
      <c r="D44" s="19">
        <v>19335</v>
      </c>
      <c r="E44" s="19">
        <v>20300</v>
      </c>
      <c r="F44" s="19">
        <v>21121</v>
      </c>
      <c r="G44" s="19">
        <v>22200</v>
      </c>
      <c r="H44" s="19">
        <v>23056</v>
      </c>
      <c r="I44" s="19">
        <v>23896</v>
      </c>
    </row>
    <row r="45" s="4" customFormat="1" ht="11.25" customHeight="1" spans="1:9">
      <c r="A45" s="24" t="s">
        <v>48</v>
      </c>
      <c r="B45" s="25">
        <v>29103</v>
      </c>
      <c r="C45" s="25">
        <v>46381</v>
      </c>
      <c r="D45" s="25">
        <v>48511</v>
      </c>
      <c r="E45" s="25">
        <v>37970</v>
      </c>
      <c r="F45" s="25">
        <v>28079</v>
      </c>
      <c r="G45" s="25">
        <v>-3600</v>
      </c>
      <c r="H45" s="25">
        <v>23400</v>
      </c>
      <c r="I45" s="25">
        <v>23100</v>
      </c>
    </row>
    <row r="46" s="4" customFormat="1" ht="12.95" customHeight="1" spans="1:9">
      <c r="A46" s="35" t="s">
        <v>49</v>
      </c>
      <c r="B46" s="36">
        <v>582937</v>
      </c>
      <c r="C46" s="36">
        <v>629745</v>
      </c>
      <c r="D46" s="36">
        <v>670150</v>
      </c>
      <c r="E46" s="36">
        <v>689634</v>
      </c>
      <c r="F46" s="36">
        <v>694888</v>
      </c>
      <c r="G46" s="36">
        <v>683400</v>
      </c>
      <c r="H46" s="36">
        <v>720000</v>
      </c>
      <c r="I46" s="36">
        <v>733500</v>
      </c>
    </row>
    <row r="47" ht="11.1" customHeight="1" spans="1:9">
      <c r="A47" s="37" t="s">
        <v>50</v>
      </c>
      <c r="B47" s="15" t="s">
        <v>16</v>
      </c>
      <c r="C47" s="15" t="s">
        <v>16</v>
      </c>
      <c r="D47" s="19" t="s">
        <v>16</v>
      </c>
      <c r="E47" s="19" t="s">
        <v>16</v>
      </c>
      <c r="F47" s="19" t="s">
        <v>16</v>
      </c>
      <c r="G47" s="19" t="s">
        <v>16</v>
      </c>
      <c r="H47" s="19" t="s">
        <v>16</v>
      </c>
      <c r="I47" s="19" t="s">
        <v>16</v>
      </c>
    </row>
    <row r="48" ht="11.1" customHeight="1" spans="1:9">
      <c r="A48" s="38" t="s">
        <v>51</v>
      </c>
      <c r="B48" s="15">
        <v>333142</v>
      </c>
      <c r="C48" s="15">
        <v>349396</v>
      </c>
      <c r="D48" s="15">
        <v>376288</v>
      </c>
      <c r="E48" s="15">
        <v>375061</v>
      </c>
      <c r="F48" s="15">
        <v>364015</v>
      </c>
      <c r="G48" s="15">
        <v>371000</v>
      </c>
      <c r="H48" s="15">
        <v>371100</v>
      </c>
      <c r="I48" s="15">
        <v>368300</v>
      </c>
    </row>
    <row r="49" ht="11.1" customHeight="1" spans="1:9">
      <c r="A49" s="38" t="s">
        <v>52</v>
      </c>
      <c r="B49" s="15">
        <v>224156</v>
      </c>
      <c r="C49" s="15">
        <v>361039</v>
      </c>
      <c r="D49" s="19">
        <v>264918</v>
      </c>
      <c r="E49" s="19">
        <v>170671</v>
      </c>
      <c r="F49" s="19">
        <v>254544</v>
      </c>
      <c r="G49" s="19">
        <v>284721</v>
      </c>
      <c r="H49" s="19">
        <v>274032</v>
      </c>
      <c r="I49" s="19">
        <v>281090</v>
      </c>
    </row>
    <row r="50" ht="11.1" customHeight="1" spans="1:9">
      <c r="A50" s="39" t="s">
        <v>53</v>
      </c>
      <c r="B50" s="40">
        <v>25639</v>
      </c>
      <c r="C50" s="40">
        <v>-80690</v>
      </c>
      <c r="D50" s="40">
        <v>28944</v>
      </c>
      <c r="E50" s="40">
        <v>143902</v>
      </c>
      <c r="F50" s="40">
        <v>76329</v>
      </c>
      <c r="G50" s="40">
        <v>27665</v>
      </c>
      <c r="H50" s="40">
        <v>74797</v>
      </c>
      <c r="I50" s="40">
        <v>83775</v>
      </c>
    </row>
    <row r="51" ht="11.25" customHeight="1" spans="1:9">
      <c r="A51" s="47" t="s">
        <v>54</v>
      </c>
      <c r="B51" s="41"/>
      <c r="C51" s="41"/>
      <c r="D51" s="41"/>
      <c r="E51" s="41"/>
      <c r="F51" s="41"/>
      <c r="G51" s="41"/>
      <c r="H51" s="41"/>
      <c r="I51" s="41"/>
    </row>
    <row r="52" ht="11.25" customHeight="1" spans="1:9">
      <c r="A52" s="42" t="s">
        <v>55</v>
      </c>
      <c r="B52" s="42"/>
      <c r="C52" s="42"/>
      <c r="D52" s="42"/>
      <c r="E52" s="42"/>
      <c r="F52" s="42"/>
      <c r="G52" s="42"/>
      <c r="H52" s="42"/>
      <c r="I52" s="42"/>
    </row>
    <row r="53" ht="11.25" customHeight="1" spans="1:9">
      <c r="A53" s="43" t="s">
        <v>56</v>
      </c>
      <c r="B53" s="43"/>
      <c r="C53" s="43"/>
      <c r="D53" s="43"/>
      <c r="E53" s="43"/>
      <c r="F53" s="43"/>
      <c r="G53" s="43"/>
      <c r="H53" s="43"/>
      <c r="I53" s="43"/>
    </row>
    <row r="54" ht="11.25" customHeight="1" spans="1:9">
      <c r="A54" s="48" t="s">
        <v>57</v>
      </c>
      <c r="B54" s="44"/>
      <c r="C54" s="44"/>
      <c r="D54" s="44"/>
      <c r="E54" s="44"/>
      <c r="F54" s="44"/>
      <c r="G54" s="44"/>
      <c r="H54" s="44"/>
      <c r="I54" s="44"/>
    </row>
    <row r="55" ht="11.25" customHeight="1" spans="1:9">
      <c r="A55" s="48" t="s">
        <v>58</v>
      </c>
      <c r="B55" s="44"/>
      <c r="C55" s="44"/>
      <c r="D55" s="44"/>
      <c r="E55" s="44"/>
      <c r="F55" s="44"/>
      <c r="G55" s="44"/>
      <c r="H55" s="44"/>
      <c r="I55" s="44"/>
    </row>
    <row r="56" ht="11.25" customHeight="1" spans="1:9">
      <c r="A56" s="43" t="s">
        <v>59</v>
      </c>
      <c r="B56" s="43"/>
      <c r="C56" s="43"/>
      <c r="D56" s="43"/>
      <c r="E56" s="43"/>
      <c r="F56" s="43"/>
      <c r="G56" s="43"/>
      <c r="H56" s="43"/>
      <c r="I56" s="43"/>
    </row>
    <row r="57" ht="15.6" spans="1:9">
      <c r="A57" s="5"/>
      <c r="B57" s="5"/>
      <c r="C57" s="5"/>
      <c r="D57" s="5"/>
      <c r="E57" s="5"/>
      <c r="F57" s="45" t="s">
        <v>16</v>
      </c>
      <c r="G57" s="45" t="s">
        <v>16</v>
      </c>
      <c r="H57" s="45" t="s">
        <v>16</v>
      </c>
      <c r="I57" s="45" t="s">
        <v>16</v>
      </c>
    </row>
    <row r="58" spans="1:9">
      <c r="A58" s="5"/>
      <c r="B58" s="5"/>
      <c r="C58" s="5"/>
      <c r="D58" s="5"/>
      <c r="E58" s="5"/>
      <c r="F58" s="46" t="s">
        <v>16</v>
      </c>
      <c r="G58" s="5"/>
      <c r="H58" s="5"/>
      <c r="I58" s="5"/>
    </row>
    <row r="59" spans="1:9">
      <c r="A59" s="5"/>
      <c r="B59" s="5"/>
      <c r="C59" s="5"/>
      <c r="D59" s="5"/>
      <c r="E59" s="5"/>
      <c r="F59" s="5"/>
      <c r="G59" s="5"/>
      <c r="H59" s="5"/>
      <c r="I59" s="5"/>
    </row>
    <row r="60" spans="1:9">
      <c r="A60" s="5"/>
      <c r="B60" s="5"/>
      <c r="C60" s="5"/>
      <c r="D60" s="5"/>
      <c r="E60" s="5"/>
      <c r="F60" s="5"/>
      <c r="G60" s="5"/>
      <c r="H60" s="5"/>
      <c r="I60" s="5"/>
    </row>
    <row r="61" spans="1:9">
      <c r="A61" s="5"/>
      <c r="B61" s="5"/>
      <c r="C61" s="5"/>
      <c r="D61" s="5"/>
      <c r="E61" s="5"/>
      <c r="F61" s="5"/>
      <c r="G61" s="5"/>
      <c r="H61" s="5"/>
      <c r="I61" s="5"/>
    </row>
    <row r="62" spans="1:9">
      <c r="A62" s="5"/>
      <c r="B62" s="5"/>
      <c r="C62" s="5"/>
      <c r="D62" s="5"/>
      <c r="E62" s="5"/>
      <c r="F62" s="5"/>
      <c r="G62" s="5"/>
      <c r="H62" s="5"/>
      <c r="I62" s="5"/>
    </row>
    <row r="63" spans="1:9">
      <c r="A63" s="5"/>
      <c r="B63" s="5"/>
      <c r="C63" s="5"/>
      <c r="D63" s="5"/>
      <c r="E63" s="5"/>
      <c r="F63" s="5"/>
      <c r="G63" s="5"/>
      <c r="H63" s="5"/>
      <c r="I63" s="5"/>
    </row>
    <row r="64" spans="1:9">
      <c r="A64" s="5"/>
      <c r="B64" s="5"/>
      <c r="C64" s="5"/>
      <c r="D64" s="5"/>
      <c r="E64" s="5"/>
      <c r="F64" s="5"/>
      <c r="G64" s="5"/>
      <c r="H64" s="5"/>
      <c r="I64" s="5"/>
    </row>
    <row r="65" spans="1:9">
      <c r="A65" s="5"/>
      <c r="B65" s="5"/>
      <c r="C65" s="5"/>
      <c r="D65" s="5"/>
      <c r="E65" s="5"/>
      <c r="F65" s="5"/>
      <c r="G65" s="5"/>
      <c r="H65" s="5"/>
      <c r="I65" s="5"/>
    </row>
    <row r="66" spans="1:9">
      <c r="A66" s="5"/>
      <c r="B66" s="5"/>
      <c r="C66" s="5"/>
      <c r="D66" s="5"/>
      <c r="E66" s="5"/>
      <c r="F66" s="5"/>
      <c r="G66" s="5"/>
      <c r="H66" s="5"/>
      <c r="I66" s="5"/>
    </row>
    <row r="67" spans="1:9">
      <c r="A67" s="5"/>
      <c r="B67" s="5"/>
      <c r="C67" s="5"/>
      <c r="D67" s="5"/>
      <c r="E67" s="5"/>
      <c r="F67" s="5"/>
      <c r="G67" s="5"/>
      <c r="H67" s="5"/>
      <c r="I67" s="5"/>
    </row>
    <row r="68" spans="1:9">
      <c r="A68" s="5"/>
      <c r="B68" s="5"/>
      <c r="C68" s="5"/>
      <c r="D68" s="5"/>
      <c r="E68" s="5"/>
      <c r="F68" s="5"/>
      <c r="G68" s="5"/>
      <c r="H68" s="5"/>
      <c r="I68" s="5"/>
    </row>
    <row r="69" spans="1:9">
      <c r="A69" s="5"/>
      <c r="B69" s="5"/>
      <c r="C69" s="5"/>
      <c r="D69" s="5"/>
      <c r="E69" s="5"/>
      <c r="F69" s="5"/>
      <c r="G69" s="5"/>
      <c r="H69" s="5"/>
      <c r="I69" s="5"/>
    </row>
    <row r="70" spans="1:9">
      <c r="A70" s="5"/>
      <c r="B70" s="5"/>
      <c r="C70" s="5"/>
      <c r="D70" s="5"/>
      <c r="E70" s="5"/>
      <c r="F70" s="5"/>
      <c r="G70" s="5"/>
      <c r="H70" s="5"/>
      <c r="I70" s="5"/>
    </row>
  </sheetData>
  <mergeCells count="6">
    <mergeCell ref="A51:I51"/>
    <mergeCell ref="A52:I52"/>
    <mergeCell ref="A53:I53"/>
    <mergeCell ref="A54:I54"/>
    <mergeCell ref="A55:I55"/>
    <mergeCell ref="A56:I56"/>
  </mergeCells>
  <pageMargins left="0.984251968503937" right="0.984251968503937" top="0.984251968503937" bottom="0.984251968503937" header="0.511811023622047" footer="0.511811023622047"/>
  <pageSetup paperSize="9" fitToHeight="2" orientation="landscape"/>
  <headerFooter alignWithMargins="0"/>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1.1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heyijing</dc:creator>
  <cp:lastModifiedBy>吴鹏佐</cp:lastModifiedBy>
  <dcterms:created xsi:type="dcterms:W3CDTF">2025-01-17T23:44:00Z</dcterms:created>
  <dcterms:modified xsi:type="dcterms:W3CDTF">2025-01-18T01:44:38Z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9DA4AE82DA88736F109A89678CA8F0C6_43</vt:lpwstr>
  </property>
  <property fmtid="{D5CDD505-2E9C-101B-9397-08002B2CF9AE}" pid="3" name="KSOProductBuildVer">
    <vt:lpwstr>2052-12.1.0.19302</vt:lpwstr>
  </property>
</Properties>
</file>