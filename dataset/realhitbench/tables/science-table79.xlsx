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<sst xmlns="http://schemas.openxmlformats.org/spreadsheetml/2006/main" count="16" uniqueCount="14">
  <si>
    <t>MFI fold change</t>
  </si>
  <si>
    <t>Expt1</t>
  </si>
  <si>
    <t>Expt2</t>
  </si>
  <si>
    <t>Expt3</t>
  </si>
  <si>
    <t xml:space="preserve">mean </t>
  </si>
  <si>
    <t>SD</t>
  </si>
  <si>
    <t>Uninf</t>
  </si>
  <si>
    <t>DC- siRNA -TNF</t>
  </si>
  <si>
    <t>DC- siRNA + TNF</t>
  </si>
  <si>
    <t>LDPm (24h)</t>
  </si>
  <si>
    <t>DC + Ctrl siRNA - TNF</t>
  </si>
  <si>
    <t>DC + Ctrl siRNA + TNF</t>
  </si>
  <si>
    <t>DC + SHP1 siRNA -TNF</t>
  </si>
  <si>
    <t>DC + SHP1 siRNA + TNF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</si>
</sst>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9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10" applyNumberFormat="0" applyFill="0" applyAlignment="0" applyProtection="0">
      <alignment vertical="center"/>
    </xf>
    <xf numFmtId="0" fontId="8" fillId="0" borderId="10" applyNumberFormat="0" applyFill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12" applyNumberFormat="0" applyAlignment="0" applyProtection="0">
      <alignment vertical="center"/>
    </xf>
    <xf numFmtId="0" fontId="11" fillId="4" borderId="13" applyNumberFormat="0" applyAlignment="0" applyProtection="0">
      <alignment vertical="center"/>
    </xf>
    <xf numFmtId="0" fontId="12" fillId="4" borderId="12" applyNumberFormat="0" applyAlignment="0" applyProtection="0">
      <alignment vertical="center"/>
    </xf>
    <xf numFmtId="0" fontId="13" fillId="5" borderId="14" applyNumberFormat="0" applyAlignment="0" applyProtection="0">
      <alignment vertical="center"/>
    </xf>
    <xf numFmtId="0" fontId="14" fillId="0" borderId="15" applyNumberFormat="0" applyFill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0" fillId="0" borderId="1" xfId="0" applyFill="1" applyBorder="1" applyAlignment="1"/>
    <xf numFmtId="0" fontId="1" fillId="0" borderId="2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1" fillId="0" borderId="3" xfId="0" applyFont="1" applyFill="1" applyBorder="1" applyAlignment="1">
      <alignment horizontal="center"/>
    </xf>
    <xf numFmtId="0" fontId="0" fillId="0" borderId="3" xfId="0" applyFill="1" applyBorder="1" applyAlignment="1"/>
    <xf numFmtId="0" fontId="0" fillId="0" borderId="0" xfId="0" applyFill="1" applyBorder="1" applyAlignment="1"/>
    <xf numFmtId="0" fontId="1" fillId="0" borderId="4" xfId="0" applyFont="1" applyFill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1" fillId="0" borderId="5" xfId="0" applyFont="1" applyFill="1" applyBorder="1" applyAlignment="1">
      <alignment horizontal="center"/>
    </xf>
    <xf numFmtId="0" fontId="0" fillId="0" borderId="1" xfId="0" applyFill="1" applyBorder="1" applyAlignment="1">
      <alignment horizontal="center" vertical="center"/>
    </xf>
    <xf numFmtId="0" fontId="0" fillId="0" borderId="2" xfId="0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3" xfId="0" applyFill="1" applyBorder="1" applyAlignment="1">
      <alignment horizontal="center"/>
    </xf>
    <xf numFmtId="0" fontId="0" fillId="0" borderId="6" xfId="0" applyFill="1" applyBorder="1" applyAlignment="1">
      <alignment horizontal="center" vertical="center"/>
    </xf>
    <xf numFmtId="0" fontId="0" fillId="0" borderId="6" xfId="0" applyFill="1" applyBorder="1" applyAlignment="1"/>
    <xf numFmtId="0" fontId="0" fillId="0" borderId="7" xfId="0" applyFill="1" applyBorder="1" applyAlignment="1">
      <alignment horizontal="center"/>
    </xf>
    <xf numFmtId="0" fontId="0" fillId="0" borderId="6" xfId="0" applyFill="1" applyBorder="1" applyAlignment="1">
      <alignment horizontal="center"/>
    </xf>
    <xf numFmtId="0" fontId="0" fillId="0" borderId="8" xfId="0" applyFill="1" applyBorder="1" applyAlignment="1">
      <alignment horizontal="center"/>
    </xf>
    <xf numFmtId="0" fontId="0" fillId="0" borderId="0" xfId="0" applyFill="1" applyBorder="1" applyAlignment="1">
      <alignment horizontal="center" vertical="center"/>
    </xf>
    <xf numFmtId="0" fontId="0" fillId="0" borderId="4" xfId="0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5" xfId="0" applyFill="1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"/>
  <sheetViews>
    <sheetView tabSelected="1" workbookViewId="0">
      <selection activeCell="J15" sqref="J15"/>
    </sheetView>
  </sheetViews>
  <sheetFormatPr defaultColWidth="8.72727272727273" defaultRowHeight="14" outlineLevelCol="6"/>
  <cols>
    <col min="1" max="1" width="11.8181818181818" customWidth="1"/>
    <col min="2" max="2" width="24.1818181818182" customWidth="1"/>
    <col min="3" max="7" width="12.8181818181818" customWidth="1"/>
  </cols>
  <sheetData>
    <row r="1" spans="1:7">
      <c r="A1" s="1"/>
      <c r="B1" s="1"/>
      <c r="C1" s="2" t="s">
        <v>0</v>
      </c>
      <c r="D1" s="3"/>
      <c r="E1" s="4"/>
      <c r="F1" s="1"/>
      <c r="G1" s="5"/>
    </row>
    <row r="2" spans="1:7">
      <c r="A2" s="6"/>
      <c r="B2" s="6"/>
      <c r="C2" s="7" t="s">
        <v>1</v>
      </c>
      <c r="D2" s="8" t="s">
        <v>2</v>
      </c>
      <c r="E2" s="9" t="s">
        <v>3</v>
      </c>
      <c r="F2" s="8" t="s">
        <v>4</v>
      </c>
      <c r="G2" s="9" t="s">
        <v>5</v>
      </c>
    </row>
    <row r="3" spans="1:7">
      <c r="A3" s="10" t="s">
        <v>6</v>
      </c>
      <c r="B3" s="1" t="s">
        <v>7</v>
      </c>
      <c r="C3" s="11">
        <v>1</v>
      </c>
      <c r="D3" s="12">
        <v>1</v>
      </c>
      <c r="E3" s="13">
        <v>1</v>
      </c>
      <c r="F3" s="12">
        <f t="shared" ref="F3:F10" si="0">AVERAGE(C3:E3)</f>
        <v>1</v>
      </c>
      <c r="G3" s="13">
        <f t="shared" ref="G3:G10" si="1">STDEV(C3:E3)</f>
        <v>0</v>
      </c>
    </row>
    <row r="4" spans="1:7">
      <c r="A4" s="14"/>
      <c r="B4" s="15" t="s">
        <v>8</v>
      </c>
      <c r="C4" s="16">
        <v>7.99182242990654</v>
      </c>
      <c r="D4" s="17">
        <v>7.42532221379833</v>
      </c>
      <c r="E4" s="18">
        <v>8.69688269073011</v>
      </c>
      <c r="F4" s="17">
        <f t="shared" si="0"/>
        <v>8.03800911147833</v>
      </c>
      <c r="G4" s="18">
        <f t="shared" si="1"/>
        <v>0.637037219312737</v>
      </c>
    </row>
    <row r="5" spans="1:7">
      <c r="A5" s="19" t="s">
        <v>9</v>
      </c>
      <c r="B5" s="6" t="s">
        <v>7</v>
      </c>
      <c r="C5" s="20">
        <v>0.855140186915888</v>
      </c>
      <c r="D5" s="21">
        <v>1.37755875663381</v>
      </c>
      <c r="E5" s="22">
        <v>0.221082854799016</v>
      </c>
      <c r="F5" s="21">
        <f t="shared" si="0"/>
        <v>0.817927266116238</v>
      </c>
      <c r="G5" s="22">
        <f t="shared" si="1"/>
        <v>0.57913532873326</v>
      </c>
    </row>
    <row r="6" spans="1:7">
      <c r="A6" s="19"/>
      <c r="B6" s="6" t="s">
        <v>8</v>
      </c>
      <c r="C6" s="20">
        <v>6.63084112149533</v>
      </c>
      <c r="D6" s="21">
        <v>2.6702047005307</v>
      </c>
      <c r="E6" s="22">
        <v>2.20754716981132</v>
      </c>
      <c r="F6" s="21">
        <f t="shared" si="0"/>
        <v>3.83619766394578</v>
      </c>
      <c r="G6" s="22">
        <f t="shared" si="1"/>
        <v>2.43126243725378</v>
      </c>
    </row>
    <row r="7" spans="1:7">
      <c r="A7" s="19"/>
      <c r="B7" s="6" t="s">
        <v>10</v>
      </c>
      <c r="C7" s="20">
        <v>0.992990654205608</v>
      </c>
      <c r="D7" s="21">
        <v>1.73085670962851</v>
      </c>
      <c r="E7" s="22">
        <v>0.410172272354389</v>
      </c>
      <c r="F7" s="21">
        <f t="shared" si="0"/>
        <v>1.04467321206284</v>
      </c>
      <c r="G7" s="22">
        <f t="shared" si="1"/>
        <v>0.66185735684097</v>
      </c>
    </row>
    <row r="8" spans="1:7">
      <c r="A8" s="19"/>
      <c r="B8" s="6" t="s">
        <v>11</v>
      </c>
      <c r="C8" s="20">
        <v>4.99065420560748</v>
      </c>
      <c r="D8" s="21">
        <v>2.74298711144807</v>
      </c>
      <c r="E8" s="22">
        <v>1.91140278917145</v>
      </c>
      <c r="F8" s="21">
        <f t="shared" si="0"/>
        <v>3.21501470207567</v>
      </c>
      <c r="G8" s="22">
        <f t="shared" si="1"/>
        <v>1.59297045049213</v>
      </c>
    </row>
    <row r="9" spans="1:7">
      <c r="A9" s="19"/>
      <c r="B9" s="6" t="s">
        <v>12</v>
      </c>
      <c r="C9" s="20">
        <v>0.342289719626168</v>
      </c>
      <c r="D9" s="21">
        <v>1.87945413191812</v>
      </c>
      <c r="E9" s="22">
        <v>0.0594749794913864</v>
      </c>
      <c r="F9" s="21">
        <f t="shared" si="0"/>
        <v>0.760406277011891</v>
      </c>
      <c r="G9" s="22">
        <f t="shared" si="1"/>
        <v>0.979386093676569</v>
      </c>
    </row>
    <row r="10" spans="1:7">
      <c r="A10" s="14"/>
      <c r="B10" s="15" t="s">
        <v>13</v>
      </c>
      <c r="C10" s="16">
        <v>8.48481308411215</v>
      </c>
      <c r="D10" s="17">
        <v>9.67702805155421</v>
      </c>
      <c r="E10" s="18">
        <v>9.16611977030353</v>
      </c>
      <c r="F10" s="17">
        <f t="shared" si="0"/>
        <v>9.10932030198996</v>
      </c>
      <c r="G10" s="18">
        <f t="shared" si="1"/>
        <v>0.598133569404649</v>
      </c>
    </row>
  </sheetData>
  <mergeCells count="3">
    <mergeCell ref="C1:E1"/>
    <mergeCell ref="A3:A4"/>
    <mergeCell ref="A5:A10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祝广程</cp:lastModifiedBy>
  <dcterms:created xsi:type="dcterms:W3CDTF">2025-01-16T05:28:04Z</dcterms:created>
  <dcterms:modified xsi:type="dcterms:W3CDTF">2025-01-16T06:51:56Z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6CAA2FEDF5094A51BE432E481D1CFEAC_11</vt:lpwstr>
  </property>
  <property fmtid="{D5CDD505-2E9C-101B-9397-08002B2CF9AE}" pid="3" name="KSOProductBuildVer">
    <vt:lpwstr>2052-12.1.0.19302</vt:lpwstr>
  </property>
</Properties>
</file>