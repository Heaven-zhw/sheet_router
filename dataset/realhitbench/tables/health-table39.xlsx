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2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<sst xmlns="http://schemas.openxmlformats.org/spreadsheetml/2006/main" count="82" uniqueCount="20">
  <si>
    <t>Immunoblot</t>
  </si>
  <si>
    <t>Expt-1</t>
  </si>
  <si>
    <t>Runx1</t>
  </si>
  <si>
    <t>Runx3</t>
  </si>
  <si>
    <t>b-actin</t>
  </si>
  <si>
    <t>Runx1/b-actin</t>
  </si>
  <si>
    <t>Runx3/b-actin</t>
  </si>
  <si>
    <t>Area</t>
  </si>
  <si>
    <t>Intensity</t>
  </si>
  <si>
    <t>Intensity/Area</t>
  </si>
  <si>
    <t>Set1</t>
  </si>
  <si>
    <t>Uninf</t>
  </si>
  <si>
    <t xml:space="preserve">DC- SAG </t>
  </si>
  <si>
    <t>Set2</t>
  </si>
  <si>
    <t>DC + SAG</t>
  </si>
  <si>
    <t>Set3</t>
  </si>
  <si>
    <t>LDPm 24h</t>
  </si>
  <si>
    <t>Set4</t>
  </si>
  <si>
    <t>Expt-2</t>
  </si>
  <si>
    <t>Expt-3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</si>
</sst>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6"/>
      <color rgb="FFFF0000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9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0" applyNumberFormat="0" applyFill="0" applyAlignment="0" applyProtection="0">
      <alignment vertical="center"/>
    </xf>
    <xf numFmtId="0" fontId="10" fillId="0" borderId="10" applyNumberFormat="0" applyFill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12" applyNumberFormat="0" applyAlignment="0" applyProtection="0">
      <alignment vertical="center"/>
    </xf>
    <xf numFmtId="0" fontId="13" fillId="4" borderId="13" applyNumberFormat="0" applyAlignment="0" applyProtection="0">
      <alignment vertical="center"/>
    </xf>
    <xf numFmtId="0" fontId="14" fillId="4" borderId="12" applyNumberFormat="0" applyAlignment="0" applyProtection="0">
      <alignment vertical="center"/>
    </xf>
    <xf numFmtId="0" fontId="15" fillId="5" borderId="14" applyNumberFormat="0" applyAlignment="0" applyProtection="0">
      <alignment vertical="center"/>
    </xf>
    <xf numFmtId="0" fontId="16" fillId="0" borderId="15" applyNumberFormat="0" applyFill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1" fillId="0" borderId="0" xfId="0" applyFont="1" applyFill="1" applyAlignment="1"/>
    <xf numFmtId="0" fontId="0" fillId="0" borderId="0" xfId="0" applyFill="1" applyAlignment="1"/>
    <xf numFmtId="0" fontId="2" fillId="0" borderId="0" xfId="0" applyFont="1" applyFill="1" applyAlignment="1">
      <alignment horizontal="center"/>
    </xf>
    <xf numFmtId="0" fontId="0" fillId="0" borderId="1" xfId="0" applyFill="1" applyBorder="1" applyAlignment="1"/>
    <xf numFmtId="0" fontId="0" fillId="0" borderId="2" xfId="0" applyFill="1" applyBorder="1" applyAlignment="1"/>
    <xf numFmtId="0" fontId="3" fillId="0" borderId="1" xfId="0" applyFont="1" applyFill="1" applyBorder="1" applyAlignment="1">
      <alignment horizontal="center"/>
    </xf>
    <xf numFmtId="0" fontId="3" fillId="0" borderId="2" xfId="0" applyFont="1" applyFill="1" applyBorder="1" applyAlignment="1">
      <alignment horizontal="center"/>
    </xf>
    <xf numFmtId="0" fontId="3" fillId="0" borderId="3" xfId="0" applyFont="1" applyFill="1" applyBorder="1" applyAlignment="1">
      <alignment horizontal="center"/>
    </xf>
    <xf numFmtId="0" fontId="0" fillId="0" borderId="4" xfId="0" applyFill="1" applyBorder="1" applyAlignment="1"/>
    <xf numFmtId="0" fontId="0" fillId="0" borderId="0" xfId="0" applyFill="1" applyBorder="1" applyAlignment="1"/>
    <xf numFmtId="0" fontId="0" fillId="0" borderId="4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5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0" borderId="6" xfId="0" applyFill="1" applyBorder="1" applyAlignment="1"/>
    <xf numFmtId="0" fontId="0" fillId="0" borderId="7" xfId="0" applyFill="1" applyBorder="1" applyAlignment="1"/>
    <xf numFmtId="0" fontId="0" fillId="0" borderId="6" xfId="0" applyFill="1" applyBorder="1" applyAlignment="1">
      <alignment horizontal="center"/>
    </xf>
    <xf numFmtId="0" fontId="0" fillId="0" borderId="7" xfId="0" applyFill="1" applyBorder="1" applyAlignment="1">
      <alignment horizontal="center"/>
    </xf>
    <xf numFmtId="0" fontId="0" fillId="0" borderId="8" xfId="0" applyFill="1" applyBorder="1" applyAlignment="1">
      <alignment horizontal="center"/>
    </xf>
    <xf numFmtId="17" fontId="3" fillId="0" borderId="1" xfId="0" applyNumberFormat="1" applyFont="1" applyFill="1" applyBorder="1" applyAlignment="1">
      <alignment horizontal="center"/>
    </xf>
    <xf numFmtId="17" fontId="3" fillId="0" borderId="2" xfId="0" applyNumberFormat="1" applyFont="1" applyFill="1" applyBorder="1" applyAlignment="1">
      <alignment horizontal="center"/>
    </xf>
    <xf numFmtId="17" fontId="3" fillId="0" borderId="3" xfId="0" applyNumberFormat="1" applyFont="1" applyFill="1" applyBorder="1" applyAlignment="1">
      <alignment horizontal="center"/>
    </xf>
    <xf numFmtId="17" fontId="3" fillId="0" borderId="2" xfId="0" applyNumberFormat="1" applyFont="1" applyFill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4"/>
  <sheetViews>
    <sheetView tabSelected="1" workbookViewId="0">
      <selection activeCell="R12" sqref="R12"/>
    </sheetView>
  </sheetViews>
  <sheetFormatPr defaultColWidth="8.72727272727273" defaultRowHeight="14"/>
  <cols>
    <col min="5" max="5" width="10.1818181818182" customWidth="1"/>
    <col min="6" max="6" width="17.1818181818182" customWidth="1"/>
    <col min="7" max="7" width="23.1818181818182" customWidth="1"/>
    <col min="9" max="9" width="11.2727272727273" customWidth="1"/>
    <col min="10" max="10" width="17.1818181818182" customWidth="1"/>
    <col min="13" max="13" width="9.81818181818182" customWidth="1"/>
    <col min="14" max="14" width="16.4545454545455" customWidth="1"/>
    <col min="15" max="15" width="18.3636363636364" customWidth="1"/>
    <col min="16" max="16" width="17.8181818181818" customWidth="1"/>
  </cols>
  <sheetData>
    <row r="1" ht="21" spans="1:16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>
      <c r="A3" s="4"/>
      <c r="B3" s="5"/>
      <c r="C3" s="5"/>
      <c r="D3" s="6" t="s">
        <v>2</v>
      </c>
      <c r="E3" s="7"/>
      <c r="F3" s="8"/>
      <c r="G3" s="5"/>
      <c r="H3" s="6" t="s">
        <v>3</v>
      </c>
      <c r="I3" s="7"/>
      <c r="J3" s="8"/>
      <c r="K3" s="5"/>
      <c r="L3" s="22" t="s">
        <v>4</v>
      </c>
      <c r="M3" s="23"/>
      <c r="N3" s="24"/>
      <c r="O3" s="7" t="s">
        <v>5</v>
      </c>
      <c r="P3" s="8" t="s">
        <v>6</v>
      </c>
    </row>
    <row r="4" spans="1:16">
      <c r="A4" s="9"/>
      <c r="B4" s="10"/>
      <c r="C4" s="10"/>
      <c r="D4" s="11" t="s">
        <v>7</v>
      </c>
      <c r="E4" s="12" t="s">
        <v>8</v>
      </c>
      <c r="F4" s="13" t="s">
        <v>9</v>
      </c>
      <c r="G4" s="12"/>
      <c r="H4" s="11" t="s">
        <v>7</v>
      </c>
      <c r="I4" s="12" t="s">
        <v>8</v>
      </c>
      <c r="J4" s="13" t="s">
        <v>9</v>
      </c>
      <c r="K4" s="12"/>
      <c r="L4" s="11" t="s">
        <v>7</v>
      </c>
      <c r="M4" s="12" t="s">
        <v>8</v>
      </c>
      <c r="N4" s="13" t="s">
        <v>9</v>
      </c>
      <c r="O4" s="12"/>
      <c r="P4" s="13"/>
    </row>
    <row r="5" spans="1:16">
      <c r="A5" s="4" t="s">
        <v>10</v>
      </c>
      <c r="B5" s="5" t="s">
        <v>11</v>
      </c>
      <c r="C5" s="5" t="s">
        <v>12</v>
      </c>
      <c r="D5" s="14">
        <v>0.02</v>
      </c>
      <c r="E5" s="15">
        <v>87.79</v>
      </c>
      <c r="F5" s="16">
        <f t="shared" ref="F5:F8" si="0">(E5/D5)</f>
        <v>4389.5</v>
      </c>
      <c r="G5" s="15"/>
      <c r="H5" s="14">
        <v>0.03</v>
      </c>
      <c r="I5" s="15">
        <v>118.94</v>
      </c>
      <c r="J5" s="16">
        <f t="shared" ref="J5:J8" si="1">I5/H5</f>
        <v>3964.66666666667</v>
      </c>
      <c r="K5" s="15"/>
      <c r="L5" s="14">
        <v>0.02</v>
      </c>
      <c r="M5" s="15">
        <v>91.99</v>
      </c>
      <c r="N5" s="16">
        <f t="shared" ref="N5:N8" si="2">(M5/L5)</f>
        <v>4599.5</v>
      </c>
      <c r="O5" s="15">
        <f t="shared" ref="O5:O8" si="3">(F5/N5)</f>
        <v>0.954342863354713</v>
      </c>
      <c r="P5" s="16">
        <f t="shared" ref="P5:P8" si="4">J5/N5</f>
        <v>0.861977751204841</v>
      </c>
    </row>
    <row r="6" spans="1:16">
      <c r="A6" s="17" t="s">
        <v>13</v>
      </c>
      <c r="B6" s="18" t="s">
        <v>11</v>
      </c>
      <c r="C6" s="18" t="s">
        <v>14</v>
      </c>
      <c r="D6" s="19">
        <v>0.02</v>
      </c>
      <c r="E6" s="20">
        <v>88.22</v>
      </c>
      <c r="F6" s="21">
        <f t="shared" si="0"/>
        <v>4411</v>
      </c>
      <c r="G6" s="20"/>
      <c r="H6" s="19">
        <v>0.03</v>
      </c>
      <c r="I6" s="20">
        <v>127.38</v>
      </c>
      <c r="J6" s="21">
        <f t="shared" si="1"/>
        <v>4246</v>
      </c>
      <c r="K6" s="20"/>
      <c r="L6" s="19">
        <v>0.02</v>
      </c>
      <c r="M6" s="20">
        <v>96.08</v>
      </c>
      <c r="N6" s="21">
        <f t="shared" si="2"/>
        <v>4804</v>
      </c>
      <c r="O6" s="20">
        <f t="shared" si="3"/>
        <v>0.91819317235637</v>
      </c>
      <c r="P6" s="21">
        <f t="shared" si="4"/>
        <v>0.883846794338052</v>
      </c>
    </row>
    <row r="7" spans="1:16">
      <c r="A7" s="9" t="s">
        <v>15</v>
      </c>
      <c r="B7" s="10" t="s">
        <v>16</v>
      </c>
      <c r="C7" s="5" t="s">
        <v>12</v>
      </c>
      <c r="D7" s="11">
        <v>0.02</v>
      </c>
      <c r="E7" s="12">
        <v>90.63</v>
      </c>
      <c r="F7" s="13">
        <f t="shared" si="0"/>
        <v>4531.5</v>
      </c>
      <c r="G7" s="12"/>
      <c r="H7" s="11">
        <v>0.03</v>
      </c>
      <c r="I7" s="12">
        <v>132</v>
      </c>
      <c r="J7" s="13">
        <f t="shared" si="1"/>
        <v>4400</v>
      </c>
      <c r="K7" s="12"/>
      <c r="L7" s="11">
        <v>0.02</v>
      </c>
      <c r="M7" s="12">
        <v>85.93</v>
      </c>
      <c r="N7" s="13">
        <f t="shared" si="2"/>
        <v>4296.5</v>
      </c>
      <c r="O7" s="12">
        <f t="shared" si="3"/>
        <v>1.05469568253229</v>
      </c>
      <c r="P7" s="13">
        <f t="shared" si="4"/>
        <v>1.02408937507273</v>
      </c>
    </row>
    <row r="8" spans="1:16">
      <c r="A8" s="17" t="s">
        <v>17</v>
      </c>
      <c r="B8" s="18" t="s">
        <v>16</v>
      </c>
      <c r="C8" s="18" t="s">
        <v>14</v>
      </c>
      <c r="D8" s="19">
        <v>0.02</v>
      </c>
      <c r="E8" s="20">
        <v>81.86</v>
      </c>
      <c r="F8" s="21">
        <f t="shared" si="0"/>
        <v>4093</v>
      </c>
      <c r="G8" s="20"/>
      <c r="H8" s="19">
        <v>0.03</v>
      </c>
      <c r="I8" s="20">
        <v>138.83</v>
      </c>
      <c r="J8" s="21">
        <f t="shared" si="1"/>
        <v>4627.66666666667</v>
      </c>
      <c r="K8" s="20"/>
      <c r="L8" s="19">
        <v>0.02</v>
      </c>
      <c r="M8" s="20">
        <v>87.83</v>
      </c>
      <c r="N8" s="21">
        <f t="shared" si="2"/>
        <v>4391.5</v>
      </c>
      <c r="O8" s="20">
        <f t="shared" si="3"/>
        <v>0.932027780940453</v>
      </c>
      <c r="P8" s="21">
        <f t="shared" si="4"/>
        <v>1.05377813199742</v>
      </c>
    </row>
    <row r="10" spans="1:16">
      <c r="A10" s="3" t="s">
        <v>18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</row>
    <row r="11" spans="1:16">
      <c r="A11" s="4"/>
      <c r="B11" s="5"/>
      <c r="C11" s="5"/>
      <c r="D11" s="6" t="s">
        <v>2</v>
      </c>
      <c r="E11" s="7"/>
      <c r="F11" s="8"/>
      <c r="G11" s="5"/>
      <c r="H11" s="6" t="s">
        <v>3</v>
      </c>
      <c r="I11" s="7"/>
      <c r="J11" s="8"/>
      <c r="K11" s="5"/>
      <c r="L11" s="22" t="s">
        <v>4</v>
      </c>
      <c r="M11" s="23"/>
      <c r="N11" s="24"/>
      <c r="O11" s="7" t="s">
        <v>5</v>
      </c>
      <c r="P11" s="8" t="s">
        <v>6</v>
      </c>
    </row>
    <row r="12" spans="1:16">
      <c r="A12" s="9"/>
      <c r="B12" s="10"/>
      <c r="C12" s="10"/>
      <c r="D12" s="11" t="s">
        <v>7</v>
      </c>
      <c r="E12" s="12" t="s">
        <v>8</v>
      </c>
      <c r="F12" s="13" t="s">
        <v>9</v>
      </c>
      <c r="G12" s="10"/>
      <c r="H12" s="11" t="s">
        <v>7</v>
      </c>
      <c r="I12" s="12" t="s">
        <v>8</v>
      </c>
      <c r="J12" s="13" t="s">
        <v>9</v>
      </c>
      <c r="K12" s="10"/>
      <c r="L12" s="11" t="s">
        <v>7</v>
      </c>
      <c r="M12" s="12" t="s">
        <v>8</v>
      </c>
      <c r="N12" s="13" t="s">
        <v>9</v>
      </c>
      <c r="O12" s="12"/>
      <c r="P12" s="13"/>
    </row>
    <row r="13" spans="1:16">
      <c r="A13" s="4" t="s">
        <v>10</v>
      </c>
      <c r="B13" s="5" t="s">
        <v>11</v>
      </c>
      <c r="C13" s="5" t="s">
        <v>12</v>
      </c>
      <c r="D13" s="14">
        <v>0.01</v>
      </c>
      <c r="E13" s="15">
        <v>68.93</v>
      </c>
      <c r="F13" s="16">
        <f t="shared" ref="F13:F16" si="5">(E13/D13)</f>
        <v>6893</v>
      </c>
      <c r="G13" s="5"/>
      <c r="H13" s="14">
        <v>0.12</v>
      </c>
      <c r="I13" s="15">
        <v>143.62</v>
      </c>
      <c r="J13" s="16">
        <f t="shared" ref="J13:J16" si="6">I13/H13</f>
        <v>1196.83333333333</v>
      </c>
      <c r="K13" s="5"/>
      <c r="L13" s="14">
        <v>0.01</v>
      </c>
      <c r="M13" s="15">
        <v>67.11</v>
      </c>
      <c r="N13" s="16">
        <f t="shared" ref="N13:N16" si="7">(M13/L13)</f>
        <v>6711</v>
      </c>
      <c r="O13" s="15">
        <f t="shared" ref="O13:O16" si="8">(F13/N13)</f>
        <v>1.02711965429891</v>
      </c>
      <c r="P13" s="16">
        <f t="shared" ref="P13:P16" si="9">J13/N13</f>
        <v>0.178339045348433</v>
      </c>
    </row>
    <row r="14" spans="1:16">
      <c r="A14" s="17" t="s">
        <v>13</v>
      </c>
      <c r="B14" s="18" t="s">
        <v>11</v>
      </c>
      <c r="C14" s="18" t="s">
        <v>14</v>
      </c>
      <c r="D14" s="19">
        <v>0.01</v>
      </c>
      <c r="E14" s="20">
        <v>64.06</v>
      </c>
      <c r="F14" s="21">
        <f t="shared" si="5"/>
        <v>6406</v>
      </c>
      <c r="G14" s="18"/>
      <c r="H14" s="19">
        <v>0.12</v>
      </c>
      <c r="I14" s="20">
        <v>156.74</v>
      </c>
      <c r="J14" s="21">
        <f t="shared" si="6"/>
        <v>1306.16666666667</v>
      </c>
      <c r="K14" s="18"/>
      <c r="L14" s="19">
        <v>0.01</v>
      </c>
      <c r="M14" s="20">
        <v>64.58</v>
      </c>
      <c r="N14" s="21">
        <f t="shared" si="7"/>
        <v>6458</v>
      </c>
      <c r="O14" s="20">
        <f t="shared" si="8"/>
        <v>0.991947971508207</v>
      </c>
      <c r="P14" s="21">
        <f t="shared" si="9"/>
        <v>0.202255600289047</v>
      </c>
    </row>
    <row r="15" spans="1:16">
      <c r="A15" s="9" t="s">
        <v>15</v>
      </c>
      <c r="B15" s="10" t="s">
        <v>16</v>
      </c>
      <c r="C15" s="5" t="s">
        <v>12</v>
      </c>
      <c r="D15" s="11">
        <v>0.01</v>
      </c>
      <c r="E15" s="12">
        <v>68.22</v>
      </c>
      <c r="F15" s="13">
        <f t="shared" si="5"/>
        <v>6822</v>
      </c>
      <c r="G15" s="10"/>
      <c r="H15" s="11">
        <v>0.12</v>
      </c>
      <c r="I15" s="12">
        <v>162.24</v>
      </c>
      <c r="J15" s="13">
        <f t="shared" si="6"/>
        <v>1352</v>
      </c>
      <c r="K15" s="10"/>
      <c r="L15" s="11">
        <v>0.01</v>
      </c>
      <c r="M15" s="12">
        <v>66.61</v>
      </c>
      <c r="N15" s="13">
        <f t="shared" si="7"/>
        <v>6661</v>
      </c>
      <c r="O15" s="12">
        <f t="shared" si="8"/>
        <v>1.02417054496322</v>
      </c>
      <c r="P15" s="13">
        <f t="shared" si="9"/>
        <v>0.202972526647651</v>
      </c>
    </row>
    <row r="16" spans="1:16">
      <c r="A16" s="17" t="s">
        <v>17</v>
      </c>
      <c r="B16" s="18" t="s">
        <v>16</v>
      </c>
      <c r="C16" s="18" t="s">
        <v>14</v>
      </c>
      <c r="D16" s="19">
        <v>0.01</v>
      </c>
      <c r="E16" s="20">
        <v>77.9</v>
      </c>
      <c r="F16" s="21">
        <f t="shared" si="5"/>
        <v>7790</v>
      </c>
      <c r="G16" s="18"/>
      <c r="H16" s="19">
        <v>0.12</v>
      </c>
      <c r="I16" s="20">
        <v>152.21</v>
      </c>
      <c r="J16" s="21">
        <f t="shared" si="6"/>
        <v>1268.41666666667</v>
      </c>
      <c r="K16" s="18"/>
      <c r="L16" s="19">
        <v>0.01</v>
      </c>
      <c r="M16" s="20">
        <v>67.82</v>
      </c>
      <c r="N16" s="21">
        <f t="shared" si="7"/>
        <v>6782</v>
      </c>
      <c r="O16" s="20">
        <f t="shared" si="8"/>
        <v>1.14862872309053</v>
      </c>
      <c r="P16" s="21">
        <f t="shared" si="9"/>
        <v>0.187026934041089</v>
      </c>
    </row>
    <row r="18" spans="1:16">
      <c r="A18" s="3" t="s">
        <v>19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>
      <c r="A19" s="4"/>
      <c r="B19" s="5"/>
      <c r="C19" s="5"/>
      <c r="D19" s="6" t="s">
        <v>2</v>
      </c>
      <c r="E19" s="7"/>
      <c r="F19" s="8"/>
      <c r="G19" s="5"/>
      <c r="H19" s="6" t="s">
        <v>3</v>
      </c>
      <c r="I19" s="7"/>
      <c r="J19" s="8"/>
      <c r="K19" s="5"/>
      <c r="L19" s="25" t="s">
        <v>4</v>
      </c>
      <c r="M19" s="25"/>
      <c r="N19" s="25"/>
      <c r="O19" s="7" t="s">
        <v>5</v>
      </c>
      <c r="P19" s="8" t="s">
        <v>6</v>
      </c>
    </row>
    <row r="20" spans="1:16">
      <c r="A20" s="9"/>
      <c r="B20" s="10"/>
      <c r="C20" s="10"/>
      <c r="D20" s="11" t="s">
        <v>7</v>
      </c>
      <c r="E20" s="12" t="s">
        <v>8</v>
      </c>
      <c r="F20" s="13" t="s">
        <v>9</v>
      </c>
      <c r="G20" s="12"/>
      <c r="H20" s="11" t="s">
        <v>7</v>
      </c>
      <c r="I20" s="12" t="s">
        <v>8</v>
      </c>
      <c r="J20" s="13" t="s">
        <v>9</v>
      </c>
      <c r="K20" s="12"/>
      <c r="L20" s="10" t="s">
        <v>7</v>
      </c>
      <c r="M20" s="10" t="s">
        <v>8</v>
      </c>
      <c r="N20" s="10" t="s">
        <v>9</v>
      </c>
      <c r="O20" s="12"/>
      <c r="P20" s="13"/>
    </row>
    <row r="21" spans="1:16">
      <c r="A21" s="4" t="s">
        <v>10</v>
      </c>
      <c r="B21" s="5" t="s">
        <v>11</v>
      </c>
      <c r="C21" s="5" t="s">
        <v>12</v>
      </c>
      <c r="D21" s="14">
        <v>0.01</v>
      </c>
      <c r="E21" s="15">
        <v>60.27</v>
      </c>
      <c r="F21" s="16">
        <f t="shared" ref="F21:F24" si="10">(E21/D21)</f>
        <v>6027</v>
      </c>
      <c r="G21" s="15"/>
      <c r="H21" s="14">
        <v>0.1</v>
      </c>
      <c r="I21" s="15">
        <v>179.98</v>
      </c>
      <c r="J21" s="16">
        <f t="shared" ref="J21:J24" si="11">I21/H21</f>
        <v>1799.8</v>
      </c>
      <c r="K21" s="15"/>
      <c r="L21" s="5">
        <v>0.01</v>
      </c>
      <c r="M21" s="5">
        <v>79.03</v>
      </c>
      <c r="N21" s="5">
        <f t="shared" ref="N21:N24" si="12">(M21/L21)</f>
        <v>7903</v>
      </c>
      <c r="O21" s="15">
        <f t="shared" ref="O21:O24" si="13">(F21/N21)</f>
        <v>0.762621789193977</v>
      </c>
      <c r="P21" s="16">
        <f t="shared" ref="P21:P24" si="14">J21/N21</f>
        <v>0.227736302669872</v>
      </c>
    </row>
    <row r="22" spans="1:16">
      <c r="A22" s="17" t="s">
        <v>13</v>
      </c>
      <c r="B22" s="18" t="s">
        <v>11</v>
      </c>
      <c r="C22" s="18" t="s">
        <v>14</v>
      </c>
      <c r="D22" s="19">
        <v>0.01</v>
      </c>
      <c r="E22" s="20">
        <v>70.71</v>
      </c>
      <c r="F22" s="21">
        <f t="shared" si="10"/>
        <v>7071</v>
      </c>
      <c r="G22" s="20"/>
      <c r="H22" s="19">
        <v>0.1</v>
      </c>
      <c r="I22" s="20">
        <v>200.11</v>
      </c>
      <c r="J22" s="21">
        <f t="shared" si="11"/>
        <v>2001.1</v>
      </c>
      <c r="K22" s="20"/>
      <c r="L22" s="18">
        <v>0.01</v>
      </c>
      <c r="M22" s="18">
        <v>79.73</v>
      </c>
      <c r="N22" s="18">
        <f t="shared" si="12"/>
        <v>7973</v>
      </c>
      <c r="O22" s="20">
        <f t="shared" si="13"/>
        <v>0.886868180107864</v>
      </c>
      <c r="P22" s="21">
        <f t="shared" si="14"/>
        <v>0.250984572933651</v>
      </c>
    </row>
    <row r="23" spans="1:16">
      <c r="A23" s="9" t="s">
        <v>15</v>
      </c>
      <c r="B23" s="10" t="s">
        <v>16</v>
      </c>
      <c r="C23" s="5" t="s">
        <v>12</v>
      </c>
      <c r="D23" s="11">
        <v>0.01</v>
      </c>
      <c r="E23" s="12">
        <v>71.15</v>
      </c>
      <c r="F23" s="13">
        <f t="shared" si="10"/>
        <v>7115</v>
      </c>
      <c r="G23" s="12"/>
      <c r="H23" s="11">
        <v>0.1</v>
      </c>
      <c r="I23" s="12">
        <v>184.01</v>
      </c>
      <c r="J23" s="13">
        <f t="shared" si="11"/>
        <v>1840.1</v>
      </c>
      <c r="K23" s="12"/>
      <c r="L23" s="10">
        <v>0.01</v>
      </c>
      <c r="M23" s="10">
        <v>84.54</v>
      </c>
      <c r="N23" s="10">
        <f t="shared" si="12"/>
        <v>8454</v>
      </c>
      <c r="O23" s="12">
        <f t="shared" si="13"/>
        <v>0.841613437426071</v>
      </c>
      <c r="P23" s="13">
        <f t="shared" si="14"/>
        <v>0.217660279157795</v>
      </c>
    </row>
    <row r="24" spans="1:16">
      <c r="A24" s="17" t="s">
        <v>17</v>
      </c>
      <c r="B24" s="18" t="s">
        <v>16</v>
      </c>
      <c r="C24" s="18" t="s">
        <v>14</v>
      </c>
      <c r="D24" s="19">
        <v>0.01</v>
      </c>
      <c r="E24" s="20">
        <v>87.93</v>
      </c>
      <c r="F24" s="21">
        <f t="shared" si="10"/>
        <v>8793</v>
      </c>
      <c r="G24" s="20"/>
      <c r="H24" s="19">
        <v>0.1</v>
      </c>
      <c r="I24" s="20">
        <v>188.15</v>
      </c>
      <c r="J24" s="21">
        <f t="shared" si="11"/>
        <v>1881.5</v>
      </c>
      <c r="K24" s="20"/>
      <c r="L24" s="18">
        <v>0.01</v>
      </c>
      <c r="M24" s="18">
        <v>87.12</v>
      </c>
      <c r="N24" s="18">
        <f t="shared" si="12"/>
        <v>8712</v>
      </c>
      <c r="O24" s="20">
        <f t="shared" si="13"/>
        <v>1.00929752066116</v>
      </c>
      <c r="P24" s="21">
        <f t="shared" si="14"/>
        <v>0.215966483011938</v>
      </c>
    </row>
  </sheetData>
  <mergeCells count="12">
    <mergeCell ref="A2:P2"/>
    <mergeCell ref="D3:F3"/>
    <mergeCell ref="H3:J3"/>
    <mergeCell ref="L3:N3"/>
    <mergeCell ref="A10:P10"/>
    <mergeCell ref="D11:F11"/>
    <mergeCell ref="H11:J11"/>
    <mergeCell ref="L11:N11"/>
    <mergeCell ref="A18:P18"/>
    <mergeCell ref="D19:F19"/>
    <mergeCell ref="H19:J19"/>
    <mergeCell ref="L19:N1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程</cp:lastModifiedBy>
  <dcterms:created xsi:type="dcterms:W3CDTF">2024-12-04T03:03:00Z</dcterms:created>
  <dcterms:modified xsi:type="dcterms:W3CDTF">2024-12-26T09:18:30Z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ADD17B7288A841E6B2B0297CEFC11372_11</vt:lpwstr>
  </property>
  <property fmtid="{D5CDD505-2E9C-101B-9397-08002B2CF9AE}" pid="3" name="KSOProductBuildVer">
    <vt:lpwstr>2052-12.1.0.19302</vt:lpwstr>
  </property>
</Properties>
</file>