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083D2790-E4DC-4C24-AD76-02D456E3609F}" xr6:coauthVersionLast="36" xr6:coauthVersionMax="36" xr10:uidLastSave="{00000000-0000-0000-0000-000000000000}"/>
  <bookViews>
    <workbookView xWindow="0" yWindow="0" windowWidth="15348" windowHeight="4968" xr2:uid="{F7909010-B016-4D21-BE06-DC027EDEE672}"/>
  </bookViews>
  <sheets>
    <sheet name="Table 1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H57" i="1"/>
  <c r="G57" i="1"/>
  <c r="D57" i="1"/>
  <c r="C57" i="1"/>
  <c r="B57" i="1"/>
  <c r="H56" i="1"/>
  <c r="G56" i="1"/>
  <c r="F56" i="1"/>
  <c r="C56" i="1"/>
  <c r="B56" i="1"/>
  <c r="K55" i="1"/>
  <c r="K57" i="1" s="1"/>
  <c r="J55" i="1"/>
  <c r="J56" i="1" s="1"/>
  <c r="I55" i="1"/>
  <c r="I56" i="1" s="1"/>
  <c r="H55" i="1"/>
  <c r="G55" i="1"/>
  <c r="G58" i="1" s="1"/>
  <c r="F55" i="1"/>
  <c r="F57" i="1" s="1"/>
  <c r="E55" i="1"/>
  <c r="E56" i="1" s="1"/>
  <c r="D55" i="1"/>
  <c r="D56" i="1" s="1"/>
  <c r="C55" i="1"/>
  <c r="B55" i="1"/>
  <c r="L54" i="1"/>
  <c r="L53" i="1"/>
  <c r="L52" i="1"/>
  <c r="L51" i="1"/>
  <c r="L50" i="1"/>
  <c r="L49" i="1"/>
  <c r="L47" i="1"/>
  <c r="L46" i="1"/>
  <c r="L45" i="1"/>
  <c r="L44" i="1"/>
  <c r="L43" i="1"/>
  <c r="L42" i="1"/>
  <c r="L41" i="1"/>
  <c r="L40" i="1"/>
  <c r="L39" i="1"/>
  <c r="L55" i="1" s="1"/>
  <c r="L38" i="1"/>
  <c r="K26" i="1"/>
  <c r="J26" i="1"/>
  <c r="F26" i="1"/>
  <c r="E26" i="1"/>
  <c r="D26" i="1"/>
  <c r="K25" i="1"/>
  <c r="J25" i="1"/>
  <c r="I25" i="1"/>
  <c r="E25" i="1"/>
  <c r="D25" i="1"/>
  <c r="C25" i="1"/>
  <c r="K24" i="1"/>
  <c r="J24" i="1"/>
  <c r="I24" i="1"/>
  <c r="I26" i="1" s="1"/>
  <c r="H24" i="1"/>
  <c r="H26" i="1" s="1"/>
  <c r="G24" i="1"/>
  <c r="G25" i="1" s="1"/>
  <c r="F24" i="1"/>
  <c r="F25" i="1" s="1"/>
  <c r="E24" i="1"/>
  <c r="D24" i="1"/>
  <c r="C24" i="1"/>
  <c r="C26" i="1" s="1"/>
  <c r="B24" i="1"/>
  <c r="B25" i="1" s="1"/>
  <c r="L58" i="1" l="1"/>
  <c r="I58" i="1"/>
  <c r="J58" i="1"/>
  <c r="H58" i="1"/>
  <c r="E27" i="1"/>
  <c r="C58" i="1"/>
  <c r="D27" i="1"/>
  <c r="D58" i="1"/>
  <c r="B58" i="1"/>
  <c r="L56" i="1"/>
  <c r="L57" i="1"/>
  <c r="J27" i="1"/>
  <c r="K27" i="1"/>
  <c r="H27" i="1"/>
  <c r="G26" i="1"/>
  <c r="H25" i="1"/>
  <c r="K56" i="1"/>
  <c r="C27" i="1"/>
  <c r="B26" i="1"/>
  <c r="E58" i="1"/>
  <c r="E57" i="1"/>
  <c r="F58" i="1"/>
  <c r="B27" i="1"/>
  <c r="F27" i="1"/>
  <c r="G27" i="1"/>
  <c r="I27" i="1"/>
  <c r="J57" i="1"/>
  <c r="K58" i="1"/>
</calcChain>
</file>

<file path=xl/sharedStrings.xml><?xml version="1.0" encoding="utf-8"?>
<sst xmlns="http://schemas.openxmlformats.org/spreadsheetml/2006/main" count="278" uniqueCount="51">
  <si>
    <t>Table 11 Scientific procedures (toxicology) by species of animal and type of toxicological test: all purposes, page 1 of 2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</si>
  <si>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</si>
  <si>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</si>
  <si>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</si>
  <si>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</si>
  <si>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</si>
  <si>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</si>
  <si>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</si>
  <si>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</si>
  <si>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</si>
  <si>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</si>
  <si>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</si>
  <si>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</si>
  <si>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</si>
  <si>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</si>
  <si>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>Mammal</t>
  </si>
  <si>
    <t xml:space="preserve">  Mouse</t>
  </si>
  <si>
    <t xml:space="preserve">  Rat</t>
  </si>
  <si>
    <t xml:space="preserve">  All other rodents</t>
  </si>
  <si>
    <t>-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</si>
  <si>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</si>
  <si>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</si>
  <si>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</si>
  <si>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</si>
  <si>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</si>
  <si>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</si>
  <si>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</si>
  <si>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</si>
  <si>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</si>
  <si>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</si>
  <si>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</si>
  <si>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</si>
  <si>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</si>
  <si>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</si>
  <si>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</si>
  <si>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</si>
  <si>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</si>
  <si>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</si>
  <si>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</si>
  <si>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 xml:space="preserve">Table 11 Scientific procedures (toxicology) by species of animal and type of toxicological test: all purposes, page 2 of 2 </t>
  </si>
  <si>
    <t>Total</t>
  </si>
  <si>
    <t>Other reproductive toxicity</t>
  </si>
  <si>
    <t>In eyes</t>
  </si>
  <si>
    <t>For skin Irritation</t>
  </si>
  <si>
    <t>For skin sensitisation</t>
  </si>
  <si>
    <t>Toxicokinetics</t>
  </si>
  <si>
    <t>Pyrogenicity</t>
  </si>
  <si>
    <t>Biocompatibility</t>
  </si>
  <si>
    <t>Enzyme induction for in vitro tests</t>
  </si>
  <si>
    <t xml:space="preserve">Immunotoxicology </t>
  </si>
  <si>
    <t>Other toxicology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</si>
</sst>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#,##0_ ;[Red]\-#,##0\ "/>
    <numFmt numFmtId="178" formatCode="0%;[Red]\-0%"/>
    <numFmt numFmtId="179" formatCode="0.0%;[Red]\-0.0%"/>
    <numFmt numFmtId="180" formatCode="0.0%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Fill="1" applyBorder="1" applyAlignment="1">
      <alignment vertical="top"/>
    </xf>
    <xf numFmtId="0" fontId="4" fillId="0" borderId="0" xfId="0" applyFont="1"/>
    <xf numFmtId="0" fontId="4" fillId="0" borderId="0" xfId="0" applyFont="1" applyBorder="1"/>
    <xf numFmtId="0" fontId="5" fillId="0" borderId="0" xfId="0" applyFont="1" applyFill="1" applyBorder="1" applyAlignment="1">
      <alignment vertical="top"/>
    </xf>
    <xf numFmtId="0" fontId="6" fillId="0" borderId="0" xfId="0" applyFont="1"/>
    <xf numFmtId="0" fontId="6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5" fillId="2" borderId="1" xfId="0" applyFont="1" applyFill="1" applyBorder="1" applyAlignment="1"/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vertical="center"/>
    </xf>
    <xf numFmtId="0" fontId="7" fillId="2" borderId="5" xfId="0" applyFont="1" applyFill="1" applyBorder="1"/>
    <xf numFmtId="0" fontId="8" fillId="2" borderId="2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0" borderId="1" xfId="0" applyFont="1" applyBorder="1"/>
    <xf numFmtId="0" fontId="7" fillId="0" borderId="0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right" vertical="top" wrapText="1"/>
    </xf>
    <xf numFmtId="0" fontId="7" fillId="0" borderId="6" xfId="0" applyFont="1" applyFill="1" applyBorder="1" applyAlignment="1">
      <alignment horizontal="right" vertical="top" wrapText="1"/>
    </xf>
    <xf numFmtId="0" fontId="0" fillId="0" borderId="0" xfId="0" applyFill="1" applyAlignment="1">
      <alignment horizontal="right"/>
    </xf>
    <xf numFmtId="0" fontId="0" fillId="0" borderId="0" xfId="0" applyFill="1"/>
    <xf numFmtId="0" fontId="5" fillId="3" borderId="6" xfId="0" applyFont="1" applyFill="1" applyBorder="1" applyAlignment="1"/>
    <xf numFmtId="176" fontId="6" fillId="3" borderId="0" xfId="0" applyNumberFormat="1" applyFont="1" applyFill="1" applyBorder="1" applyAlignment="1">
      <alignment horizontal="right"/>
    </xf>
    <xf numFmtId="176" fontId="6" fillId="3" borderId="6" xfId="0" applyNumberFormat="1" applyFont="1" applyFill="1" applyBorder="1" applyAlignment="1">
      <alignment horizontal="right"/>
    </xf>
    <xf numFmtId="176" fontId="6" fillId="3" borderId="6" xfId="0" applyNumberFormat="1" applyFont="1" applyFill="1" applyBorder="1" applyAlignment="1"/>
    <xf numFmtId="0" fontId="0" fillId="0" borderId="0" xfId="0" applyAlignment="1">
      <alignment horizontal="right"/>
    </xf>
    <xf numFmtId="0" fontId="5" fillId="0" borderId="6" xfId="0" applyFont="1" applyBorder="1" applyAlignment="1"/>
    <xf numFmtId="176" fontId="6" fillId="0" borderId="0" xfId="0" applyNumberFormat="1" applyFont="1" applyFill="1" applyBorder="1" applyAlignment="1">
      <alignment horizontal="right"/>
    </xf>
    <xf numFmtId="176" fontId="6" fillId="0" borderId="6" xfId="0" applyNumberFormat="1" applyFont="1" applyFill="1" applyBorder="1" applyAlignment="1">
      <alignment horizontal="right"/>
    </xf>
    <xf numFmtId="0" fontId="5" fillId="0" borderId="6" xfId="0" applyFont="1" applyBorder="1" applyAlignment="1">
      <alignment wrapText="1"/>
    </xf>
    <xf numFmtId="0" fontId="6" fillId="0" borderId="6" xfId="0" applyFont="1" applyBorder="1"/>
    <xf numFmtId="0" fontId="6" fillId="3" borderId="6" xfId="0" applyFont="1" applyFill="1" applyBorder="1"/>
    <xf numFmtId="0" fontId="5" fillId="0" borderId="6" xfId="0" applyFont="1" applyBorder="1"/>
    <xf numFmtId="0" fontId="9" fillId="3" borderId="6" xfId="0" applyFont="1" applyFill="1" applyBorder="1"/>
    <xf numFmtId="0" fontId="9" fillId="0" borderId="6" xfId="0" applyFont="1" applyBorder="1"/>
    <xf numFmtId="0" fontId="9" fillId="3" borderId="5" xfId="0" applyFont="1" applyFill="1" applyBorder="1"/>
    <xf numFmtId="176" fontId="6" fillId="3" borderId="5" xfId="0" applyNumberFormat="1" applyFont="1" applyFill="1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5" fillId="2" borderId="2" xfId="0" applyFont="1" applyFill="1" applyBorder="1" applyAlignment="1">
      <alignment vertical="center"/>
    </xf>
    <xf numFmtId="176" fontId="5" fillId="2" borderId="2" xfId="0" applyNumberFormat="1" applyFont="1" applyFill="1" applyBorder="1" applyAlignment="1">
      <alignment vertical="center"/>
    </xf>
    <xf numFmtId="176" fontId="0" fillId="0" borderId="0" xfId="0" applyNumberFormat="1"/>
    <xf numFmtId="0" fontId="6" fillId="0" borderId="2" xfId="0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horizontal="right" vertical="center"/>
    </xf>
    <xf numFmtId="176" fontId="0" fillId="0" borderId="0" xfId="0" applyNumberFormat="1" applyFill="1"/>
    <xf numFmtId="178" fontId="10" fillId="0" borderId="2" xfId="0" applyNumberFormat="1" applyFont="1" applyFill="1" applyBorder="1" applyAlignment="1">
      <alignment horizontal="right" vertical="center"/>
    </xf>
    <xf numFmtId="9" fontId="6" fillId="0" borderId="2" xfId="1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176" fontId="6" fillId="0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9" fontId="8" fillId="0" borderId="0" xfId="1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/>
    <xf numFmtId="0" fontId="7" fillId="0" borderId="0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/>
    <xf numFmtId="0" fontId="5" fillId="0" borderId="0" xfId="0" applyFont="1"/>
    <xf numFmtId="0" fontId="5" fillId="0" borderId="0" xfId="0" applyFont="1" applyBorder="1" applyAlignment="1">
      <alignment vertical="top"/>
    </xf>
    <xf numFmtId="0" fontId="5" fillId="2" borderId="7" xfId="0" applyFont="1" applyFill="1" applyBorder="1" applyAlignment="1">
      <alignment horizontal="centerContinuous" vertical="center"/>
    </xf>
    <xf numFmtId="0" fontId="5" fillId="2" borderId="8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0" fillId="0" borderId="0" xfId="0" applyBorder="1"/>
    <xf numFmtId="0" fontId="5" fillId="0" borderId="9" xfId="0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/>
    </xf>
    <xf numFmtId="176" fontId="6" fillId="3" borderId="9" xfId="0" applyNumberFormat="1" applyFont="1" applyFill="1" applyBorder="1" applyAlignment="1">
      <alignment horizontal="right"/>
    </xf>
    <xf numFmtId="176" fontId="5" fillId="3" borderId="6" xfId="0" applyNumberFormat="1" applyFont="1" applyFill="1" applyBorder="1" applyAlignment="1">
      <alignment horizontal="right"/>
    </xf>
    <xf numFmtId="176" fontId="8" fillId="0" borderId="0" xfId="0" applyNumberFormat="1" applyFont="1" applyFill="1" applyBorder="1" applyAlignment="1">
      <alignment horizontal="right"/>
    </xf>
    <xf numFmtId="176" fontId="0" fillId="0" borderId="0" xfId="0" applyNumberFormat="1" applyAlignment="1">
      <alignment horizontal="right"/>
    </xf>
    <xf numFmtId="176" fontId="6" fillId="0" borderId="9" xfId="0" applyNumberFormat="1" applyFont="1" applyFill="1" applyBorder="1" applyAlignment="1">
      <alignment horizontal="right"/>
    </xf>
    <xf numFmtId="176" fontId="5" fillId="0" borderId="6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76" fontId="5" fillId="3" borderId="5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179" fontId="10" fillId="0" borderId="2" xfId="0" applyNumberFormat="1" applyFont="1" applyFill="1" applyBorder="1" applyAlignment="1">
      <alignment horizontal="right" vertical="center"/>
    </xf>
    <xf numFmtId="180" fontId="6" fillId="0" borderId="2" xfId="1" applyNumberFormat="1" applyFont="1" applyBorder="1" applyAlignment="1">
      <alignment horizontal="right" vertical="center"/>
    </xf>
    <xf numFmtId="179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32BD-F7F5-40BA-AA52-55547D90CF4F}">
  <sheetPr>
    <tabColor indexed="26"/>
  </sheetPr>
  <dimension ref="A1:S66"/>
  <sheetViews>
    <sheetView showGridLines="0" tabSelected="1" topLeftCell="A4" zoomScaleNormal="100" zoomScaleSheetLayoutView="50" workbookViewId="0">
      <selection activeCell="C5" sqref="C5"/>
    </sheetView>
  </sheetViews>
  <sheetFormatPr defaultRowHeight="13.2" x14ac:dyDescent="0.25"/>
  <cols>
    <col min="1" max="1" width="39.6640625" customWidth="1"/>
    <col min="2" max="2" width="25.33203125" customWidth="1"/>
    <col min="3" max="7" width="20.6640625" customWidth="1"/>
    <col min="8" max="8" width="24.44140625" customWidth="1"/>
    <col min="9" max="10" width="25.88671875" customWidth="1"/>
    <col min="11" max="11" width="20.6640625" customWidth="1"/>
    <col min="12" max="12" width="20.5546875" customWidth="1"/>
    <col min="14" max="14" width="11.33203125" bestFit="1" customWidth="1"/>
    <col min="15" max="15" width="13.109375" customWidth="1"/>
    <col min="257" max="257" width="39.6640625" customWidth="1"/>
    <col min="258" max="258" width="25.33203125" customWidth="1"/>
    <col min="259" max="263" width="20.6640625" customWidth="1"/>
    <col min="264" max="264" width="24.44140625" customWidth="1"/>
    <col min="265" max="266" width="25.88671875" customWidth="1"/>
    <col min="267" max="267" width="20.6640625" customWidth="1"/>
    <col min="268" max="268" width="20.5546875" customWidth="1"/>
    <col min="270" max="270" width="11.33203125" bestFit="1" customWidth="1"/>
    <col min="271" max="271" width="13.109375" customWidth="1"/>
    <col min="513" max="513" width="39.6640625" customWidth="1"/>
    <col min="514" max="514" width="25.33203125" customWidth="1"/>
    <col min="515" max="519" width="20.6640625" customWidth="1"/>
    <col min="520" max="520" width="24.44140625" customWidth="1"/>
    <col min="521" max="522" width="25.88671875" customWidth="1"/>
    <col min="523" max="523" width="20.6640625" customWidth="1"/>
    <col min="524" max="524" width="20.5546875" customWidth="1"/>
    <col min="526" max="526" width="11.33203125" bestFit="1" customWidth="1"/>
    <col min="527" max="527" width="13.109375" customWidth="1"/>
    <col min="769" max="769" width="39.6640625" customWidth="1"/>
    <col min="770" max="770" width="25.33203125" customWidth="1"/>
    <col min="771" max="775" width="20.6640625" customWidth="1"/>
    <col min="776" max="776" width="24.44140625" customWidth="1"/>
    <col min="777" max="778" width="25.88671875" customWidth="1"/>
    <col min="779" max="779" width="20.6640625" customWidth="1"/>
    <col min="780" max="780" width="20.5546875" customWidth="1"/>
    <col min="782" max="782" width="11.33203125" bestFit="1" customWidth="1"/>
    <col min="783" max="783" width="13.109375" customWidth="1"/>
    <col min="1025" max="1025" width="39.6640625" customWidth="1"/>
    <col min="1026" max="1026" width="25.33203125" customWidth="1"/>
    <col min="1027" max="1031" width="20.6640625" customWidth="1"/>
    <col min="1032" max="1032" width="24.44140625" customWidth="1"/>
    <col min="1033" max="1034" width="25.88671875" customWidth="1"/>
    <col min="1035" max="1035" width="20.6640625" customWidth="1"/>
    <col min="1036" max="1036" width="20.5546875" customWidth="1"/>
    <col min="1038" max="1038" width="11.33203125" bestFit="1" customWidth="1"/>
    <col min="1039" max="1039" width="13.109375" customWidth="1"/>
    <col min="1281" max="1281" width="39.6640625" customWidth="1"/>
    <col min="1282" max="1282" width="25.33203125" customWidth="1"/>
    <col min="1283" max="1287" width="20.6640625" customWidth="1"/>
    <col min="1288" max="1288" width="24.44140625" customWidth="1"/>
    <col min="1289" max="1290" width="25.88671875" customWidth="1"/>
    <col min="1291" max="1291" width="20.6640625" customWidth="1"/>
    <col min="1292" max="1292" width="20.5546875" customWidth="1"/>
    <col min="1294" max="1294" width="11.33203125" bestFit="1" customWidth="1"/>
    <col min="1295" max="1295" width="13.109375" customWidth="1"/>
    <col min="1537" max="1537" width="39.6640625" customWidth="1"/>
    <col min="1538" max="1538" width="25.33203125" customWidth="1"/>
    <col min="1539" max="1543" width="20.6640625" customWidth="1"/>
    <col min="1544" max="1544" width="24.44140625" customWidth="1"/>
    <col min="1545" max="1546" width="25.88671875" customWidth="1"/>
    <col min="1547" max="1547" width="20.6640625" customWidth="1"/>
    <col min="1548" max="1548" width="20.5546875" customWidth="1"/>
    <col min="1550" max="1550" width="11.33203125" bestFit="1" customWidth="1"/>
    <col min="1551" max="1551" width="13.109375" customWidth="1"/>
    <col min="1793" max="1793" width="39.6640625" customWidth="1"/>
    <col min="1794" max="1794" width="25.33203125" customWidth="1"/>
    <col min="1795" max="1799" width="20.6640625" customWidth="1"/>
    <col min="1800" max="1800" width="24.44140625" customWidth="1"/>
    <col min="1801" max="1802" width="25.88671875" customWidth="1"/>
    <col min="1803" max="1803" width="20.6640625" customWidth="1"/>
    <col min="1804" max="1804" width="20.5546875" customWidth="1"/>
    <col min="1806" max="1806" width="11.33203125" bestFit="1" customWidth="1"/>
    <col min="1807" max="1807" width="13.109375" customWidth="1"/>
    <col min="2049" max="2049" width="39.6640625" customWidth="1"/>
    <col min="2050" max="2050" width="25.33203125" customWidth="1"/>
    <col min="2051" max="2055" width="20.6640625" customWidth="1"/>
    <col min="2056" max="2056" width="24.44140625" customWidth="1"/>
    <col min="2057" max="2058" width="25.88671875" customWidth="1"/>
    <col min="2059" max="2059" width="20.6640625" customWidth="1"/>
    <col min="2060" max="2060" width="20.5546875" customWidth="1"/>
    <col min="2062" max="2062" width="11.33203125" bestFit="1" customWidth="1"/>
    <col min="2063" max="2063" width="13.109375" customWidth="1"/>
    <col min="2305" max="2305" width="39.6640625" customWidth="1"/>
    <col min="2306" max="2306" width="25.33203125" customWidth="1"/>
    <col min="2307" max="2311" width="20.6640625" customWidth="1"/>
    <col min="2312" max="2312" width="24.44140625" customWidth="1"/>
    <col min="2313" max="2314" width="25.88671875" customWidth="1"/>
    <col min="2315" max="2315" width="20.6640625" customWidth="1"/>
    <col min="2316" max="2316" width="20.5546875" customWidth="1"/>
    <col min="2318" max="2318" width="11.33203125" bestFit="1" customWidth="1"/>
    <col min="2319" max="2319" width="13.109375" customWidth="1"/>
    <col min="2561" max="2561" width="39.6640625" customWidth="1"/>
    <col min="2562" max="2562" width="25.33203125" customWidth="1"/>
    <col min="2563" max="2567" width="20.6640625" customWidth="1"/>
    <col min="2568" max="2568" width="24.44140625" customWidth="1"/>
    <col min="2569" max="2570" width="25.88671875" customWidth="1"/>
    <col min="2571" max="2571" width="20.6640625" customWidth="1"/>
    <col min="2572" max="2572" width="20.5546875" customWidth="1"/>
    <col min="2574" max="2574" width="11.33203125" bestFit="1" customWidth="1"/>
    <col min="2575" max="2575" width="13.109375" customWidth="1"/>
    <col min="2817" max="2817" width="39.6640625" customWidth="1"/>
    <col min="2818" max="2818" width="25.33203125" customWidth="1"/>
    <col min="2819" max="2823" width="20.6640625" customWidth="1"/>
    <col min="2824" max="2824" width="24.44140625" customWidth="1"/>
    <col min="2825" max="2826" width="25.88671875" customWidth="1"/>
    <col min="2827" max="2827" width="20.6640625" customWidth="1"/>
    <col min="2828" max="2828" width="20.5546875" customWidth="1"/>
    <col min="2830" max="2830" width="11.33203125" bestFit="1" customWidth="1"/>
    <col min="2831" max="2831" width="13.109375" customWidth="1"/>
    <col min="3073" max="3073" width="39.6640625" customWidth="1"/>
    <col min="3074" max="3074" width="25.33203125" customWidth="1"/>
    <col min="3075" max="3079" width="20.6640625" customWidth="1"/>
    <col min="3080" max="3080" width="24.44140625" customWidth="1"/>
    <col min="3081" max="3082" width="25.88671875" customWidth="1"/>
    <col min="3083" max="3083" width="20.6640625" customWidth="1"/>
    <col min="3084" max="3084" width="20.5546875" customWidth="1"/>
    <col min="3086" max="3086" width="11.33203125" bestFit="1" customWidth="1"/>
    <col min="3087" max="3087" width="13.109375" customWidth="1"/>
    <col min="3329" max="3329" width="39.6640625" customWidth="1"/>
    <col min="3330" max="3330" width="25.33203125" customWidth="1"/>
    <col min="3331" max="3335" width="20.6640625" customWidth="1"/>
    <col min="3336" max="3336" width="24.44140625" customWidth="1"/>
    <col min="3337" max="3338" width="25.88671875" customWidth="1"/>
    <col min="3339" max="3339" width="20.6640625" customWidth="1"/>
    <col min="3340" max="3340" width="20.5546875" customWidth="1"/>
    <col min="3342" max="3342" width="11.33203125" bestFit="1" customWidth="1"/>
    <col min="3343" max="3343" width="13.109375" customWidth="1"/>
    <col min="3585" max="3585" width="39.6640625" customWidth="1"/>
    <col min="3586" max="3586" width="25.33203125" customWidth="1"/>
    <col min="3587" max="3591" width="20.6640625" customWidth="1"/>
    <col min="3592" max="3592" width="24.44140625" customWidth="1"/>
    <col min="3593" max="3594" width="25.88671875" customWidth="1"/>
    <col min="3595" max="3595" width="20.6640625" customWidth="1"/>
    <col min="3596" max="3596" width="20.5546875" customWidth="1"/>
    <col min="3598" max="3598" width="11.33203125" bestFit="1" customWidth="1"/>
    <col min="3599" max="3599" width="13.109375" customWidth="1"/>
    <col min="3841" max="3841" width="39.6640625" customWidth="1"/>
    <col min="3842" max="3842" width="25.33203125" customWidth="1"/>
    <col min="3843" max="3847" width="20.6640625" customWidth="1"/>
    <col min="3848" max="3848" width="24.44140625" customWidth="1"/>
    <col min="3849" max="3850" width="25.88671875" customWidth="1"/>
    <col min="3851" max="3851" width="20.6640625" customWidth="1"/>
    <col min="3852" max="3852" width="20.5546875" customWidth="1"/>
    <col min="3854" max="3854" width="11.33203125" bestFit="1" customWidth="1"/>
    <col min="3855" max="3855" width="13.109375" customWidth="1"/>
    <col min="4097" max="4097" width="39.6640625" customWidth="1"/>
    <col min="4098" max="4098" width="25.33203125" customWidth="1"/>
    <col min="4099" max="4103" width="20.6640625" customWidth="1"/>
    <col min="4104" max="4104" width="24.44140625" customWidth="1"/>
    <col min="4105" max="4106" width="25.88671875" customWidth="1"/>
    <col min="4107" max="4107" width="20.6640625" customWidth="1"/>
    <col min="4108" max="4108" width="20.5546875" customWidth="1"/>
    <col min="4110" max="4110" width="11.33203125" bestFit="1" customWidth="1"/>
    <col min="4111" max="4111" width="13.109375" customWidth="1"/>
    <col min="4353" max="4353" width="39.6640625" customWidth="1"/>
    <col min="4354" max="4354" width="25.33203125" customWidth="1"/>
    <col min="4355" max="4359" width="20.6640625" customWidth="1"/>
    <col min="4360" max="4360" width="24.44140625" customWidth="1"/>
    <col min="4361" max="4362" width="25.88671875" customWidth="1"/>
    <col min="4363" max="4363" width="20.6640625" customWidth="1"/>
    <col min="4364" max="4364" width="20.5546875" customWidth="1"/>
    <col min="4366" max="4366" width="11.33203125" bestFit="1" customWidth="1"/>
    <col min="4367" max="4367" width="13.109375" customWidth="1"/>
    <col min="4609" max="4609" width="39.6640625" customWidth="1"/>
    <col min="4610" max="4610" width="25.33203125" customWidth="1"/>
    <col min="4611" max="4615" width="20.6640625" customWidth="1"/>
    <col min="4616" max="4616" width="24.44140625" customWidth="1"/>
    <col min="4617" max="4618" width="25.88671875" customWidth="1"/>
    <col min="4619" max="4619" width="20.6640625" customWidth="1"/>
    <col min="4620" max="4620" width="20.5546875" customWidth="1"/>
    <col min="4622" max="4622" width="11.33203125" bestFit="1" customWidth="1"/>
    <col min="4623" max="4623" width="13.109375" customWidth="1"/>
    <col min="4865" max="4865" width="39.6640625" customWidth="1"/>
    <col min="4866" max="4866" width="25.33203125" customWidth="1"/>
    <col min="4867" max="4871" width="20.6640625" customWidth="1"/>
    <col min="4872" max="4872" width="24.44140625" customWidth="1"/>
    <col min="4873" max="4874" width="25.88671875" customWidth="1"/>
    <col min="4875" max="4875" width="20.6640625" customWidth="1"/>
    <col min="4876" max="4876" width="20.5546875" customWidth="1"/>
    <col min="4878" max="4878" width="11.33203125" bestFit="1" customWidth="1"/>
    <col min="4879" max="4879" width="13.109375" customWidth="1"/>
    <col min="5121" max="5121" width="39.6640625" customWidth="1"/>
    <col min="5122" max="5122" width="25.33203125" customWidth="1"/>
    <col min="5123" max="5127" width="20.6640625" customWidth="1"/>
    <col min="5128" max="5128" width="24.44140625" customWidth="1"/>
    <col min="5129" max="5130" width="25.88671875" customWidth="1"/>
    <col min="5131" max="5131" width="20.6640625" customWidth="1"/>
    <col min="5132" max="5132" width="20.5546875" customWidth="1"/>
    <col min="5134" max="5134" width="11.33203125" bestFit="1" customWidth="1"/>
    <col min="5135" max="5135" width="13.109375" customWidth="1"/>
    <col min="5377" max="5377" width="39.6640625" customWidth="1"/>
    <col min="5378" max="5378" width="25.33203125" customWidth="1"/>
    <col min="5379" max="5383" width="20.6640625" customWidth="1"/>
    <col min="5384" max="5384" width="24.44140625" customWidth="1"/>
    <col min="5385" max="5386" width="25.88671875" customWidth="1"/>
    <col min="5387" max="5387" width="20.6640625" customWidth="1"/>
    <col min="5388" max="5388" width="20.5546875" customWidth="1"/>
    <col min="5390" max="5390" width="11.33203125" bestFit="1" customWidth="1"/>
    <col min="5391" max="5391" width="13.109375" customWidth="1"/>
    <col min="5633" max="5633" width="39.6640625" customWidth="1"/>
    <col min="5634" max="5634" width="25.33203125" customWidth="1"/>
    <col min="5635" max="5639" width="20.6640625" customWidth="1"/>
    <col min="5640" max="5640" width="24.44140625" customWidth="1"/>
    <col min="5641" max="5642" width="25.88671875" customWidth="1"/>
    <col min="5643" max="5643" width="20.6640625" customWidth="1"/>
    <col min="5644" max="5644" width="20.5546875" customWidth="1"/>
    <col min="5646" max="5646" width="11.33203125" bestFit="1" customWidth="1"/>
    <col min="5647" max="5647" width="13.109375" customWidth="1"/>
    <col min="5889" max="5889" width="39.6640625" customWidth="1"/>
    <col min="5890" max="5890" width="25.33203125" customWidth="1"/>
    <col min="5891" max="5895" width="20.6640625" customWidth="1"/>
    <col min="5896" max="5896" width="24.44140625" customWidth="1"/>
    <col min="5897" max="5898" width="25.88671875" customWidth="1"/>
    <col min="5899" max="5899" width="20.6640625" customWidth="1"/>
    <col min="5900" max="5900" width="20.5546875" customWidth="1"/>
    <col min="5902" max="5902" width="11.33203125" bestFit="1" customWidth="1"/>
    <col min="5903" max="5903" width="13.109375" customWidth="1"/>
    <col min="6145" max="6145" width="39.6640625" customWidth="1"/>
    <col min="6146" max="6146" width="25.33203125" customWidth="1"/>
    <col min="6147" max="6151" width="20.6640625" customWidth="1"/>
    <col min="6152" max="6152" width="24.44140625" customWidth="1"/>
    <col min="6153" max="6154" width="25.88671875" customWidth="1"/>
    <col min="6155" max="6155" width="20.6640625" customWidth="1"/>
    <col min="6156" max="6156" width="20.5546875" customWidth="1"/>
    <col min="6158" max="6158" width="11.33203125" bestFit="1" customWidth="1"/>
    <col min="6159" max="6159" width="13.109375" customWidth="1"/>
    <col min="6401" max="6401" width="39.6640625" customWidth="1"/>
    <col min="6402" max="6402" width="25.33203125" customWidth="1"/>
    <col min="6403" max="6407" width="20.6640625" customWidth="1"/>
    <col min="6408" max="6408" width="24.44140625" customWidth="1"/>
    <col min="6409" max="6410" width="25.88671875" customWidth="1"/>
    <col min="6411" max="6411" width="20.6640625" customWidth="1"/>
    <col min="6412" max="6412" width="20.5546875" customWidth="1"/>
    <col min="6414" max="6414" width="11.33203125" bestFit="1" customWidth="1"/>
    <col min="6415" max="6415" width="13.109375" customWidth="1"/>
    <col min="6657" max="6657" width="39.6640625" customWidth="1"/>
    <col min="6658" max="6658" width="25.33203125" customWidth="1"/>
    <col min="6659" max="6663" width="20.6640625" customWidth="1"/>
    <col min="6664" max="6664" width="24.44140625" customWidth="1"/>
    <col min="6665" max="6666" width="25.88671875" customWidth="1"/>
    <col min="6667" max="6667" width="20.6640625" customWidth="1"/>
    <col min="6668" max="6668" width="20.5546875" customWidth="1"/>
    <col min="6670" max="6670" width="11.33203125" bestFit="1" customWidth="1"/>
    <col min="6671" max="6671" width="13.109375" customWidth="1"/>
    <col min="6913" max="6913" width="39.6640625" customWidth="1"/>
    <col min="6914" max="6914" width="25.33203125" customWidth="1"/>
    <col min="6915" max="6919" width="20.6640625" customWidth="1"/>
    <col min="6920" max="6920" width="24.44140625" customWidth="1"/>
    <col min="6921" max="6922" width="25.88671875" customWidth="1"/>
    <col min="6923" max="6923" width="20.6640625" customWidth="1"/>
    <col min="6924" max="6924" width="20.5546875" customWidth="1"/>
    <col min="6926" max="6926" width="11.33203125" bestFit="1" customWidth="1"/>
    <col min="6927" max="6927" width="13.109375" customWidth="1"/>
    <col min="7169" max="7169" width="39.6640625" customWidth="1"/>
    <col min="7170" max="7170" width="25.33203125" customWidth="1"/>
    <col min="7171" max="7175" width="20.6640625" customWidth="1"/>
    <col min="7176" max="7176" width="24.44140625" customWidth="1"/>
    <col min="7177" max="7178" width="25.88671875" customWidth="1"/>
    <col min="7179" max="7179" width="20.6640625" customWidth="1"/>
    <col min="7180" max="7180" width="20.5546875" customWidth="1"/>
    <col min="7182" max="7182" width="11.33203125" bestFit="1" customWidth="1"/>
    <col min="7183" max="7183" width="13.109375" customWidth="1"/>
    <col min="7425" max="7425" width="39.6640625" customWidth="1"/>
    <col min="7426" max="7426" width="25.33203125" customWidth="1"/>
    <col min="7427" max="7431" width="20.6640625" customWidth="1"/>
    <col min="7432" max="7432" width="24.44140625" customWidth="1"/>
    <col min="7433" max="7434" width="25.88671875" customWidth="1"/>
    <col min="7435" max="7435" width="20.6640625" customWidth="1"/>
    <col min="7436" max="7436" width="20.5546875" customWidth="1"/>
    <col min="7438" max="7438" width="11.33203125" bestFit="1" customWidth="1"/>
    <col min="7439" max="7439" width="13.109375" customWidth="1"/>
    <col min="7681" max="7681" width="39.6640625" customWidth="1"/>
    <col min="7682" max="7682" width="25.33203125" customWidth="1"/>
    <col min="7683" max="7687" width="20.6640625" customWidth="1"/>
    <col min="7688" max="7688" width="24.44140625" customWidth="1"/>
    <col min="7689" max="7690" width="25.88671875" customWidth="1"/>
    <col min="7691" max="7691" width="20.6640625" customWidth="1"/>
    <col min="7692" max="7692" width="20.5546875" customWidth="1"/>
    <col min="7694" max="7694" width="11.33203125" bestFit="1" customWidth="1"/>
    <col min="7695" max="7695" width="13.109375" customWidth="1"/>
    <col min="7937" max="7937" width="39.6640625" customWidth="1"/>
    <col min="7938" max="7938" width="25.33203125" customWidth="1"/>
    <col min="7939" max="7943" width="20.6640625" customWidth="1"/>
    <col min="7944" max="7944" width="24.44140625" customWidth="1"/>
    <col min="7945" max="7946" width="25.88671875" customWidth="1"/>
    <col min="7947" max="7947" width="20.6640625" customWidth="1"/>
    <col min="7948" max="7948" width="20.5546875" customWidth="1"/>
    <col min="7950" max="7950" width="11.33203125" bestFit="1" customWidth="1"/>
    <col min="7951" max="7951" width="13.109375" customWidth="1"/>
    <col min="8193" max="8193" width="39.6640625" customWidth="1"/>
    <col min="8194" max="8194" width="25.33203125" customWidth="1"/>
    <col min="8195" max="8199" width="20.6640625" customWidth="1"/>
    <col min="8200" max="8200" width="24.44140625" customWidth="1"/>
    <col min="8201" max="8202" width="25.88671875" customWidth="1"/>
    <col min="8203" max="8203" width="20.6640625" customWidth="1"/>
    <col min="8204" max="8204" width="20.5546875" customWidth="1"/>
    <col min="8206" max="8206" width="11.33203125" bestFit="1" customWidth="1"/>
    <col min="8207" max="8207" width="13.109375" customWidth="1"/>
    <col min="8449" max="8449" width="39.6640625" customWidth="1"/>
    <col min="8450" max="8450" width="25.33203125" customWidth="1"/>
    <col min="8451" max="8455" width="20.6640625" customWidth="1"/>
    <col min="8456" max="8456" width="24.44140625" customWidth="1"/>
    <col min="8457" max="8458" width="25.88671875" customWidth="1"/>
    <col min="8459" max="8459" width="20.6640625" customWidth="1"/>
    <col min="8460" max="8460" width="20.5546875" customWidth="1"/>
    <col min="8462" max="8462" width="11.33203125" bestFit="1" customWidth="1"/>
    <col min="8463" max="8463" width="13.109375" customWidth="1"/>
    <col min="8705" max="8705" width="39.6640625" customWidth="1"/>
    <col min="8706" max="8706" width="25.33203125" customWidth="1"/>
    <col min="8707" max="8711" width="20.6640625" customWidth="1"/>
    <col min="8712" max="8712" width="24.44140625" customWidth="1"/>
    <col min="8713" max="8714" width="25.88671875" customWidth="1"/>
    <col min="8715" max="8715" width="20.6640625" customWidth="1"/>
    <col min="8716" max="8716" width="20.5546875" customWidth="1"/>
    <col min="8718" max="8718" width="11.33203125" bestFit="1" customWidth="1"/>
    <col min="8719" max="8719" width="13.109375" customWidth="1"/>
    <col min="8961" max="8961" width="39.6640625" customWidth="1"/>
    <col min="8962" max="8962" width="25.33203125" customWidth="1"/>
    <col min="8963" max="8967" width="20.6640625" customWidth="1"/>
    <col min="8968" max="8968" width="24.44140625" customWidth="1"/>
    <col min="8969" max="8970" width="25.88671875" customWidth="1"/>
    <col min="8971" max="8971" width="20.6640625" customWidth="1"/>
    <col min="8972" max="8972" width="20.5546875" customWidth="1"/>
    <col min="8974" max="8974" width="11.33203125" bestFit="1" customWidth="1"/>
    <col min="8975" max="8975" width="13.109375" customWidth="1"/>
    <col min="9217" max="9217" width="39.6640625" customWidth="1"/>
    <col min="9218" max="9218" width="25.33203125" customWidth="1"/>
    <col min="9219" max="9223" width="20.6640625" customWidth="1"/>
    <col min="9224" max="9224" width="24.44140625" customWidth="1"/>
    <col min="9225" max="9226" width="25.88671875" customWidth="1"/>
    <col min="9227" max="9227" width="20.6640625" customWidth="1"/>
    <col min="9228" max="9228" width="20.5546875" customWidth="1"/>
    <col min="9230" max="9230" width="11.33203125" bestFit="1" customWidth="1"/>
    <col min="9231" max="9231" width="13.109375" customWidth="1"/>
    <col min="9473" max="9473" width="39.6640625" customWidth="1"/>
    <col min="9474" max="9474" width="25.33203125" customWidth="1"/>
    <col min="9475" max="9479" width="20.6640625" customWidth="1"/>
    <col min="9480" max="9480" width="24.44140625" customWidth="1"/>
    <col min="9481" max="9482" width="25.88671875" customWidth="1"/>
    <col min="9483" max="9483" width="20.6640625" customWidth="1"/>
    <col min="9484" max="9484" width="20.5546875" customWidth="1"/>
    <col min="9486" max="9486" width="11.33203125" bestFit="1" customWidth="1"/>
    <col min="9487" max="9487" width="13.109375" customWidth="1"/>
    <col min="9729" max="9729" width="39.6640625" customWidth="1"/>
    <col min="9730" max="9730" width="25.33203125" customWidth="1"/>
    <col min="9731" max="9735" width="20.6640625" customWidth="1"/>
    <col min="9736" max="9736" width="24.44140625" customWidth="1"/>
    <col min="9737" max="9738" width="25.88671875" customWidth="1"/>
    <col min="9739" max="9739" width="20.6640625" customWidth="1"/>
    <col min="9740" max="9740" width="20.5546875" customWidth="1"/>
    <col min="9742" max="9742" width="11.33203125" bestFit="1" customWidth="1"/>
    <col min="9743" max="9743" width="13.109375" customWidth="1"/>
    <col min="9985" max="9985" width="39.6640625" customWidth="1"/>
    <col min="9986" max="9986" width="25.33203125" customWidth="1"/>
    <col min="9987" max="9991" width="20.6640625" customWidth="1"/>
    <col min="9992" max="9992" width="24.44140625" customWidth="1"/>
    <col min="9993" max="9994" width="25.88671875" customWidth="1"/>
    <col min="9995" max="9995" width="20.6640625" customWidth="1"/>
    <col min="9996" max="9996" width="20.5546875" customWidth="1"/>
    <col min="9998" max="9998" width="11.33203125" bestFit="1" customWidth="1"/>
    <col min="9999" max="9999" width="13.109375" customWidth="1"/>
    <col min="10241" max="10241" width="39.6640625" customWidth="1"/>
    <col min="10242" max="10242" width="25.33203125" customWidth="1"/>
    <col min="10243" max="10247" width="20.6640625" customWidth="1"/>
    <col min="10248" max="10248" width="24.44140625" customWidth="1"/>
    <col min="10249" max="10250" width="25.88671875" customWidth="1"/>
    <col min="10251" max="10251" width="20.6640625" customWidth="1"/>
    <col min="10252" max="10252" width="20.5546875" customWidth="1"/>
    <col min="10254" max="10254" width="11.33203125" bestFit="1" customWidth="1"/>
    <col min="10255" max="10255" width="13.109375" customWidth="1"/>
    <col min="10497" max="10497" width="39.6640625" customWidth="1"/>
    <col min="10498" max="10498" width="25.33203125" customWidth="1"/>
    <col min="10499" max="10503" width="20.6640625" customWidth="1"/>
    <col min="10504" max="10504" width="24.44140625" customWidth="1"/>
    <col min="10505" max="10506" width="25.88671875" customWidth="1"/>
    <col min="10507" max="10507" width="20.6640625" customWidth="1"/>
    <col min="10508" max="10508" width="20.5546875" customWidth="1"/>
    <col min="10510" max="10510" width="11.33203125" bestFit="1" customWidth="1"/>
    <col min="10511" max="10511" width="13.109375" customWidth="1"/>
    <col min="10753" max="10753" width="39.6640625" customWidth="1"/>
    <col min="10754" max="10754" width="25.33203125" customWidth="1"/>
    <col min="10755" max="10759" width="20.6640625" customWidth="1"/>
    <col min="10760" max="10760" width="24.44140625" customWidth="1"/>
    <col min="10761" max="10762" width="25.88671875" customWidth="1"/>
    <col min="10763" max="10763" width="20.6640625" customWidth="1"/>
    <col min="10764" max="10764" width="20.5546875" customWidth="1"/>
    <col min="10766" max="10766" width="11.33203125" bestFit="1" customWidth="1"/>
    <col min="10767" max="10767" width="13.109375" customWidth="1"/>
    <col min="11009" max="11009" width="39.6640625" customWidth="1"/>
    <col min="11010" max="11010" width="25.33203125" customWidth="1"/>
    <col min="11011" max="11015" width="20.6640625" customWidth="1"/>
    <col min="11016" max="11016" width="24.44140625" customWidth="1"/>
    <col min="11017" max="11018" width="25.88671875" customWidth="1"/>
    <col min="11019" max="11019" width="20.6640625" customWidth="1"/>
    <col min="11020" max="11020" width="20.5546875" customWidth="1"/>
    <col min="11022" max="11022" width="11.33203125" bestFit="1" customWidth="1"/>
    <col min="11023" max="11023" width="13.109375" customWidth="1"/>
    <col min="11265" max="11265" width="39.6640625" customWidth="1"/>
    <col min="11266" max="11266" width="25.33203125" customWidth="1"/>
    <col min="11267" max="11271" width="20.6640625" customWidth="1"/>
    <col min="11272" max="11272" width="24.44140625" customWidth="1"/>
    <col min="11273" max="11274" width="25.88671875" customWidth="1"/>
    <col min="11275" max="11275" width="20.6640625" customWidth="1"/>
    <col min="11276" max="11276" width="20.5546875" customWidth="1"/>
    <col min="11278" max="11278" width="11.33203125" bestFit="1" customWidth="1"/>
    <col min="11279" max="11279" width="13.109375" customWidth="1"/>
    <col min="11521" max="11521" width="39.6640625" customWidth="1"/>
    <col min="11522" max="11522" width="25.33203125" customWidth="1"/>
    <col min="11523" max="11527" width="20.6640625" customWidth="1"/>
    <col min="11528" max="11528" width="24.44140625" customWidth="1"/>
    <col min="11529" max="11530" width="25.88671875" customWidth="1"/>
    <col min="11531" max="11531" width="20.6640625" customWidth="1"/>
    <col min="11532" max="11532" width="20.5546875" customWidth="1"/>
    <col min="11534" max="11534" width="11.33203125" bestFit="1" customWidth="1"/>
    <col min="11535" max="11535" width="13.109375" customWidth="1"/>
    <col min="11777" max="11777" width="39.6640625" customWidth="1"/>
    <col min="11778" max="11778" width="25.33203125" customWidth="1"/>
    <col min="11779" max="11783" width="20.6640625" customWidth="1"/>
    <col min="11784" max="11784" width="24.44140625" customWidth="1"/>
    <col min="11785" max="11786" width="25.88671875" customWidth="1"/>
    <col min="11787" max="11787" width="20.6640625" customWidth="1"/>
    <col min="11788" max="11788" width="20.5546875" customWidth="1"/>
    <col min="11790" max="11790" width="11.33203125" bestFit="1" customWidth="1"/>
    <col min="11791" max="11791" width="13.109375" customWidth="1"/>
    <col min="12033" max="12033" width="39.6640625" customWidth="1"/>
    <col min="12034" max="12034" width="25.33203125" customWidth="1"/>
    <col min="12035" max="12039" width="20.6640625" customWidth="1"/>
    <col min="12040" max="12040" width="24.44140625" customWidth="1"/>
    <col min="12041" max="12042" width="25.88671875" customWidth="1"/>
    <col min="12043" max="12043" width="20.6640625" customWidth="1"/>
    <col min="12044" max="12044" width="20.5546875" customWidth="1"/>
    <col min="12046" max="12046" width="11.33203125" bestFit="1" customWidth="1"/>
    <col min="12047" max="12047" width="13.109375" customWidth="1"/>
    <col min="12289" max="12289" width="39.6640625" customWidth="1"/>
    <col min="12290" max="12290" width="25.33203125" customWidth="1"/>
    <col min="12291" max="12295" width="20.6640625" customWidth="1"/>
    <col min="12296" max="12296" width="24.44140625" customWidth="1"/>
    <col min="12297" max="12298" width="25.88671875" customWidth="1"/>
    <col min="12299" max="12299" width="20.6640625" customWidth="1"/>
    <col min="12300" max="12300" width="20.5546875" customWidth="1"/>
    <col min="12302" max="12302" width="11.33203125" bestFit="1" customWidth="1"/>
    <col min="12303" max="12303" width="13.109375" customWidth="1"/>
    <col min="12545" max="12545" width="39.6640625" customWidth="1"/>
    <col min="12546" max="12546" width="25.33203125" customWidth="1"/>
    <col min="12547" max="12551" width="20.6640625" customWidth="1"/>
    <col min="12552" max="12552" width="24.44140625" customWidth="1"/>
    <col min="12553" max="12554" width="25.88671875" customWidth="1"/>
    <col min="12555" max="12555" width="20.6640625" customWidth="1"/>
    <col min="12556" max="12556" width="20.5546875" customWidth="1"/>
    <col min="12558" max="12558" width="11.33203125" bestFit="1" customWidth="1"/>
    <col min="12559" max="12559" width="13.109375" customWidth="1"/>
    <col min="12801" max="12801" width="39.6640625" customWidth="1"/>
    <col min="12802" max="12802" width="25.33203125" customWidth="1"/>
    <col min="12803" max="12807" width="20.6640625" customWidth="1"/>
    <col min="12808" max="12808" width="24.44140625" customWidth="1"/>
    <col min="12809" max="12810" width="25.88671875" customWidth="1"/>
    <col min="12811" max="12811" width="20.6640625" customWidth="1"/>
    <col min="12812" max="12812" width="20.5546875" customWidth="1"/>
    <col min="12814" max="12814" width="11.33203125" bestFit="1" customWidth="1"/>
    <col min="12815" max="12815" width="13.109375" customWidth="1"/>
    <col min="13057" max="13057" width="39.6640625" customWidth="1"/>
    <col min="13058" max="13058" width="25.33203125" customWidth="1"/>
    <col min="13059" max="13063" width="20.6640625" customWidth="1"/>
    <col min="13064" max="13064" width="24.44140625" customWidth="1"/>
    <col min="13065" max="13066" width="25.88671875" customWidth="1"/>
    <col min="13067" max="13067" width="20.6640625" customWidth="1"/>
    <col min="13068" max="13068" width="20.5546875" customWidth="1"/>
    <col min="13070" max="13070" width="11.33203125" bestFit="1" customWidth="1"/>
    <col min="13071" max="13071" width="13.109375" customWidth="1"/>
    <col min="13313" max="13313" width="39.6640625" customWidth="1"/>
    <col min="13314" max="13314" width="25.33203125" customWidth="1"/>
    <col min="13315" max="13319" width="20.6640625" customWidth="1"/>
    <col min="13320" max="13320" width="24.44140625" customWidth="1"/>
    <col min="13321" max="13322" width="25.88671875" customWidth="1"/>
    <col min="13323" max="13323" width="20.6640625" customWidth="1"/>
    <col min="13324" max="13324" width="20.5546875" customWidth="1"/>
    <col min="13326" max="13326" width="11.33203125" bestFit="1" customWidth="1"/>
    <col min="13327" max="13327" width="13.109375" customWidth="1"/>
    <col min="13569" max="13569" width="39.6640625" customWidth="1"/>
    <col min="13570" max="13570" width="25.33203125" customWidth="1"/>
    <col min="13571" max="13575" width="20.6640625" customWidth="1"/>
    <col min="13576" max="13576" width="24.44140625" customWidth="1"/>
    <col min="13577" max="13578" width="25.88671875" customWidth="1"/>
    <col min="13579" max="13579" width="20.6640625" customWidth="1"/>
    <col min="13580" max="13580" width="20.5546875" customWidth="1"/>
    <col min="13582" max="13582" width="11.33203125" bestFit="1" customWidth="1"/>
    <col min="13583" max="13583" width="13.109375" customWidth="1"/>
    <col min="13825" max="13825" width="39.6640625" customWidth="1"/>
    <col min="13826" max="13826" width="25.33203125" customWidth="1"/>
    <col min="13827" max="13831" width="20.6640625" customWidth="1"/>
    <col min="13832" max="13832" width="24.44140625" customWidth="1"/>
    <col min="13833" max="13834" width="25.88671875" customWidth="1"/>
    <col min="13835" max="13835" width="20.6640625" customWidth="1"/>
    <col min="13836" max="13836" width="20.5546875" customWidth="1"/>
    <col min="13838" max="13838" width="11.33203125" bestFit="1" customWidth="1"/>
    <col min="13839" max="13839" width="13.109375" customWidth="1"/>
    <col min="14081" max="14081" width="39.6640625" customWidth="1"/>
    <col min="14082" max="14082" width="25.33203125" customWidth="1"/>
    <col min="14083" max="14087" width="20.6640625" customWidth="1"/>
    <col min="14088" max="14088" width="24.44140625" customWidth="1"/>
    <col min="14089" max="14090" width="25.88671875" customWidth="1"/>
    <col min="14091" max="14091" width="20.6640625" customWidth="1"/>
    <col min="14092" max="14092" width="20.5546875" customWidth="1"/>
    <col min="14094" max="14094" width="11.33203125" bestFit="1" customWidth="1"/>
    <col min="14095" max="14095" width="13.109375" customWidth="1"/>
    <col min="14337" max="14337" width="39.6640625" customWidth="1"/>
    <col min="14338" max="14338" width="25.33203125" customWidth="1"/>
    <col min="14339" max="14343" width="20.6640625" customWidth="1"/>
    <col min="14344" max="14344" width="24.44140625" customWidth="1"/>
    <col min="14345" max="14346" width="25.88671875" customWidth="1"/>
    <col min="14347" max="14347" width="20.6640625" customWidth="1"/>
    <col min="14348" max="14348" width="20.5546875" customWidth="1"/>
    <col min="14350" max="14350" width="11.33203125" bestFit="1" customWidth="1"/>
    <col min="14351" max="14351" width="13.109375" customWidth="1"/>
    <col min="14593" max="14593" width="39.6640625" customWidth="1"/>
    <col min="14594" max="14594" width="25.33203125" customWidth="1"/>
    <col min="14595" max="14599" width="20.6640625" customWidth="1"/>
    <col min="14600" max="14600" width="24.44140625" customWidth="1"/>
    <col min="14601" max="14602" width="25.88671875" customWidth="1"/>
    <col min="14603" max="14603" width="20.6640625" customWidth="1"/>
    <col min="14604" max="14604" width="20.5546875" customWidth="1"/>
    <col min="14606" max="14606" width="11.33203125" bestFit="1" customWidth="1"/>
    <col min="14607" max="14607" width="13.109375" customWidth="1"/>
    <col min="14849" max="14849" width="39.6640625" customWidth="1"/>
    <col min="14850" max="14850" width="25.33203125" customWidth="1"/>
    <col min="14851" max="14855" width="20.6640625" customWidth="1"/>
    <col min="14856" max="14856" width="24.44140625" customWidth="1"/>
    <col min="14857" max="14858" width="25.88671875" customWidth="1"/>
    <col min="14859" max="14859" width="20.6640625" customWidth="1"/>
    <col min="14860" max="14860" width="20.5546875" customWidth="1"/>
    <col min="14862" max="14862" width="11.33203125" bestFit="1" customWidth="1"/>
    <col min="14863" max="14863" width="13.109375" customWidth="1"/>
    <col min="15105" max="15105" width="39.6640625" customWidth="1"/>
    <col min="15106" max="15106" width="25.33203125" customWidth="1"/>
    <col min="15107" max="15111" width="20.6640625" customWidth="1"/>
    <col min="15112" max="15112" width="24.44140625" customWidth="1"/>
    <col min="15113" max="15114" width="25.88671875" customWidth="1"/>
    <col min="15115" max="15115" width="20.6640625" customWidth="1"/>
    <col min="15116" max="15116" width="20.5546875" customWidth="1"/>
    <col min="15118" max="15118" width="11.33203125" bestFit="1" customWidth="1"/>
    <col min="15119" max="15119" width="13.109375" customWidth="1"/>
    <col min="15361" max="15361" width="39.6640625" customWidth="1"/>
    <col min="15362" max="15362" width="25.33203125" customWidth="1"/>
    <col min="15363" max="15367" width="20.6640625" customWidth="1"/>
    <col min="15368" max="15368" width="24.44140625" customWidth="1"/>
    <col min="15369" max="15370" width="25.88671875" customWidth="1"/>
    <col min="15371" max="15371" width="20.6640625" customWidth="1"/>
    <col min="15372" max="15372" width="20.5546875" customWidth="1"/>
    <col min="15374" max="15374" width="11.33203125" bestFit="1" customWidth="1"/>
    <col min="15375" max="15375" width="13.109375" customWidth="1"/>
    <col min="15617" max="15617" width="39.6640625" customWidth="1"/>
    <col min="15618" max="15618" width="25.33203125" customWidth="1"/>
    <col min="15619" max="15623" width="20.6640625" customWidth="1"/>
    <col min="15624" max="15624" width="24.44140625" customWidth="1"/>
    <col min="15625" max="15626" width="25.88671875" customWidth="1"/>
    <col min="15627" max="15627" width="20.6640625" customWidth="1"/>
    <col min="15628" max="15628" width="20.5546875" customWidth="1"/>
    <col min="15630" max="15630" width="11.33203125" bestFit="1" customWidth="1"/>
    <col min="15631" max="15631" width="13.109375" customWidth="1"/>
    <col min="15873" max="15873" width="39.6640625" customWidth="1"/>
    <col min="15874" max="15874" width="25.33203125" customWidth="1"/>
    <col min="15875" max="15879" width="20.6640625" customWidth="1"/>
    <col min="15880" max="15880" width="24.44140625" customWidth="1"/>
    <col min="15881" max="15882" width="25.88671875" customWidth="1"/>
    <col min="15883" max="15883" width="20.6640625" customWidth="1"/>
    <col min="15884" max="15884" width="20.5546875" customWidth="1"/>
    <col min="15886" max="15886" width="11.33203125" bestFit="1" customWidth="1"/>
    <col min="15887" max="15887" width="13.109375" customWidth="1"/>
    <col min="16129" max="16129" width="39.6640625" customWidth="1"/>
    <col min="16130" max="16130" width="25.33203125" customWidth="1"/>
    <col min="16131" max="16135" width="20.6640625" customWidth="1"/>
    <col min="16136" max="16136" width="24.44140625" customWidth="1"/>
    <col min="16137" max="16138" width="25.88671875" customWidth="1"/>
    <col min="16139" max="16139" width="20.6640625" customWidth="1"/>
    <col min="16140" max="16140" width="20.5546875" customWidth="1"/>
    <col min="16142" max="16142" width="11.33203125" bestFit="1" customWidth="1"/>
    <col min="16143" max="16143" width="13.109375" customWidth="1"/>
  </cols>
  <sheetData>
    <row r="1" spans="1:19" s="2" customFormat="1" ht="28.5" customHeight="1" x14ac:dyDescent="0.35">
      <c r="A1" s="1" t="s">
        <v>0</v>
      </c>
      <c r="K1" s="3"/>
    </row>
    <row r="2" spans="1:19" s="5" customFormat="1" ht="21" customHeight="1" x14ac:dyDescent="0.3">
      <c r="A2" s="4"/>
      <c r="K2" s="6"/>
    </row>
    <row r="3" spans="1:19" s="5" customFormat="1" ht="18" customHeight="1" x14ac:dyDescent="0.3">
      <c r="A3" s="7" t="s">
        <v>1</v>
      </c>
      <c r="K3" s="8" t="s">
        <v>2</v>
      </c>
    </row>
    <row r="4" spans="1:19" s="5" customFormat="1" ht="26.1" customHeight="1" x14ac:dyDescent="0.3">
      <c r="A4" s="9" t="s">
        <v>3</v>
      </c>
      <c r="B4" s="10" t="s">
        <v>4</v>
      </c>
      <c r="C4" s="11"/>
      <c r="D4" s="11"/>
      <c r="E4" s="11"/>
      <c r="F4" s="11"/>
      <c r="G4" s="11"/>
      <c r="H4" s="11"/>
      <c r="I4" s="12"/>
      <c r="J4" s="12"/>
      <c r="K4" s="13"/>
    </row>
    <row r="5" spans="1:19" ht="75" customHeight="1" x14ac:dyDescent="0.3">
      <c r="A5" s="14"/>
      <c r="B5" s="15" t="s">
        <v>5</v>
      </c>
      <c r="C5" s="16" t="s">
        <v>6</v>
      </c>
      <c r="D5" s="15" t="s">
        <v>7</v>
      </c>
      <c r="E5" s="16" t="s">
        <v>8</v>
      </c>
      <c r="F5" s="15" t="s">
        <v>9</v>
      </c>
      <c r="G5" s="16" t="s">
        <v>10</v>
      </c>
      <c r="H5" s="15" t="s">
        <v>11</v>
      </c>
      <c r="I5" s="16" t="s">
        <v>12</v>
      </c>
      <c r="J5" s="15" t="s">
        <v>13</v>
      </c>
      <c r="K5" s="15" t="s">
        <v>14</v>
      </c>
    </row>
    <row r="6" spans="1:19" s="22" customFormat="1" ht="34.5" customHeight="1" x14ac:dyDescent="0.3">
      <c r="A6" s="17" t="s">
        <v>15</v>
      </c>
      <c r="B6" s="18"/>
      <c r="C6" s="19"/>
      <c r="D6" s="20"/>
      <c r="E6" s="18"/>
      <c r="F6" s="20"/>
      <c r="G6" s="18"/>
      <c r="H6" s="20"/>
      <c r="I6" s="18"/>
      <c r="J6" s="20"/>
      <c r="K6" s="19"/>
      <c r="L6" s="21"/>
      <c r="M6" s="21"/>
      <c r="N6" s="21"/>
      <c r="O6" s="21"/>
      <c r="P6" s="21"/>
      <c r="Q6" s="21"/>
      <c r="R6" s="21"/>
      <c r="S6" s="21"/>
    </row>
    <row r="7" spans="1:19" ht="24.9" customHeight="1" x14ac:dyDescent="0.3">
      <c r="A7" s="23" t="s">
        <v>16</v>
      </c>
      <c r="B7" s="24">
        <v>78545</v>
      </c>
      <c r="C7" s="25">
        <v>1180</v>
      </c>
      <c r="D7" s="25">
        <v>4563</v>
      </c>
      <c r="E7" s="24">
        <v>11406</v>
      </c>
      <c r="F7" s="25">
        <v>3435</v>
      </c>
      <c r="G7" s="24">
        <v>3552</v>
      </c>
      <c r="H7" s="25">
        <v>1945</v>
      </c>
      <c r="I7" s="24">
        <v>1815</v>
      </c>
      <c r="J7" s="25">
        <v>2166</v>
      </c>
      <c r="K7" s="26">
        <v>355</v>
      </c>
      <c r="L7" s="27"/>
      <c r="M7" s="27"/>
      <c r="N7" s="27"/>
      <c r="O7" s="27"/>
      <c r="P7" s="27"/>
      <c r="Q7" s="27"/>
      <c r="R7" s="27"/>
      <c r="S7" s="27"/>
    </row>
    <row r="8" spans="1:19" ht="24.9" customHeight="1" x14ac:dyDescent="0.3">
      <c r="A8" s="28" t="s">
        <v>17</v>
      </c>
      <c r="B8" s="29">
        <v>74</v>
      </c>
      <c r="C8" s="30">
        <v>1878</v>
      </c>
      <c r="D8" s="30">
        <v>3269</v>
      </c>
      <c r="E8" s="29">
        <v>5549</v>
      </c>
      <c r="F8" s="30">
        <v>8046</v>
      </c>
      <c r="G8" s="29">
        <v>13483</v>
      </c>
      <c r="H8" s="30">
        <v>10847</v>
      </c>
      <c r="I8" s="29">
        <v>2032</v>
      </c>
      <c r="J8" s="30">
        <v>4850</v>
      </c>
      <c r="K8" s="30">
        <v>2987</v>
      </c>
      <c r="L8" s="27"/>
      <c r="M8" s="27"/>
      <c r="N8" s="27"/>
      <c r="O8" s="27"/>
      <c r="P8" s="27"/>
      <c r="Q8" s="27"/>
      <c r="R8" s="27"/>
      <c r="S8" s="27"/>
    </row>
    <row r="9" spans="1:19" ht="24.9" customHeight="1" x14ac:dyDescent="0.3">
      <c r="A9" s="23" t="s">
        <v>18</v>
      </c>
      <c r="B9" s="24">
        <v>338</v>
      </c>
      <c r="C9" s="25">
        <v>182</v>
      </c>
      <c r="D9" s="25">
        <v>4</v>
      </c>
      <c r="E9" s="24">
        <v>38</v>
      </c>
      <c r="F9" s="25" t="s">
        <v>19</v>
      </c>
      <c r="G9" s="24">
        <v>40</v>
      </c>
      <c r="H9" s="25">
        <v>96</v>
      </c>
      <c r="I9" s="24" t="s">
        <v>19</v>
      </c>
      <c r="J9" s="25" t="s">
        <v>19</v>
      </c>
      <c r="K9" s="25">
        <v>0</v>
      </c>
      <c r="L9" s="27"/>
      <c r="M9" s="27"/>
      <c r="N9" s="27"/>
      <c r="O9" s="27"/>
      <c r="P9" s="27"/>
      <c r="Q9" s="27"/>
      <c r="R9" s="27"/>
      <c r="S9" s="27"/>
    </row>
    <row r="10" spans="1:19" ht="24.9" customHeight="1" x14ac:dyDescent="0.3">
      <c r="A10" s="28" t="s">
        <v>20</v>
      </c>
      <c r="B10" s="29" t="s">
        <v>19</v>
      </c>
      <c r="C10" s="30" t="s">
        <v>19</v>
      </c>
      <c r="D10" s="30" t="s">
        <v>19</v>
      </c>
      <c r="E10" s="29">
        <v>8</v>
      </c>
      <c r="F10" s="30">
        <v>68</v>
      </c>
      <c r="G10" s="29">
        <v>102</v>
      </c>
      <c r="H10" s="30">
        <v>64</v>
      </c>
      <c r="I10" s="29" t="s">
        <v>19</v>
      </c>
      <c r="J10" s="30" t="s">
        <v>19</v>
      </c>
      <c r="K10" s="30">
        <v>1813</v>
      </c>
      <c r="L10" s="27"/>
      <c r="M10" s="27"/>
      <c r="N10" s="27"/>
      <c r="O10" s="27"/>
      <c r="P10" s="27"/>
      <c r="Q10" s="27"/>
      <c r="R10" s="27"/>
      <c r="S10" s="27"/>
    </row>
    <row r="11" spans="1:19" ht="24.9" customHeight="1" x14ac:dyDescent="0.3">
      <c r="A11" s="23" t="s">
        <v>21</v>
      </c>
      <c r="B11" s="24" t="s">
        <v>19</v>
      </c>
      <c r="C11" s="25" t="s">
        <v>19</v>
      </c>
      <c r="D11" s="25" t="s">
        <v>19</v>
      </c>
      <c r="E11" s="24">
        <v>2</v>
      </c>
      <c r="F11" s="25" t="s">
        <v>19</v>
      </c>
      <c r="G11" s="24" t="s">
        <v>19</v>
      </c>
      <c r="H11" s="25" t="s">
        <v>19</v>
      </c>
      <c r="I11" s="24" t="s">
        <v>19</v>
      </c>
      <c r="J11" s="25" t="s">
        <v>19</v>
      </c>
      <c r="K11" s="25" t="s">
        <v>19</v>
      </c>
      <c r="L11" s="27"/>
      <c r="M11" s="27"/>
      <c r="N11" s="27"/>
      <c r="O11" s="27"/>
      <c r="P11" s="27"/>
      <c r="Q11" s="27"/>
      <c r="R11" s="27"/>
      <c r="S11" s="27"/>
    </row>
    <row r="12" spans="1:19" ht="24.9" customHeight="1" x14ac:dyDescent="0.3">
      <c r="A12" s="28" t="s">
        <v>22</v>
      </c>
      <c r="B12" s="29" t="s">
        <v>19</v>
      </c>
      <c r="C12" s="30" t="s">
        <v>19</v>
      </c>
      <c r="D12" s="30" t="s">
        <v>19</v>
      </c>
      <c r="E12" s="29">
        <v>87</v>
      </c>
      <c r="F12" s="30">
        <v>386</v>
      </c>
      <c r="G12" s="29">
        <v>840</v>
      </c>
      <c r="H12" s="30">
        <v>840</v>
      </c>
      <c r="I12" s="29" t="s">
        <v>19</v>
      </c>
      <c r="J12" s="30" t="s">
        <v>19</v>
      </c>
      <c r="K12" s="30" t="s">
        <v>19</v>
      </c>
      <c r="L12" s="27"/>
      <c r="M12" s="27"/>
      <c r="N12" s="27"/>
      <c r="O12" s="27"/>
      <c r="P12" s="27"/>
      <c r="Q12" s="27"/>
      <c r="R12" s="27"/>
      <c r="S12" s="27"/>
    </row>
    <row r="13" spans="1:19" ht="24.9" customHeight="1" x14ac:dyDescent="0.3">
      <c r="A13" s="23" t="s">
        <v>23</v>
      </c>
      <c r="B13" s="24" t="s">
        <v>19</v>
      </c>
      <c r="C13" s="25" t="s">
        <v>19</v>
      </c>
      <c r="D13" s="25" t="s">
        <v>19</v>
      </c>
      <c r="E13" s="24" t="s">
        <v>19</v>
      </c>
      <c r="F13" s="25" t="s">
        <v>19</v>
      </c>
      <c r="G13" s="24" t="s">
        <v>19</v>
      </c>
      <c r="H13" s="25" t="s">
        <v>19</v>
      </c>
      <c r="I13" s="24" t="s">
        <v>19</v>
      </c>
      <c r="J13" s="25" t="s">
        <v>19</v>
      </c>
      <c r="K13" s="25" t="s">
        <v>19</v>
      </c>
      <c r="L13" s="27"/>
      <c r="M13" s="27"/>
      <c r="N13" s="27"/>
      <c r="O13" s="27"/>
      <c r="P13" s="27"/>
      <c r="Q13" s="27"/>
      <c r="R13" s="27"/>
      <c r="S13" s="27"/>
    </row>
    <row r="14" spans="1:19" ht="24.9" customHeight="1" x14ac:dyDescent="0.3">
      <c r="A14" s="28" t="s">
        <v>24</v>
      </c>
      <c r="B14" s="29" t="s">
        <v>19</v>
      </c>
      <c r="C14" s="30" t="s">
        <v>19</v>
      </c>
      <c r="D14" s="30" t="s">
        <v>19</v>
      </c>
      <c r="E14" s="29" t="s">
        <v>19</v>
      </c>
      <c r="F14" s="30" t="s">
        <v>19</v>
      </c>
      <c r="G14" s="29" t="s">
        <v>19</v>
      </c>
      <c r="H14" s="30" t="s">
        <v>19</v>
      </c>
      <c r="I14" s="29" t="s">
        <v>19</v>
      </c>
      <c r="J14" s="30" t="s">
        <v>19</v>
      </c>
      <c r="K14" s="30" t="s">
        <v>19</v>
      </c>
      <c r="L14" s="27"/>
      <c r="M14" s="27"/>
      <c r="N14" s="27"/>
      <c r="O14" s="27"/>
      <c r="P14" s="27"/>
      <c r="Q14" s="27"/>
      <c r="R14" s="27"/>
      <c r="S14" s="27"/>
    </row>
    <row r="15" spans="1:19" ht="24.9" customHeight="1" x14ac:dyDescent="0.3">
      <c r="A15" s="23" t="s">
        <v>25</v>
      </c>
      <c r="B15" s="24">
        <v>0</v>
      </c>
      <c r="C15" s="25" t="s">
        <v>19</v>
      </c>
      <c r="D15" s="25" t="s">
        <v>19</v>
      </c>
      <c r="E15" s="24" t="s">
        <v>19</v>
      </c>
      <c r="F15" s="25">
        <v>32</v>
      </c>
      <c r="G15" s="24" t="s">
        <v>19</v>
      </c>
      <c r="H15" s="25" t="s">
        <v>19</v>
      </c>
      <c r="I15" s="24" t="s">
        <v>19</v>
      </c>
      <c r="J15" s="25" t="s">
        <v>19</v>
      </c>
      <c r="K15" s="25" t="s">
        <v>19</v>
      </c>
      <c r="L15" s="27"/>
      <c r="M15" s="27"/>
      <c r="N15" s="27"/>
      <c r="O15" s="27"/>
      <c r="P15" s="27"/>
      <c r="Q15" s="27"/>
      <c r="R15" s="27"/>
      <c r="S15" s="27"/>
    </row>
    <row r="16" spans="1:19" ht="34.799999999999997" x14ac:dyDescent="0.3">
      <c r="A16" s="31" t="s">
        <v>26</v>
      </c>
      <c r="B16" s="29">
        <v>0</v>
      </c>
      <c r="C16" s="30">
        <v>0</v>
      </c>
      <c r="D16" s="30">
        <v>0</v>
      </c>
      <c r="E16" s="29">
        <v>22</v>
      </c>
      <c r="F16" s="30">
        <v>48</v>
      </c>
      <c r="G16" s="29">
        <v>59</v>
      </c>
      <c r="H16" s="30">
        <v>134</v>
      </c>
      <c r="I16" s="29" t="s">
        <v>19</v>
      </c>
      <c r="J16" s="30" t="s">
        <v>19</v>
      </c>
      <c r="K16" s="30" t="s">
        <v>19</v>
      </c>
      <c r="L16" s="27"/>
      <c r="M16" s="27"/>
      <c r="N16" s="27"/>
      <c r="O16" s="27"/>
      <c r="P16" s="27"/>
      <c r="Q16" s="27"/>
      <c r="R16" s="27"/>
      <c r="S16" s="27"/>
    </row>
    <row r="17" spans="1:19" ht="24.9" customHeight="1" x14ac:dyDescent="0.3">
      <c r="A17" s="23" t="s">
        <v>27</v>
      </c>
      <c r="B17" s="24"/>
      <c r="C17" s="25"/>
      <c r="D17" s="25"/>
      <c r="E17" s="24"/>
      <c r="F17" s="25"/>
      <c r="G17" s="24"/>
      <c r="H17" s="25"/>
      <c r="I17" s="24"/>
      <c r="J17" s="25"/>
      <c r="K17" s="25"/>
      <c r="L17" s="27"/>
      <c r="M17" s="27"/>
      <c r="N17" s="27"/>
      <c r="O17" s="27"/>
      <c r="P17" s="27"/>
      <c r="Q17" s="27"/>
      <c r="R17" s="27"/>
      <c r="S17" s="27"/>
    </row>
    <row r="18" spans="1:19" ht="24.9" customHeight="1" x14ac:dyDescent="0.3">
      <c r="A18" s="32" t="s">
        <v>28</v>
      </c>
      <c r="B18" s="29" t="s">
        <v>19</v>
      </c>
      <c r="C18" s="30" t="s">
        <v>19</v>
      </c>
      <c r="D18" s="30" t="s">
        <v>19</v>
      </c>
      <c r="E18" s="29" t="s">
        <v>19</v>
      </c>
      <c r="F18" s="30">
        <v>11</v>
      </c>
      <c r="G18" s="29">
        <v>2</v>
      </c>
      <c r="H18" s="30" t="s">
        <v>19</v>
      </c>
      <c r="I18" s="29" t="s">
        <v>19</v>
      </c>
      <c r="J18" s="30" t="s">
        <v>19</v>
      </c>
      <c r="K18" s="30" t="s">
        <v>19</v>
      </c>
      <c r="L18" s="27"/>
      <c r="M18" s="27"/>
      <c r="N18" s="27"/>
      <c r="O18" s="27"/>
      <c r="P18" s="27"/>
      <c r="Q18" s="27"/>
      <c r="R18" s="27"/>
      <c r="S18" s="27"/>
    </row>
    <row r="19" spans="1:19" ht="24.9" customHeight="1" x14ac:dyDescent="0.3">
      <c r="A19" s="33" t="s">
        <v>29</v>
      </c>
      <c r="B19" s="24" t="s">
        <v>19</v>
      </c>
      <c r="C19" s="25" t="s">
        <v>19</v>
      </c>
      <c r="D19" s="25" t="s">
        <v>19</v>
      </c>
      <c r="E19" s="24">
        <v>7</v>
      </c>
      <c r="F19" s="25">
        <v>121</v>
      </c>
      <c r="G19" s="24">
        <v>476</v>
      </c>
      <c r="H19" s="25">
        <v>228</v>
      </c>
      <c r="I19" s="24" t="s">
        <v>19</v>
      </c>
      <c r="J19" s="25" t="s">
        <v>19</v>
      </c>
      <c r="K19" s="25" t="s">
        <v>19</v>
      </c>
      <c r="L19" s="27"/>
      <c r="M19" s="27"/>
      <c r="N19" s="27"/>
      <c r="O19" s="27"/>
      <c r="P19" s="27"/>
      <c r="Q19" s="27"/>
      <c r="R19" s="27"/>
      <c r="S19" s="27"/>
    </row>
    <row r="20" spans="1:19" ht="24.9" customHeight="1" x14ac:dyDescent="0.3">
      <c r="A20" s="34" t="s">
        <v>30</v>
      </c>
      <c r="B20" s="29">
        <v>0</v>
      </c>
      <c r="C20" s="30" t="s">
        <v>19</v>
      </c>
      <c r="D20" s="30" t="s">
        <v>19</v>
      </c>
      <c r="E20" s="29" t="s">
        <v>19</v>
      </c>
      <c r="F20" s="30" t="s">
        <v>19</v>
      </c>
      <c r="G20" s="29" t="s">
        <v>19</v>
      </c>
      <c r="H20" s="30" t="s">
        <v>19</v>
      </c>
      <c r="I20" s="29" t="s">
        <v>19</v>
      </c>
      <c r="J20" s="30" t="s">
        <v>19</v>
      </c>
      <c r="K20" s="30" t="s">
        <v>19</v>
      </c>
      <c r="L20" s="27"/>
      <c r="M20" s="27"/>
      <c r="N20" s="27"/>
      <c r="O20" s="27"/>
      <c r="P20" s="27"/>
      <c r="Q20" s="27"/>
      <c r="R20" s="27"/>
      <c r="S20" s="27"/>
    </row>
    <row r="21" spans="1:19" ht="24.9" customHeight="1" x14ac:dyDescent="0.3">
      <c r="A21" s="35" t="s">
        <v>31</v>
      </c>
      <c r="B21" s="29">
        <v>308</v>
      </c>
      <c r="C21" s="25">
        <v>60</v>
      </c>
      <c r="D21" s="25">
        <v>182</v>
      </c>
      <c r="E21" s="24" t="s">
        <v>19</v>
      </c>
      <c r="F21" s="25">
        <v>60</v>
      </c>
      <c r="G21" s="24">
        <v>534</v>
      </c>
      <c r="H21" s="25" t="s">
        <v>19</v>
      </c>
      <c r="I21" s="24" t="s">
        <v>19</v>
      </c>
      <c r="J21" s="25" t="s">
        <v>19</v>
      </c>
      <c r="K21" s="25" t="s">
        <v>19</v>
      </c>
      <c r="L21" s="27"/>
      <c r="M21" s="27"/>
      <c r="N21" s="27"/>
      <c r="O21" s="27"/>
      <c r="P21" s="27"/>
      <c r="Q21" s="27"/>
      <c r="R21" s="27"/>
      <c r="S21" s="27"/>
    </row>
    <row r="22" spans="1:19" ht="24.9" customHeight="1" x14ac:dyDescent="0.3">
      <c r="A22" s="36" t="s">
        <v>32</v>
      </c>
      <c r="B22" s="29">
        <v>0</v>
      </c>
      <c r="C22" s="30" t="s">
        <v>19</v>
      </c>
      <c r="D22" s="30" t="s">
        <v>19</v>
      </c>
      <c r="E22" s="29" t="s">
        <v>19</v>
      </c>
      <c r="F22" s="30" t="s">
        <v>19</v>
      </c>
      <c r="G22" s="29">
        <v>400</v>
      </c>
      <c r="H22" s="30" t="s">
        <v>19</v>
      </c>
      <c r="I22" s="29" t="s">
        <v>19</v>
      </c>
      <c r="J22" s="30" t="s">
        <v>19</v>
      </c>
      <c r="K22" s="30" t="s">
        <v>19</v>
      </c>
      <c r="L22" s="27"/>
      <c r="M22" s="27"/>
      <c r="N22" s="27"/>
      <c r="O22" s="27"/>
      <c r="P22" s="27"/>
      <c r="Q22" s="27"/>
      <c r="R22" s="27"/>
      <c r="S22" s="27"/>
    </row>
    <row r="23" spans="1:19" s="40" customFormat="1" ht="30" customHeight="1" x14ac:dyDescent="0.3">
      <c r="A23" s="37" t="s">
        <v>33</v>
      </c>
      <c r="B23" s="24">
        <v>105</v>
      </c>
      <c r="C23" s="25">
        <v>5383</v>
      </c>
      <c r="D23" s="38">
        <v>2457</v>
      </c>
      <c r="E23" s="24" t="s">
        <v>19</v>
      </c>
      <c r="F23" s="38">
        <v>2136</v>
      </c>
      <c r="G23" s="24">
        <v>6734</v>
      </c>
      <c r="H23" s="38">
        <v>4080</v>
      </c>
      <c r="I23" s="24" t="s">
        <v>19</v>
      </c>
      <c r="J23" s="38" t="s">
        <v>19</v>
      </c>
      <c r="K23" s="38" t="s">
        <v>19</v>
      </c>
      <c r="L23" s="39"/>
      <c r="M23" s="39"/>
      <c r="N23" s="39"/>
      <c r="O23" s="39"/>
      <c r="P23" s="39"/>
      <c r="Q23" s="39"/>
      <c r="R23" s="39"/>
      <c r="S23" s="39"/>
    </row>
    <row r="24" spans="1:19" ht="30" customHeight="1" x14ac:dyDescent="0.25">
      <c r="A24" s="41" t="s">
        <v>34</v>
      </c>
      <c r="B24" s="42">
        <f t="shared" ref="B24:K24" si="0">SUM(B6:B23)</f>
        <v>79370</v>
      </c>
      <c r="C24" s="42">
        <f t="shared" si="0"/>
        <v>8683</v>
      </c>
      <c r="D24" s="42">
        <f t="shared" si="0"/>
        <v>10475</v>
      </c>
      <c r="E24" s="42">
        <f t="shared" si="0"/>
        <v>17119</v>
      </c>
      <c r="F24" s="42">
        <f t="shared" si="0"/>
        <v>14343</v>
      </c>
      <c r="G24" s="42">
        <f t="shared" si="0"/>
        <v>26222</v>
      </c>
      <c r="H24" s="42">
        <f t="shared" si="0"/>
        <v>18234</v>
      </c>
      <c r="I24" s="42">
        <f t="shared" si="0"/>
        <v>3847</v>
      </c>
      <c r="J24" s="42">
        <f t="shared" si="0"/>
        <v>7016</v>
      </c>
      <c r="K24" s="42">
        <f t="shared" si="0"/>
        <v>5155</v>
      </c>
      <c r="L24" s="43"/>
    </row>
    <row r="25" spans="1:19" s="22" customFormat="1" ht="30" customHeight="1" x14ac:dyDescent="0.25">
      <c r="A25" s="44" t="s">
        <v>35</v>
      </c>
      <c r="B25" s="45">
        <f t="shared" ref="B25:K25" si="1">(B24-B28)</f>
        <v>12315</v>
      </c>
      <c r="C25" s="45">
        <f t="shared" si="1"/>
        <v>1647</v>
      </c>
      <c r="D25" s="45">
        <f t="shared" si="1"/>
        <v>-4997</v>
      </c>
      <c r="E25" s="45">
        <f t="shared" si="1"/>
        <v>11043</v>
      </c>
      <c r="F25" s="45">
        <f t="shared" si="1"/>
        <v>820</v>
      </c>
      <c r="G25" s="45">
        <f t="shared" si="1"/>
        <v>2434</v>
      </c>
      <c r="H25" s="45">
        <f t="shared" si="1"/>
        <v>1546</v>
      </c>
      <c r="I25" s="45">
        <f t="shared" si="1"/>
        <v>-8576</v>
      </c>
      <c r="J25" s="45">
        <f t="shared" si="1"/>
        <v>398</v>
      </c>
      <c r="K25" s="45">
        <f t="shared" si="1"/>
        <v>1701</v>
      </c>
      <c r="L25" s="46"/>
    </row>
    <row r="26" spans="1:19" s="22" customFormat="1" ht="30" customHeight="1" x14ac:dyDescent="0.25">
      <c r="A26" s="44" t="s">
        <v>36</v>
      </c>
      <c r="B26" s="47">
        <f t="shared" ref="B26:K26" si="2">(B24-B28)/ABS(B28)</f>
        <v>0.18365520841100588</v>
      </c>
      <c r="C26" s="47">
        <f t="shared" si="2"/>
        <v>0.23408186469584991</v>
      </c>
      <c r="D26" s="47">
        <f t="shared" si="2"/>
        <v>-0.32297052740434334</v>
      </c>
      <c r="E26" s="47">
        <f t="shared" si="2"/>
        <v>1.8174786043449638</v>
      </c>
      <c r="F26" s="47">
        <f t="shared" si="2"/>
        <v>6.0637432522369299E-2</v>
      </c>
      <c r="G26" s="47">
        <f t="shared" si="2"/>
        <v>0.10232049772994788</v>
      </c>
      <c r="H26" s="47">
        <f t="shared" si="2"/>
        <v>9.264141898370086E-2</v>
      </c>
      <c r="I26" s="47">
        <f t="shared" si="2"/>
        <v>-0.69033244787893422</v>
      </c>
      <c r="J26" s="47">
        <f t="shared" si="2"/>
        <v>6.0139014808099127E-2</v>
      </c>
      <c r="K26" s="47">
        <f t="shared" si="2"/>
        <v>0.49247249565720902</v>
      </c>
      <c r="L26" s="46"/>
    </row>
    <row r="27" spans="1:19" s="22" customFormat="1" ht="30" customHeight="1" x14ac:dyDescent="0.25">
      <c r="A27" s="44" t="s">
        <v>37</v>
      </c>
      <c r="B27" s="48">
        <f>B24/$L$55</f>
        <v>0.19885950802503471</v>
      </c>
      <c r="C27" s="48">
        <f t="shared" ref="C27:K27" si="3">C24/$L$55</f>
        <v>2.1755034750930782E-2</v>
      </c>
      <c r="D27" s="48">
        <f t="shared" si="3"/>
        <v>2.6244844986295056E-2</v>
      </c>
      <c r="E27" s="48">
        <f t="shared" si="3"/>
        <v>4.2891217309821962E-2</v>
      </c>
      <c r="F27" s="48">
        <f t="shared" si="3"/>
        <v>3.593602020414606E-2</v>
      </c>
      <c r="G27" s="48">
        <f t="shared" si="3"/>
        <v>6.5698551334666247E-2</v>
      </c>
      <c r="H27" s="48">
        <f t="shared" si="3"/>
        <v>4.5684821334616134E-2</v>
      </c>
      <c r="I27" s="48">
        <f t="shared" si="3"/>
        <v>9.6385602541553296E-3</v>
      </c>
      <c r="J27" s="48">
        <f t="shared" si="3"/>
        <v>1.7578408823278865E-2</v>
      </c>
      <c r="K27" s="48">
        <f t="shared" si="3"/>
        <v>1.2915720850057376E-2</v>
      </c>
      <c r="L27" s="46"/>
    </row>
    <row r="28" spans="1:19" s="22" customFormat="1" ht="30" customHeight="1" x14ac:dyDescent="0.3">
      <c r="A28" s="49" t="s">
        <v>38</v>
      </c>
      <c r="B28" s="50">
        <v>67055</v>
      </c>
      <c r="C28" s="50">
        <v>7036</v>
      </c>
      <c r="D28" s="50">
        <v>15472</v>
      </c>
      <c r="E28" s="50">
        <v>6076</v>
      </c>
      <c r="F28" s="50">
        <v>13523</v>
      </c>
      <c r="G28" s="50">
        <v>23788</v>
      </c>
      <c r="H28" s="50">
        <v>16688</v>
      </c>
      <c r="I28" s="50">
        <v>12423</v>
      </c>
      <c r="J28" s="50">
        <v>6618</v>
      </c>
      <c r="K28" s="50">
        <v>3454</v>
      </c>
      <c r="L28" s="46"/>
    </row>
    <row r="29" spans="1:19" ht="16.5" customHeight="1" x14ac:dyDescent="0.25">
      <c r="A29" s="51"/>
      <c r="B29" s="52"/>
      <c r="C29" s="52"/>
      <c r="D29" s="52"/>
      <c r="E29" s="52"/>
      <c r="F29" s="52"/>
      <c r="G29" s="52"/>
      <c r="H29" s="52"/>
      <c r="I29" s="52"/>
      <c r="J29" s="52"/>
    </row>
    <row r="30" spans="1:19" ht="15.75" customHeight="1" x14ac:dyDescent="0.3">
      <c r="A30" s="53"/>
      <c r="B30" s="54"/>
      <c r="C30" s="54"/>
      <c r="D30" s="54"/>
      <c r="E30" s="54"/>
      <c r="F30" s="54"/>
      <c r="G30" s="54"/>
      <c r="H30" s="54"/>
      <c r="I30" s="54"/>
      <c r="J30" s="54"/>
      <c r="K30" s="55"/>
    </row>
    <row r="31" spans="1:19" s="2" customFormat="1" ht="31.5" customHeight="1" x14ac:dyDescent="0.4">
      <c r="A31" s="56" t="s">
        <v>39</v>
      </c>
      <c r="K31" s="57"/>
    </row>
    <row r="32" spans="1:19" s="5" customFormat="1" ht="22.5" customHeight="1" x14ac:dyDescent="0.3">
      <c r="A32" s="4"/>
      <c r="K32" s="58"/>
    </row>
    <row r="33" spans="1:19" s="5" customFormat="1" ht="22.5" customHeight="1" x14ac:dyDescent="0.3">
      <c r="A33" s="59"/>
      <c r="K33" s="58"/>
    </row>
    <row r="34" spans="1:19" s="5" customFormat="1" ht="18" customHeight="1" x14ac:dyDescent="0.3">
      <c r="A34" s="7" t="s">
        <v>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8" t="s">
        <v>2</v>
      </c>
    </row>
    <row r="35" spans="1:19" s="5" customFormat="1" ht="26.1" customHeight="1" x14ac:dyDescent="0.3">
      <c r="A35" s="9" t="s">
        <v>3</v>
      </c>
      <c r="B35" s="10" t="s">
        <v>4</v>
      </c>
      <c r="C35" s="11"/>
      <c r="D35" s="11"/>
      <c r="E35" s="11"/>
      <c r="F35" s="11"/>
      <c r="G35" s="11"/>
      <c r="H35" s="11"/>
      <c r="I35" s="11"/>
      <c r="J35" s="60"/>
      <c r="K35" s="61"/>
      <c r="L35" s="62" t="s">
        <v>40</v>
      </c>
    </row>
    <row r="36" spans="1:19" ht="75" customHeight="1" x14ac:dyDescent="0.3">
      <c r="A36" s="14"/>
      <c r="B36" s="15" t="s">
        <v>41</v>
      </c>
      <c r="C36" s="15" t="s">
        <v>42</v>
      </c>
      <c r="D36" s="15" t="s">
        <v>43</v>
      </c>
      <c r="E36" s="15" t="s">
        <v>44</v>
      </c>
      <c r="F36" s="15" t="s">
        <v>45</v>
      </c>
      <c r="G36" s="15" t="s">
        <v>46</v>
      </c>
      <c r="H36" s="15" t="s">
        <v>47</v>
      </c>
      <c r="I36" s="15" t="s">
        <v>48</v>
      </c>
      <c r="J36" s="15" t="s">
        <v>49</v>
      </c>
      <c r="K36" s="63" t="s">
        <v>50</v>
      </c>
      <c r="L36" s="64"/>
      <c r="M36" s="65"/>
      <c r="N36" s="65"/>
    </row>
    <row r="37" spans="1:19" s="22" customFormat="1" ht="30" customHeight="1" x14ac:dyDescent="0.3">
      <c r="A37" s="17" t="s">
        <v>15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7"/>
      <c r="M37" s="68"/>
      <c r="N37" s="68"/>
      <c r="O37" s="21"/>
      <c r="P37" s="21"/>
      <c r="Q37" s="21"/>
      <c r="R37" s="21"/>
      <c r="S37" s="21"/>
    </row>
    <row r="38" spans="1:19" ht="24.9" customHeight="1" x14ac:dyDescent="0.3">
      <c r="A38" s="23" t="s">
        <v>16</v>
      </c>
      <c r="B38" s="69">
        <v>156</v>
      </c>
      <c r="C38" s="69" t="s">
        <v>19</v>
      </c>
      <c r="D38" s="69">
        <v>104</v>
      </c>
      <c r="E38" s="69">
        <v>1306</v>
      </c>
      <c r="F38" s="69">
        <v>7639</v>
      </c>
      <c r="G38" s="69" t="s">
        <v>19</v>
      </c>
      <c r="H38" s="69">
        <v>250</v>
      </c>
      <c r="I38" s="69">
        <v>18</v>
      </c>
      <c r="J38" s="69">
        <v>7885</v>
      </c>
      <c r="K38" s="69">
        <v>41296</v>
      </c>
      <c r="L38" s="70">
        <f t="shared" ref="L38:L47" si="4">SUM(B38:K38,B7:K7)</f>
        <v>167616</v>
      </c>
      <c r="M38" s="71"/>
      <c r="N38" s="71"/>
      <c r="O38" s="72"/>
      <c r="P38" s="27"/>
      <c r="Q38" s="27"/>
      <c r="R38" s="27"/>
      <c r="S38" s="27"/>
    </row>
    <row r="39" spans="1:19" ht="24.75" customHeight="1" x14ac:dyDescent="0.3">
      <c r="A39" s="28" t="s">
        <v>17</v>
      </c>
      <c r="B39" s="73">
        <v>34230</v>
      </c>
      <c r="C39" s="73" t="s">
        <v>19</v>
      </c>
      <c r="D39" s="73" t="s">
        <v>19</v>
      </c>
      <c r="E39" s="73" t="s">
        <v>19</v>
      </c>
      <c r="F39" s="73">
        <v>9985</v>
      </c>
      <c r="G39" s="73" t="s">
        <v>19</v>
      </c>
      <c r="H39" s="73">
        <v>94</v>
      </c>
      <c r="I39" s="73">
        <v>164</v>
      </c>
      <c r="J39" s="73">
        <v>624</v>
      </c>
      <c r="K39" s="73">
        <v>14085</v>
      </c>
      <c r="L39" s="74">
        <f t="shared" si="4"/>
        <v>112197</v>
      </c>
      <c r="M39" s="71"/>
      <c r="N39" s="71"/>
      <c r="O39" s="72"/>
      <c r="P39" s="27"/>
      <c r="Q39" s="27"/>
      <c r="R39" s="27"/>
      <c r="S39" s="27"/>
    </row>
    <row r="40" spans="1:19" ht="24.9" customHeight="1" x14ac:dyDescent="0.3">
      <c r="A40" s="23" t="s">
        <v>18</v>
      </c>
      <c r="B40" s="69" t="s">
        <v>19</v>
      </c>
      <c r="C40" s="69" t="s">
        <v>19</v>
      </c>
      <c r="D40" s="69" t="s">
        <v>19</v>
      </c>
      <c r="E40" s="69">
        <v>48</v>
      </c>
      <c r="F40" s="69">
        <v>72</v>
      </c>
      <c r="G40" s="69" t="s">
        <v>19</v>
      </c>
      <c r="H40" s="69" t="s">
        <v>19</v>
      </c>
      <c r="I40" s="69">
        <v>80</v>
      </c>
      <c r="J40" s="69">
        <v>43</v>
      </c>
      <c r="K40" s="69">
        <v>6926</v>
      </c>
      <c r="L40" s="70">
        <f t="shared" si="4"/>
        <v>7867</v>
      </c>
      <c r="M40" s="75"/>
      <c r="N40" s="75"/>
      <c r="O40" s="27"/>
      <c r="P40" s="27"/>
      <c r="Q40" s="27"/>
      <c r="R40" s="27"/>
      <c r="S40" s="27"/>
    </row>
    <row r="41" spans="1:19" ht="24.9" customHeight="1" x14ac:dyDescent="0.3">
      <c r="A41" s="28" t="s">
        <v>20</v>
      </c>
      <c r="B41" s="73">
        <v>162</v>
      </c>
      <c r="C41" s="73">
        <v>692</v>
      </c>
      <c r="D41" s="73">
        <v>989</v>
      </c>
      <c r="E41" s="73" t="s">
        <v>19</v>
      </c>
      <c r="F41" s="73">
        <v>96</v>
      </c>
      <c r="G41" s="73">
        <v>4281</v>
      </c>
      <c r="H41" s="73">
        <v>188</v>
      </c>
      <c r="I41" s="73" t="s">
        <v>19</v>
      </c>
      <c r="J41" s="73" t="s">
        <v>19</v>
      </c>
      <c r="K41" s="73">
        <v>1754</v>
      </c>
      <c r="L41" s="74">
        <f t="shared" si="4"/>
        <v>10217</v>
      </c>
      <c r="M41" s="75"/>
      <c r="N41" s="75"/>
      <c r="O41" s="27"/>
      <c r="P41" s="27"/>
      <c r="Q41" s="27"/>
      <c r="R41" s="27"/>
      <c r="S41" s="27"/>
    </row>
    <row r="42" spans="1:19" ht="24.9" customHeight="1" x14ac:dyDescent="0.3">
      <c r="A42" s="23" t="s">
        <v>21</v>
      </c>
      <c r="B42" s="69" t="s">
        <v>19</v>
      </c>
      <c r="C42" s="69" t="s">
        <v>19</v>
      </c>
      <c r="D42" s="69" t="s">
        <v>19</v>
      </c>
      <c r="E42" s="69" t="s">
        <v>19</v>
      </c>
      <c r="F42" s="69" t="s">
        <v>19</v>
      </c>
      <c r="G42" s="69" t="s">
        <v>19</v>
      </c>
      <c r="H42" s="69" t="s">
        <v>19</v>
      </c>
      <c r="I42" s="69" t="s">
        <v>19</v>
      </c>
      <c r="J42" s="69" t="s">
        <v>19</v>
      </c>
      <c r="K42" s="69">
        <v>15</v>
      </c>
      <c r="L42" s="70">
        <f t="shared" si="4"/>
        <v>17</v>
      </c>
      <c r="M42" s="75"/>
      <c r="N42" s="75"/>
      <c r="O42" s="27"/>
      <c r="P42" s="27"/>
      <c r="Q42" s="27"/>
      <c r="R42" s="27"/>
      <c r="S42" s="27"/>
    </row>
    <row r="43" spans="1:19" ht="24.9" customHeight="1" x14ac:dyDescent="0.3">
      <c r="A43" s="28" t="s">
        <v>22</v>
      </c>
      <c r="B43" s="73">
        <v>95</v>
      </c>
      <c r="C43" s="73" t="s">
        <v>19</v>
      </c>
      <c r="D43" s="73" t="s">
        <v>19</v>
      </c>
      <c r="E43" s="73" t="s">
        <v>19</v>
      </c>
      <c r="F43" s="73">
        <v>342</v>
      </c>
      <c r="G43" s="73" t="s">
        <v>19</v>
      </c>
      <c r="H43" s="73" t="s">
        <v>19</v>
      </c>
      <c r="I43" s="73" t="s">
        <v>19</v>
      </c>
      <c r="J43" s="73" t="s">
        <v>19</v>
      </c>
      <c r="K43" s="73">
        <v>1051</v>
      </c>
      <c r="L43" s="74">
        <f t="shared" si="4"/>
        <v>3641</v>
      </c>
      <c r="M43" s="75"/>
      <c r="N43" s="75"/>
      <c r="O43" s="27"/>
      <c r="P43" s="27"/>
      <c r="Q43" s="27"/>
      <c r="R43" s="27"/>
      <c r="S43" s="27"/>
    </row>
    <row r="44" spans="1:19" ht="24.9" customHeight="1" x14ac:dyDescent="0.3">
      <c r="A44" s="23" t="s">
        <v>23</v>
      </c>
      <c r="B44" s="69" t="s">
        <v>19</v>
      </c>
      <c r="C44" s="69" t="s">
        <v>19</v>
      </c>
      <c r="D44" s="69" t="s">
        <v>19</v>
      </c>
      <c r="E44" s="69" t="s">
        <v>19</v>
      </c>
      <c r="F44" s="69" t="s">
        <v>19</v>
      </c>
      <c r="G44" s="69" t="s">
        <v>19</v>
      </c>
      <c r="H44" s="69" t="s">
        <v>19</v>
      </c>
      <c r="I44" s="69" t="s">
        <v>19</v>
      </c>
      <c r="J44" s="69" t="s">
        <v>19</v>
      </c>
      <c r="K44" s="69">
        <v>26</v>
      </c>
      <c r="L44" s="70">
        <f t="shared" si="4"/>
        <v>26</v>
      </c>
      <c r="M44" s="75"/>
      <c r="N44" s="75"/>
      <c r="O44" s="27"/>
      <c r="P44" s="27"/>
      <c r="Q44" s="27"/>
      <c r="R44" s="27"/>
      <c r="S44" s="27"/>
    </row>
    <row r="45" spans="1:19" ht="24.9" customHeight="1" x14ac:dyDescent="0.3">
      <c r="A45" s="28" t="s">
        <v>24</v>
      </c>
      <c r="B45" s="73" t="s">
        <v>19</v>
      </c>
      <c r="C45" s="73" t="s">
        <v>19</v>
      </c>
      <c r="D45" s="73" t="s">
        <v>19</v>
      </c>
      <c r="E45" s="73" t="s">
        <v>19</v>
      </c>
      <c r="F45" s="73" t="s">
        <v>19</v>
      </c>
      <c r="G45" s="73" t="s">
        <v>19</v>
      </c>
      <c r="H45" s="73" t="s">
        <v>19</v>
      </c>
      <c r="I45" s="73" t="s">
        <v>19</v>
      </c>
      <c r="J45" s="73" t="s">
        <v>19</v>
      </c>
      <c r="K45" s="73">
        <v>38</v>
      </c>
      <c r="L45" s="74">
        <f t="shared" si="4"/>
        <v>38</v>
      </c>
      <c r="M45" s="75"/>
      <c r="N45" s="75"/>
      <c r="O45" s="27"/>
      <c r="P45" s="27"/>
      <c r="Q45" s="27"/>
      <c r="R45" s="27"/>
      <c r="S45" s="27"/>
    </row>
    <row r="46" spans="1:19" ht="24.9" customHeight="1" x14ac:dyDescent="0.3">
      <c r="A46" s="23" t="s">
        <v>25</v>
      </c>
      <c r="B46" s="69" t="s">
        <v>19</v>
      </c>
      <c r="C46" s="69" t="s">
        <v>19</v>
      </c>
      <c r="D46" s="69" t="s">
        <v>19</v>
      </c>
      <c r="E46" s="69" t="s">
        <v>19</v>
      </c>
      <c r="F46" s="69" t="s">
        <v>19</v>
      </c>
      <c r="G46" s="69" t="s">
        <v>19</v>
      </c>
      <c r="H46" s="69">
        <v>40</v>
      </c>
      <c r="I46" s="69" t="s">
        <v>19</v>
      </c>
      <c r="J46" s="69" t="s">
        <v>19</v>
      </c>
      <c r="K46" s="69">
        <v>0</v>
      </c>
      <c r="L46" s="70">
        <f t="shared" si="4"/>
        <v>72</v>
      </c>
      <c r="M46" s="75"/>
      <c r="N46" s="75"/>
      <c r="O46" s="27"/>
      <c r="P46" s="27"/>
      <c r="Q46" s="27"/>
      <c r="R46" s="27"/>
      <c r="S46" s="27"/>
    </row>
    <row r="47" spans="1:19" ht="34.799999999999997" x14ac:dyDescent="0.3">
      <c r="A47" s="31" t="s">
        <v>26</v>
      </c>
      <c r="B47" s="73" t="s">
        <v>19</v>
      </c>
      <c r="C47" s="73" t="s">
        <v>19</v>
      </c>
      <c r="D47" s="73">
        <v>8</v>
      </c>
      <c r="E47" s="73" t="s">
        <v>19</v>
      </c>
      <c r="F47" s="73">
        <v>202</v>
      </c>
      <c r="G47" s="73" t="s">
        <v>19</v>
      </c>
      <c r="H47" s="73">
        <v>69</v>
      </c>
      <c r="I47" s="73" t="s">
        <v>19</v>
      </c>
      <c r="J47" s="73" t="s">
        <v>19</v>
      </c>
      <c r="K47" s="73">
        <v>2805</v>
      </c>
      <c r="L47" s="74">
        <f t="shared" si="4"/>
        <v>3347</v>
      </c>
      <c r="M47" s="75"/>
      <c r="N47" s="75"/>
      <c r="O47" s="27"/>
      <c r="P47" s="27"/>
      <c r="Q47" s="27"/>
      <c r="R47" s="27"/>
      <c r="S47" s="27"/>
    </row>
    <row r="48" spans="1:19" ht="24.9" customHeight="1" x14ac:dyDescent="0.3">
      <c r="A48" s="23" t="s">
        <v>27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70"/>
      <c r="M48" s="75"/>
      <c r="N48" s="75"/>
      <c r="O48" s="27"/>
      <c r="P48" s="27"/>
      <c r="Q48" s="27"/>
      <c r="R48" s="27"/>
      <c r="S48" s="27"/>
    </row>
    <row r="49" spans="1:19" ht="24.75" customHeight="1" x14ac:dyDescent="0.3">
      <c r="A49" s="32" t="s">
        <v>28</v>
      </c>
      <c r="B49" s="73" t="s">
        <v>19</v>
      </c>
      <c r="C49" s="73" t="s">
        <v>19</v>
      </c>
      <c r="D49" s="73" t="s">
        <v>19</v>
      </c>
      <c r="E49" s="73" t="s">
        <v>19</v>
      </c>
      <c r="F49" s="73" t="s">
        <v>19</v>
      </c>
      <c r="G49" s="73" t="s">
        <v>19</v>
      </c>
      <c r="H49" s="73" t="s">
        <v>19</v>
      </c>
      <c r="I49" s="73">
        <v>0</v>
      </c>
      <c r="J49" s="73" t="s">
        <v>19</v>
      </c>
      <c r="K49" s="73">
        <v>96</v>
      </c>
      <c r="L49" s="74">
        <f t="shared" ref="L49:L54" si="5">SUM(B49:K49,B18:K18)</f>
        <v>109</v>
      </c>
      <c r="M49" s="75"/>
      <c r="N49" s="75"/>
      <c r="O49" s="27"/>
      <c r="P49" s="27"/>
      <c r="Q49" s="27"/>
      <c r="R49" s="27"/>
      <c r="S49" s="27"/>
    </row>
    <row r="50" spans="1:19" ht="24.9" customHeight="1" x14ac:dyDescent="0.3">
      <c r="A50" s="33" t="s">
        <v>29</v>
      </c>
      <c r="B50" s="69" t="s">
        <v>19</v>
      </c>
      <c r="C50" s="69" t="s">
        <v>19</v>
      </c>
      <c r="D50" s="69" t="s">
        <v>19</v>
      </c>
      <c r="E50" s="69" t="s">
        <v>19</v>
      </c>
      <c r="F50" s="69">
        <v>282</v>
      </c>
      <c r="G50" s="69" t="s">
        <v>19</v>
      </c>
      <c r="H50" s="69" t="s">
        <v>19</v>
      </c>
      <c r="I50" s="69" t="s">
        <v>19</v>
      </c>
      <c r="J50" s="69" t="s">
        <v>19</v>
      </c>
      <c r="K50" s="69">
        <v>444</v>
      </c>
      <c r="L50" s="70">
        <f t="shared" si="5"/>
        <v>1558</v>
      </c>
      <c r="M50" s="75"/>
      <c r="N50" s="75"/>
      <c r="O50" s="27"/>
      <c r="P50" s="27"/>
      <c r="Q50" s="27"/>
      <c r="R50" s="27"/>
      <c r="S50" s="27"/>
    </row>
    <row r="51" spans="1:19" ht="24.9" customHeight="1" x14ac:dyDescent="0.3">
      <c r="A51" s="34" t="s">
        <v>30</v>
      </c>
      <c r="B51" s="73" t="s">
        <v>19</v>
      </c>
      <c r="C51" s="73" t="s">
        <v>19</v>
      </c>
      <c r="D51" s="73" t="s">
        <v>19</v>
      </c>
      <c r="E51" s="73" t="s">
        <v>19</v>
      </c>
      <c r="F51" s="73" t="s">
        <v>19</v>
      </c>
      <c r="G51" s="73" t="s">
        <v>19</v>
      </c>
      <c r="H51" s="73" t="s">
        <v>19</v>
      </c>
      <c r="I51" s="73" t="s">
        <v>19</v>
      </c>
      <c r="J51" s="73" t="s">
        <v>19</v>
      </c>
      <c r="K51" s="73" t="s">
        <v>19</v>
      </c>
      <c r="L51" s="74">
        <f t="shared" si="5"/>
        <v>0</v>
      </c>
      <c r="M51" s="75"/>
      <c r="N51" s="75"/>
      <c r="O51" s="27"/>
      <c r="P51" s="27"/>
      <c r="Q51" s="27"/>
      <c r="R51" s="27"/>
      <c r="S51" s="27"/>
    </row>
    <row r="52" spans="1:19" ht="24.9" customHeight="1" x14ac:dyDescent="0.3">
      <c r="A52" s="35" t="s">
        <v>31</v>
      </c>
      <c r="B52" s="69">
        <v>556</v>
      </c>
      <c r="C52" s="69" t="s">
        <v>19</v>
      </c>
      <c r="D52" s="69" t="s">
        <v>19</v>
      </c>
      <c r="E52" s="69" t="s">
        <v>19</v>
      </c>
      <c r="F52" s="69">
        <v>108</v>
      </c>
      <c r="G52" s="69" t="s">
        <v>19</v>
      </c>
      <c r="H52" s="69" t="s">
        <v>19</v>
      </c>
      <c r="I52" s="69" t="s">
        <v>19</v>
      </c>
      <c r="J52" s="69" t="s">
        <v>19</v>
      </c>
      <c r="K52" s="69">
        <v>13844</v>
      </c>
      <c r="L52" s="70">
        <f t="shared" si="5"/>
        <v>15652</v>
      </c>
      <c r="M52" s="75"/>
      <c r="N52" s="75"/>
      <c r="O52" s="27"/>
      <c r="P52" s="27"/>
      <c r="Q52" s="27"/>
      <c r="R52" s="27"/>
      <c r="S52" s="27"/>
    </row>
    <row r="53" spans="1:19" ht="24.9" customHeight="1" x14ac:dyDescent="0.3">
      <c r="A53" s="36" t="s">
        <v>32</v>
      </c>
      <c r="B53" s="73" t="s">
        <v>19</v>
      </c>
      <c r="C53" s="73" t="s">
        <v>19</v>
      </c>
      <c r="D53" s="73" t="s">
        <v>19</v>
      </c>
      <c r="E53" s="73" t="s">
        <v>19</v>
      </c>
      <c r="F53" s="73" t="s">
        <v>19</v>
      </c>
      <c r="G53" s="73" t="s">
        <v>19</v>
      </c>
      <c r="H53" s="73" t="s">
        <v>19</v>
      </c>
      <c r="I53" s="73" t="s">
        <v>19</v>
      </c>
      <c r="J53" s="73" t="s">
        <v>19</v>
      </c>
      <c r="K53" s="73">
        <v>19</v>
      </c>
      <c r="L53" s="74">
        <f t="shared" si="5"/>
        <v>419</v>
      </c>
      <c r="M53" s="75"/>
      <c r="N53" s="75"/>
      <c r="O53" s="27"/>
      <c r="P53" s="27"/>
      <c r="Q53" s="27"/>
      <c r="R53" s="27"/>
      <c r="S53" s="27"/>
    </row>
    <row r="54" spans="1:19" s="40" customFormat="1" ht="30" customHeight="1" x14ac:dyDescent="0.3">
      <c r="A54" s="37" t="s">
        <v>33</v>
      </c>
      <c r="B54" s="69">
        <v>1280</v>
      </c>
      <c r="C54" s="69" t="s">
        <v>19</v>
      </c>
      <c r="D54" s="69" t="s">
        <v>19</v>
      </c>
      <c r="E54" s="69" t="s">
        <v>19</v>
      </c>
      <c r="F54" s="69">
        <v>1110</v>
      </c>
      <c r="G54" s="69">
        <v>0</v>
      </c>
      <c r="H54" s="69">
        <v>0</v>
      </c>
      <c r="I54" s="69">
        <v>0</v>
      </c>
      <c r="J54" s="69">
        <v>4575</v>
      </c>
      <c r="K54" s="69">
        <v>48490</v>
      </c>
      <c r="L54" s="76">
        <f t="shared" si="5"/>
        <v>76350</v>
      </c>
      <c r="M54" s="77"/>
      <c r="N54" s="77"/>
      <c r="O54" s="39"/>
      <c r="P54" s="39"/>
      <c r="Q54" s="39"/>
      <c r="R54" s="39"/>
      <c r="S54" s="39"/>
    </row>
    <row r="55" spans="1:19" ht="30" customHeight="1" x14ac:dyDescent="0.25">
      <c r="A55" s="41" t="s">
        <v>34</v>
      </c>
      <c r="B55" s="42">
        <f t="shared" ref="B55:L55" si="6">SUM(B37:B54)</f>
        <v>36479</v>
      </c>
      <c r="C55" s="42">
        <f t="shared" si="6"/>
        <v>692</v>
      </c>
      <c r="D55" s="42">
        <f t="shared" si="6"/>
        <v>1101</v>
      </c>
      <c r="E55" s="42">
        <f t="shared" si="6"/>
        <v>1354</v>
      </c>
      <c r="F55" s="42">
        <f t="shared" si="6"/>
        <v>19836</v>
      </c>
      <c r="G55" s="42">
        <f t="shared" si="6"/>
        <v>4281</v>
      </c>
      <c r="H55" s="42">
        <f t="shared" si="6"/>
        <v>641</v>
      </c>
      <c r="I55" s="42">
        <f t="shared" si="6"/>
        <v>262</v>
      </c>
      <c r="J55" s="42">
        <f t="shared" si="6"/>
        <v>13127</v>
      </c>
      <c r="K55" s="42">
        <f t="shared" si="6"/>
        <v>130889</v>
      </c>
      <c r="L55" s="42">
        <f t="shared" si="6"/>
        <v>399126</v>
      </c>
      <c r="M55" s="78"/>
      <c r="N55" s="79"/>
      <c r="O55" s="40"/>
      <c r="P55" s="40"/>
      <c r="Q55" s="40"/>
    </row>
    <row r="56" spans="1:19" ht="30" customHeight="1" x14ac:dyDescent="0.25">
      <c r="A56" s="44" t="s">
        <v>35</v>
      </c>
      <c r="B56" s="45">
        <f t="shared" ref="B56:L56" si="7">(B55-B59)</f>
        <v>3363</v>
      </c>
      <c r="C56" s="45">
        <f t="shared" si="7"/>
        <v>179</v>
      </c>
      <c r="D56" s="45">
        <f t="shared" si="7"/>
        <v>405</v>
      </c>
      <c r="E56" s="45">
        <f t="shared" si="7"/>
        <v>202</v>
      </c>
      <c r="F56" s="45">
        <f t="shared" si="7"/>
        <v>-3661</v>
      </c>
      <c r="G56" s="45">
        <f t="shared" si="7"/>
        <v>-1337</v>
      </c>
      <c r="H56" s="45">
        <f t="shared" si="7"/>
        <v>393</v>
      </c>
      <c r="I56" s="45">
        <f t="shared" si="7"/>
        <v>146</v>
      </c>
      <c r="J56" s="45">
        <f t="shared" si="7"/>
        <v>5871</v>
      </c>
      <c r="K56" s="45">
        <f t="shared" si="7"/>
        <v>-15960</v>
      </c>
      <c r="L56" s="45">
        <f t="shared" si="7"/>
        <v>7932</v>
      </c>
    </row>
    <row r="57" spans="1:19" ht="30" customHeight="1" x14ac:dyDescent="0.25">
      <c r="A57" s="44" t="s">
        <v>36</v>
      </c>
      <c r="B57" s="47">
        <f t="shared" ref="B57:L57" si="8">(B55-B59)/ABS(B59)</f>
        <v>0.10155211982123445</v>
      </c>
      <c r="C57" s="47">
        <f t="shared" si="8"/>
        <v>0.3489278752436647</v>
      </c>
      <c r="D57" s="47">
        <f t="shared" si="8"/>
        <v>0.5818965517241379</v>
      </c>
      <c r="E57" s="47">
        <f t="shared" si="8"/>
        <v>0.17534722222222221</v>
      </c>
      <c r="F57" s="47">
        <f t="shared" si="8"/>
        <v>-0.15580712431374219</v>
      </c>
      <c r="G57" s="47">
        <f t="shared" si="8"/>
        <v>-0.23798504805980777</v>
      </c>
      <c r="H57" s="47">
        <f t="shared" si="8"/>
        <v>1.5846774193548387</v>
      </c>
      <c r="I57" s="47">
        <f t="shared" si="8"/>
        <v>1.2586206896551724</v>
      </c>
      <c r="J57" s="47">
        <f t="shared" si="8"/>
        <v>0.80912348401323042</v>
      </c>
      <c r="K57" s="80">
        <f t="shared" si="8"/>
        <v>-0.10868306900285327</v>
      </c>
      <c r="L57" s="47">
        <f t="shared" si="8"/>
        <v>2.0276384607125875E-2</v>
      </c>
    </row>
    <row r="58" spans="1:19" ht="30" customHeight="1" x14ac:dyDescent="0.25">
      <c r="A58" s="44" t="s">
        <v>37</v>
      </c>
      <c r="B58" s="48">
        <f>B55/$L$55</f>
        <v>9.1397202888310963E-2</v>
      </c>
      <c r="C58" s="81">
        <f t="shared" ref="C58:L58" si="9">C55/$L$55</f>
        <v>1.7337883274955777E-3</v>
      </c>
      <c r="D58" s="81">
        <f t="shared" si="9"/>
        <v>2.7585273823303919E-3</v>
      </c>
      <c r="E58" s="81">
        <f t="shared" si="9"/>
        <v>3.3924124211401913E-3</v>
      </c>
      <c r="F58" s="48">
        <f t="shared" si="9"/>
        <v>4.9698591422257632E-2</v>
      </c>
      <c r="G58" s="48">
        <f t="shared" si="9"/>
        <v>1.0725936170532614E-2</v>
      </c>
      <c r="H58" s="81">
        <f t="shared" si="9"/>
        <v>1.6060091299489384E-3</v>
      </c>
      <c r="I58" s="81">
        <f t="shared" si="9"/>
        <v>6.5643430896508877E-4</v>
      </c>
      <c r="J58" s="48">
        <f t="shared" si="9"/>
        <v>3.2889363258720307E-2</v>
      </c>
      <c r="K58" s="48">
        <f t="shared" si="9"/>
        <v>0.3279390468172958</v>
      </c>
      <c r="L58" s="48">
        <f t="shared" si="9"/>
        <v>1</v>
      </c>
    </row>
    <row r="59" spans="1:19" ht="30" customHeight="1" x14ac:dyDescent="0.3">
      <c r="A59" s="49" t="s">
        <v>38</v>
      </c>
      <c r="B59" s="50">
        <v>33116</v>
      </c>
      <c r="C59" s="50">
        <v>513</v>
      </c>
      <c r="D59" s="50">
        <v>696</v>
      </c>
      <c r="E59" s="50">
        <v>1152</v>
      </c>
      <c r="F59" s="50">
        <v>23497</v>
      </c>
      <c r="G59" s="50">
        <v>5618</v>
      </c>
      <c r="H59" s="50">
        <v>248</v>
      </c>
      <c r="I59" s="50">
        <v>116</v>
      </c>
      <c r="J59" s="50">
        <v>7256</v>
      </c>
      <c r="K59" s="50">
        <v>146849</v>
      </c>
      <c r="L59" s="50">
        <v>391194</v>
      </c>
    </row>
    <row r="66" spans="12:12" x14ac:dyDescent="0.25">
      <c r="L66" s="82"/>
    </row>
  </sheetData>
  <phoneticPr fontId="3" type="noConversion"/>
  <printOptions horizontalCentered="1" gridLinesSet="0"/>
  <pageMargins left="0.38" right="0.48" top="1" bottom="1" header="0.5" footer="0.5"/>
  <pageSetup paperSize="9" scale="48" fitToHeight="2" orientation="landscape" horizontalDpi="1200" verticalDpi="1200" r:id="rId1"/>
  <headerFooter alignWithMargins="0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2024-11-20T08:29:58Z</dcterms:created>
  <dcterms:modified xsi:type="dcterms:W3CDTF">2024-11-20T08:30:07Z</dcterms:modified>
</cp:coreProperties>
</file>