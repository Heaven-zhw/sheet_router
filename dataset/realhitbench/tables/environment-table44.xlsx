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850" windowHeight="122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<sst xmlns="http://schemas.openxmlformats.org/spreadsheetml/2006/main" count="192" uniqueCount="45">
  <si>
    <t>Animal</t>
  </si>
  <si>
    <t>Genotype</t>
  </si>
  <si>
    <t>Group</t>
  </si>
  <si>
    <t>Treatment</t>
  </si>
  <si>
    <t>GR Fold Change</t>
  </si>
  <si>
    <t>FGF2 Fold Change</t>
  </si>
  <si>
    <t>C1</t>
  </si>
  <si>
    <t>WT</t>
  </si>
  <si>
    <t>Control</t>
  </si>
  <si>
    <t>Vehicle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</si>
  <si>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</si>
  <si>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</si>
  <si>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</si>
  <si>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</si>
  <si>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</si>
  <si>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</si>
  <si>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</si>
  <si>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</si>
  <si>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</si>
  <si>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average</t>
  </si>
  <si>
    <t>stdv</t>
  </si>
  <si>
    <t>sterror</t>
  </si>
  <si>
    <t>C11</t>
  </si>
  <si>
    <t>Fluoxetine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</si>
  <si>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</si>
  <si>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</si>
  <si>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</si>
  <si>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</si>
  <si>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</si>
  <si>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</si>
  <si>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</si>
  <si>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</si>
  <si>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</si>
  <si>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Stress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</si>
  <si>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</si>
  <si>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</si>
  <si>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</si>
  <si>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</si>
  <si>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</si>
  <si>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</si>
  <si>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</si>
  <si>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</si>
  <si>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</si>
  <si>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</si>
  <si>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FGF2KO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</si>
</sst>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i/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 applyFill="1" applyAlignment="1"/>
    <xf numFmtId="0" fontId="2" fillId="0" borderId="0" xfId="0" applyFont="1" applyFill="1" applyAlignment="1">
      <alignment horizontal="center"/>
    </xf>
    <xf numFmtId="0" fontId="1" fillId="0" borderId="0" xfId="0" applyFont="1" applyFill="1" applyAlignment="1">
      <alignment horizontal="center"/>
    </xf>
    <xf numFmtId="0" fontId="1" fillId="2" borderId="0" xfId="0" applyFont="1" applyFill="1" applyAlignment="1"/>
    <xf numFmtId="0" fontId="3" fillId="0" borderId="0" xfId="0" applyFont="1" applyFill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0"/>
  <sheetViews>
    <sheetView tabSelected="1" workbookViewId="0">
      <selection activeCell="I10" sqref="I10"/>
    </sheetView>
  </sheetViews>
  <sheetFormatPr defaultColWidth="13" defaultRowHeight="15" outlineLevelCol="6"/>
  <cols>
    <col min="1" max="4" width="13" style="1"/>
    <col min="5" max="5" width="18.7090909090909" style="1" customWidth="1"/>
    <col min="6" max="6" width="20.2818181818182" style="1" customWidth="1"/>
    <col min="7" max="7" width="25.4090909090909" style="1" customWidth="1"/>
    <col min="8" max="16384" width="13" style="1"/>
  </cols>
  <sheetData>
    <row r="1" s="1" customFormat="1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="1" customFormat="1" spans="1:6">
      <c r="A2" s="3" t="s">
        <v>6</v>
      </c>
      <c r="B2" s="3" t="s">
        <v>7</v>
      </c>
      <c r="C2" s="3" t="s">
        <v>8</v>
      </c>
      <c r="D2" s="3" t="s">
        <v>9</v>
      </c>
      <c r="E2" s="1">
        <v>1.8404</v>
      </c>
      <c r="F2" s="1">
        <v>1.2018</v>
      </c>
    </row>
    <row r="3" s="1" customFormat="1" spans="1:6">
      <c r="A3" s="3" t="s">
        <v>10</v>
      </c>
      <c r="B3" s="3" t="s">
        <v>7</v>
      </c>
      <c r="C3" s="3" t="s">
        <v>8</v>
      </c>
      <c r="D3" s="3" t="s">
        <v>9</v>
      </c>
      <c r="E3" s="1">
        <v>1.5911</v>
      </c>
      <c r="F3" s="1">
        <v>1</v>
      </c>
    </row>
    <row r="4" s="1" customFormat="1" spans="1:6">
      <c r="A4" s="3" t="s">
        <v>11</v>
      </c>
      <c r="B4" s="3" t="s">
        <v>7</v>
      </c>
      <c r="C4" s="3" t="s">
        <v>8</v>
      </c>
      <c r="D4" s="3" t="s">
        <v>9</v>
      </c>
      <c r="E4" s="1">
        <v>1.7901</v>
      </c>
      <c r="F4" s="1">
        <v>0.5305</v>
      </c>
    </row>
    <row r="5" s="1" customFormat="1" spans="1:6">
      <c r="A5" s="3" t="s">
        <v>12</v>
      </c>
      <c r="B5" s="3" t="s">
        <v>7</v>
      </c>
      <c r="C5" s="3" t="s">
        <v>8</v>
      </c>
      <c r="D5" s="3" t="s">
        <v>9</v>
      </c>
      <c r="E5" s="1">
        <v>1.6818</v>
      </c>
      <c r="F5" s="1">
        <v>0.5725</v>
      </c>
    </row>
    <row r="6" s="1" customFormat="1" spans="1:6">
      <c r="A6" s="3" t="s">
        <v>13</v>
      </c>
      <c r="B6" s="3" t="s">
        <v>7</v>
      </c>
      <c r="C6" s="3" t="s">
        <v>8</v>
      </c>
      <c r="D6" s="3" t="s">
        <v>9</v>
      </c>
      <c r="E6" s="1">
        <v>2.5669</v>
      </c>
      <c r="F6" s="1">
        <v>3.2454</v>
      </c>
    </row>
    <row r="7" s="1" customFormat="1" spans="1:6">
      <c r="A7" s="3" t="s">
        <v>14</v>
      </c>
      <c r="B7" s="3" t="s">
        <v>7</v>
      </c>
      <c r="C7" s="3" t="s">
        <v>8</v>
      </c>
      <c r="D7" s="3" t="s">
        <v>9</v>
      </c>
      <c r="E7" s="1">
        <v>1.7291</v>
      </c>
      <c r="F7" s="1">
        <v>1.1784</v>
      </c>
    </row>
    <row r="8" s="1" customFormat="1" spans="1:6">
      <c r="A8" s="3" t="s">
        <v>15</v>
      </c>
      <c r="B8" s="3" t="s">
        <v>7</v>
      </c>
      <c r="C8" s="3" t="s">
        <v>8</v>
      </c>
      <c r="D8" s="3" t="s">
        <v>9</v>
      </c>
      <c r="E8" s="1">
        <v>2.7511</v>
      </c>
      <c r="F8" s="1">
        <v>0.7188</v>
      </c>
    </row>
    <row r="9" s="1" customFormat="1" spans="1:6">
      <c r="A9" s="3" t="s">
        <v>16</v>
      </c>
      <c r="B9" s="3" t="s">
        <v>7</v>
      </c>
      <c r="C9" s="3" t="s">
        <v>8</v>
      </c>
      <c r="D9" s="3" t="s">
        <v>9</v>
      </c>
      <c r="E9" s="1">
        <v>0.9727</v>
      </c>
      <c r="F9" s="1">
        <v>0.7255</v>
      </c>
    </row>
    <row r="10" s="1" customFormat="1" spans="1:6">
      <c r="A10" s="3" t="s">
        <v>17</v>
      </c>
      <c r="B10" s="3" t="s">
        <v>7</v>
      </c>
      <c r="C10" s="3" t="s">
        <v>8</v>
      </c>
      <c r="D10" s="3" t="s">
        <v>9</v>
      </c>
      <c r="E10" s="1">
        <v>3.0105</v>
      </c>
      <c r="F10" s="1">
        <v>0.7645</v>
      </c>
    </row>
    <row r="11" s="1" customFormat="1" spans="1:6">
      <c r="A11" s="3" t="s">
        <v>18</v>
      </c>
      <c r="B11" s="3" t="s">
        <v>7</v>
      </c>
      <c r="C11" s="3" t="s">
        <v>8</v>
      </c>
      <c r="D11" s="3" t="s">
        <v>9</v>
      </c>
      <c r="E11" s="1">
        <v>1</v>
      </c>
      <c r="F11" s="1">
        <v>0.6132</v>
      </c>
    </row>
    <row r="12" s="1" customFormat="1" spans="1:7">
      <c r="A12" s="3" t="s">
        <v>19</v>
      </c>
      <c r="B12" s="3"/>
      <c r="C12" s="3"/>
      <c r="D12" s="3"/>
      <c r="E12" s="4">
        <f>AVERAGE(E2:E11)</f>
        <v>1.89337</v>
      </c>
      <c r="F12" s="4">
        <f>AVERAGE(F2:F11)</f>
        <v>1.05506</v>
      </c>
      <c r="G12" s="5"/>
    </row>
    <row r="13" s="1" customFormat="1" spans="1:7">
      <c r="A13" s="3" t="s">
        <v>20</v>
      </c>
      <c r="B13" s="3"/>
      <c r="C13" s="3"/>
      <c r="D13" s="3"/>
      <c r="E13" s="4">
        <f>STDEV(E2:E11)</f>
        <v>0.687964002692001</v>
      </c>
      <c r="F13" s="4">
        <f>STDEV(F2:F11)</f>
        <v>0.80600107554381</v>
      </c>
      <c r="G13" s="5"/>
    </row>
    <row r="14" s="1" customFormat="1" spans="1:7">
      <c r="A14" s="3" t="s">
        <v>21</v>
      </c>
      <c r="B14" s="3"/>
      <c r="C14" s="3"/>
      <c r="D14" s="3"/>
      <c r="E14" s="4">
        <f>E13/SQRT(10)</f>
        <v>0.217553319671293</v>
      </c>
      <c r="F14" s="4">
        <f>F13/SQRT(10)</f>
        <v>0.254879919526388</v>
      </c>
      <c r="G14" s="5"/>
    </row>
    <row r="15" s="1" customFormat="1" spans="1:4">
      <c r="A15" s="3"/>
      <c r="B15" s="3"/>
      <c r="C15" s="3"/>
      <c r="D15" s="3"/>
    </row>
    <row r="16" s="1" customFormat="1" spans="1:6">
      <c r="A16" s="3" t="s">
        <v>22</v>
      </c>
      <c r="B16" s="3" t="s">
        <v>7</v>
      </c>
      <c r="C16" s="3" t="s">
        <v>8</v>
      </c>
      <c r="D16" s="3" t="s">
        <v>23</v>
      </c>
      <c r="E16" s="1">
        <v>1.366</v>
      </c>
      <c r="F16" s="1">
        <v>0.3912</v>
      </c>
    </row>
    <row r="17" s="1" customFormat="1" spans="1:6">
      <c r="A17" s="3" t="s">
        <v>24</v>
      </c>
      <c r="B17" s="3" t="s">
        <v>7</v>
      </c>
      <c r="C17" s="3" t="s">
        <v>8</v>
      </c>
      <c r="D17" s="3" t="s">
        <v>23</v>
      </c>
      <c r="E17" s="1">
        <v>0.7955</v>
      </c>
      <c r="F17" s="1">
        <v>0.5566</v>
      </c>
    </row>
    <row r="18" s="1" customFormat="1" spans="1:6">
      <c r="A18" s="3" t="s">
        <v>25</v>
      </c>
      <c r="B18" s="3" t="s">
        <v>7</v>
      </c>
      <c r="C18" s="3" t="s">
        <v>8</v>
      </c>
      <c r="D18" s="3" t="s">
        <v>23</v>
      </c>
      <c r="E18" s="1">
        <v>1.879</v>
      </c>
      <c r="F18" s="1">
        <v>1.5913</v>
      </c>
    </row>
    <row r="19" s="1" customFormat="1" spans="1:6">
      <c r="A19" s="3" t="s">
        <v>26</v>
      </c>
      <c r="B19" s="3" t="s">
        <v>7</v>
      </c>
      <c r="C19" s="3" t="s">
        <v>8</v>
      </c>
      <c r="D19" s="3" t="s">
        <v>23</v>
      </c>
      <c r="E19" s="1">
        <v>1.8777</v>
      </c>
      <c r="F19" s="1">
        <v>1.9904</v>
      </c>
    </row>
    <row r="20" s="1" customFormat="1" spans="1:6">
      <c r="A20" s="3" t="s">
        <v>27</v>
      </c>
      <c r="B20" s="3" t="s">
        <v>7</v>
      </c>
      <c r="C20" s="3" t="s">
        <v>8</v>
      </c>
      <c r="D20" s="3" t="s">
        <v>23</v>
      </c>
      <c r="E20" s="1">
        <v>2.5669</v>
      </c>
      <c r="F20" s="1">
        <v>1.1853</v>
      </c>
    </row>
    <row r="21" s="1" customFormat="1" spans="1:6">
      <c r="A21" s="3" t="s">
        <v>28</v>
      </c>
      <c r="B21" s="3" t="s">
        <v>7</v>
      </c>
      <c r="C21" s="3" t="s">
        <v>8</v>
      </c>
      <c r="D21" s="3" t="s">
        <v>23</v>
      </c>
      <c r="E21" s="1">
        <v>0.712</v>
      </c>
      <c r="F21" s="1">
        <v>0.3683</v>
      </c>
    </row>
    <row r="22" s="1" customFormat="1" spans="1:6">
      <c r="A22" s="3" t="s">
        <v>29</v>
      </c>
      <c r="B22" s="3" t="s">
        <v>7</v>
      </c>
      <c r="C22" s="3" t="s">
        <v>8</v>
      </c>
      <c r="D22" s="3" t="s">
        <v>23</v>
      </c>
      <c r="E22" s="1">
        <v>1.4142</v>
      </c>
      <c r="F22" s="1">
        <v>5.1949</v>
      </c>
    </row>
    <row r="23" s="1" customFormat="1" spans="1:6">
      <c r="A23" s="3" t="s">
        <v>30</v>
      </c>
      <c r="B23" s="3" t="s">
        <v>7</v>
      </c>
      <c r="C23" s="3" t="s">
        <v>8</v>
      </c>
      <c r="D23" s="3" t="s">
        <v>23</v>
      </c>
      <c r="E23" s="1">
        <v>0.8706</v>
      </c>
      <c r="F23" s="1">
        <v>0.3753</v>
      </c>
    </row>
    <row r="24" s="1" customFormat="1" spans="1:6">
      <c r="A24" s="3" t="s">
        <v>31</v>
      </c>
      <c r="B24" s="3" t="s">
        <v>7</v>
      </c>
      <c r="C24" s="3" t="s">
        <v>8</v>
      </c>
      <c r="D24" s="3" t="s">
        <v>23</v>
      </c>
      <c r="E24" s="1">
        <v>2.4116</v>
      </c>
      <c r="F24" s="1">
        <v>0.2714</v>
      </c>
    </row>
    <row r="25" s="1" customFormat="1" spans="1:6">
      <c r="A25" s="3" t="s">
        <v>32</v>
      </c>
      <c r="B25" s="3" t="s">
        <v>7</v>
      </c>
      <c r="C25" s="3" t="s">
        <v>8</v>
      </c>
      <c r="D25" s="3" t="s">
        <v>23</v>
      </c>
      <c r="E25" s="1">
        <v>2.0279</v>
      </c>
      <c r="F25" s="1">
        <v>0.3613</v>
      </c>
    </row>
    <row r="26" s="1" customFormat="1" spans="1:6">
      <c r="A26" s="3" t="s">
        <v>19</v>
      </c>
      <c r="B26" s="3"/>
      <c r="C26" s="3"/>
      <c r="D26" s="3"/>
      <c r="E26" s="4">
        <f>AVERAGE(E16:E25)</f>
        <v>1.59214</v>
      </c>
      <c r="F26" s="4">
        <f>AVERAGE(F16:F25)</f>
        <v>1.2286</v>
      </c>
    </row>
    <row r="27" s="1" customFormat="1" spans="1:6">
      <c r="A27" s="3" t="s">
        <v>20</v>
      </c>
      <c r="B27" s="3"/>
      <c r="C27" s="3"/>
      <c r="D27" s="3"/>
      <c r="E27" s="4">
        <f>STDEV(E16:E25)</f>
        <v>0.665673871101057</v>
      </c>
      <c r="F27" s="4">
        <f>STDEV(F16:F25)</f>
        <v>1.51784942819328</v>
      </c>
    </row>
    <row r="28" s="1" customFormat="1" spans="1:6">
      <c r="A28" s="3" t="s">
        <v>21</v>
      </c>
      <c r="B28" s="3"/>
      <c r="C28" s="3"/>
      <c r="D28" s="3"/>
      <c r="E28" s="4">
        <f>E27/SQRT(10)</f>
        <v>0.210504561154068</v>
      </c>
      <c r="F28" s="4">
        <f>F27/SQRT(10)</f>
        <v>0.479986133827496</v>
      </c>
    </row>
    <row r="29" s="1" customFormat="1" spans="1:4">
      <c r="A29" s="3"/>
      <c r="B29" s="3"/>
      <c r="C29" s="3"/>
      <c r="D29" s="3"/>
    </row>
    <row r="30" s="1" customFormat="1" spans="1:6">
      <c r="A30" s="3">
        <v>351</v>
      </c>
      <c r="B30" s="3" t="s">
        <v>7</v>
      </c>
      <c r="C30" s="3" t="s">
        <v>33</v>
      </c>
      <c r="D30" s="3" t="s">
        <v>9</v>
      </c>
      <c r="E30" s="1">
        <v>1</v>
      </c>
      <c r="F30" s="1">
        <v>0.024</v>
      </c>
    </row>
    <row r="31" s="1" customFormat="1" spans="1:6">
      <c r="A31" s="3">
        <v>251</v>
      </c>
      <c r="B31" s="3" t="s">
        <v>7</v>
      </c>
      <c r="C31" s="3" t="s">
        <v>33</v>
      </c>
      <c r="D31" s="3" t="s">
        <v>9</v>
      </c>
      <c r="E31" s="1">
        <v>0.9299</v>
      </c>
      <c r="F31" s="1">
        <v>0.0114</v>
      </c>
    </row>
    <row r="32" s="1" customFormat="1" spans="1:6">
      <c r="A32" s="3">
        <v>361</v>
      </c>
      <c r="B32" s="3" t="s">
        <v>7</v>
      </c>
      <c r="C32" s="3" t="s">
        <v>33</v>
      </c>
      <c r="D32" s="3" t="s">
        <v>9</v>
      </c>
      <c r="E32" s="1">
        <v>1.1218</v>
      </c>
      <c r="F32" s="1">
        <v>0.0402</v>
      </c>
    </row>
    <row r="33" s="1" customFormat="1" spans="1:6">
      <c r="A33" s="3">
        <v>852</v>
      </c>
      <c r="B33" s="3" t="s">
        <v>7</v>
      </c>
      <c r="C33" s="3" t="s">
        <v>33</v>
      </c>
      <c r="D33" s="3" t="s">
        <v>9</v>
      </c>
      <c r="E33" s="1">
        <v>1.9545</v>
      </c>
      <c r="F33" s="1">
        <v>0.0326</v>
      </c>
    </row>
    <row r="34" s="1" customFormat="1" spans="1:6">
      <c r="A34" s="3" t="s">
        <v>34</v>
      </c>
      <c r="B34" s="3" t="s">
        <v>7</v>
      </c>
      <c r="C34" s="3" t="s">
        <v>33</v>
      </c>
      <c r="D34" s="3" t="s">
        <v>9</v>
      </c>
      <c r="E34" s="1">
        <v>1.4241</v>
      </c>
      <c r="F34" s="1">
        <v>0.1118</v>
      </c>
    </row>
    <row r="35" s="1" customFormat="1" spans="1:6">
      <c r="A35" s="3" t="s">
        <v>35</v>
      </c>
      <c r="B35" s="3" t="s">
        <v>7</v>
      </c>
      <c r="C35" s="3" t="s">
        <v>33</v>
      </c>
      <c r="D35" s="3" t="s">
        <v>9</v>
      </c>
      <c r="E35" s="1">
        <v>1.3195</v>
      </c>
      <c r="F35" s="1">
        <v>0.5677</v>
      </c>
    </row>
    <row r="36" s="1" customFormat="1" spans="1:6">
      <c r="A36" s="3" t="s">
        <v>36</v>
      </c>
      <c r="B36" s="3" t="s">
        <v>7</v>
      </c>
      <c r="C36" s="3" t="s">
        <v>33</v>
      </c>
      <c r="D36" s="3" t="s">
        <v>9</v>
      </c>
      <c r="E36" s="1">
        <v>1.4641</v>
      </c>
      <c r="F36" s="1">
        <v>0.0016</v>
      </c>
    </row>
    <row r="37" s="1" customFormat="1" spans="1:6">
      <c r="A37" s="3" t="s">
        <v>37</v>
      </c>
      <c r="B37" s="3" t="s">
        <v>7</v>
      </c>
      <c r="C37" s="3" t="s">
        <v>33</v>
      </c>
      <c r="D37" s="3" t="s">
        <v>9</v>
      </c>
      <c r="E37" s="1">
        <v>1.021</v>
      </c>
      <c r="F37" s="1">
        <v>0.0305</v>
      </c>
    </row>
    <row r="38" s="1" customFormat="1" spans="1:6">
      <c r="A38" s="3" t="s">
        <v>38</v>
      </c>
      <c r="B38" s="3" t="s">
        <v>7</v>
      </c>
      <c r="C38" s="3" t="s">
        <v>33</v>
      </c>
      <c r="D38" s="3" t="s">
        <v>9</v>
      </c>
      <c r="E38" s="1">
        <v>1.1567</v>
      </c>
      <c r="F38" s="1">
        <v>1.0256</v>
      </c>
    </row>
    <row r="39" s="1" customFormat="1" spans="1:6">
      <c r="A39" s="3" t="s">
        <v>19</v>
      </c>
      <c r="B39" s="3"/>
      <c r="C39" s="3"/>
      <c r="D39" s="3"/>
      <c r="E39" s="4">
        <f>AVERAGE(E30:E38)</f>
        <v>1.26573333333333</v>
      </c>
      <c r="F39" s="4">
        <f>AVERAGE(F30:F38)</f>
        <v>0.205044444444444</v>
      </c>
    </row>
    <row r="40" s="1" customFormat="1" spans="1:6">
      <c r="A40" s="3" t="s">
        <v>20</v>
      </c>
      <c r="B40" s="3"/>
      <c r="C40" s="3"/>
      <c r="D40" s="3"/>
      <c r="E40" s="4">
        <f>STDEV(E30:E38)</f>
        <v>0.319690752916002</v>
      </c>
      <c r="F40" s="4">
        <f>STDEV(F30:F38)</f>
        <v>0.355767909286065</v>
      </c>
    </row>
    <row r="41" s="1" customFormat="1" spans="1:6">
      <c r="A41" s="3" t="s">
        <v>21</v>
      </c>
      <c r="B41" s="3"/>
      <c r="C41" s="3"/>
      <c r="D41" s="3"/>
      <c r="E41" s="4">
        <f>E40/SQRT(9)</f>
        <v>0.106563584305334</v>
      </c>
      <c r="F41" s="4">
        <f>F40/SQRT(9)</f>
        <v>0.118589303095355</v>
      </c>
    </row>
    <row r="42" s="1" customFormat="1" spans="1:4">
      <c r="A42" s="3"/>
      <c r="B42" s="3"/>
      <c r="C42" s="3"/>
      <c r="D42" s="3"/>
    </row>
    <row r="43" s="1" customFormat="1" spans="1:6">
      <c r="A43" s="3">
        <v>211</v>
      </c>
      <c r="B43" s="3" t="s">
        <v>7</v>
      </c>
      <c r="C43" s="3" t="s">
        <v>33</v>
      </c>
      <c r="D43" s="3" t="s">
        <v>23</v>
      </c>
      <c r="E43" s="1">
        <v>0.7487</v>
      </c>
      <c r="F43" s="1">
        <v>0.4454</v>
      </c>
    </row>
    <row r="44" s="1" customFormat="1" spans="1:6">
      <c r="A44" s="3">
        <v>291</v>
      </c>
      <c r="B44" s="3" t="s">
        <v>7</v>
      </c>
      <c r="C44" s="3" t="s">
        <v>33</v>
      </c>
      <c r="D44" s="3" t="s">
        <v>23</v>
      </c>
      <c r="E44" s="1">
        <v>1.8718</v>
      </c>
      <c r="F44" s="1">
        <v>0.1006</v>
      </c>
    </row>
    <row r="45" s="1" customFormat="1" spans="1:6">
      <c r="A45" s="3">
        <v>111</v>
      </c>
      <c r="B45" s="3" t="s">
        <v>7</v>
      </c>
      <c r="C45" s="3" t="s">
        <v>33</v>
      </c>
      <c r="D45" s="3" t="s">
        <v>23</v>
      </c>
      <c r="E45" s="1">
        <v>0.4423</v>
      </c>
      <c r="F45" s="1">
        <v>0.0594</v>
      </c>
    </row>
    <row r="46" s="1" customFormat="1" spans="1:6">
      <c r="A46" s="3">
        <v>672</v>
      </c>
      <c r="B46" s="3" t="s">
        <v>7</v>
      </c>
      <c r="C46" s="3" t="s">
        <v>33</v>
      </c>
      <c r="D46" s="3" t="s">
        <v>23</v>
      </c>
      <c r="E46" s="1">
        <v>0.8478</v>
      </c>
      <c r="F46" s="1">
        <v>0.0836</v>
      </c>
    </row>
    <row r="47" s="1" customFormat="1" spans="1:6">
      <c r="A47" s="3" t="s">
        <v>39</v>
      </c>
      <c r="B47" s="3" t="s">
        <v>7</v>
      </c>
      <c r="C47" s="3" t="s">
        <v>33</v>
      </c>
      <c r="D47" s="3" t="s">
        <v>23</v>
      </c>
      <c r="E47" s="1">
        <v>0.4763</v>
      </c>
      <c r="F47" s="1">
        <v>0.5987</v>
      </c>
    </row>
    <row r="48" s="1" customFormat="1" spans="1:6">
      <c r="A48" s="3" t="s">
        <v>40</v>
      </c>
      <c r="B48" s="3" t="s">
        <v>7</v>
      </c>
      <c r="C48" s="3" t="s">
        <v>33</v>
      </c>
      <c r="D48" s="3" t="s">
        <v>23</v>
      </c>
      <c r="E48" s="1">
        <v>1.7411</v>
      </c>
      <c r="F48" s="1">
        <v>0.8354</v>
      </c>
    </row>
    <row r="49" s="1" customFormat="1" spans="1:6">
      <c r="A49" s="3" t="s">
        <v>41</v>
      </c>
      <c r="B49" s="3" t="s">
        <v>7</v>
      </c>
      <c r="C49" s="3" t="s">
        <v>33</v>
      </c>
      <c r="D49" s="3" t="s">
        <v>23</v>
      </c>
      <c r="E49" s="1">
        <v>1.366</v>
      </c>
      <c r="F49" s="1">
        <v>0.6463</v>
      </c>
    </row>
    <row r="50" s="1" customFormat="1" spans="1:6">
      <c r="A50" s="3" t="s">
        <v>42</v>
      </c>
      <c r="B50" s="3" t="s">
        <v>7</v>
      </c>
      <c r="C50" s="3" t="s">
        <v>33</v>
      </c>
      <c r="D50" s="3" t="s">
        <v>23</v>
      </c>
      <c r="E50" s="1">
        <v>1.0281</v>
      </c>
      <c r="F50" s="1">
        <v>1.3769</v>
      </c>
    </row>
    <row r="51" s="1" customFormat="1" spans="1:6">
      <c r="A51" s="3" t="s">
        <v>43</v>
      </c>
      <c r="B51" s="3" t="s">
        <v>7</v>
      </c>
      <c r="C51" s="3" t="s">
        <v>33</v>
      </c>
      <c r="D51" s="3" t="s">
        <v>23</v>
      </c>
      <c r="E51" s="1">
        <v>0.79</v>
      </c>
      <c r="F51" s="1">
        <v>0.409</v>
      </c>
    </row>
    <row r="52" s="1" customFormat="1" spans="1:6">
      <c r="A52" s="3" t="s">
        <v>19</v>
      </c>
      <c r="B52" s="3"/>
      <c r="C52" s="3"/>
      <c r="D52" s="3"/>
      <c r="E52" s="4">
        <f>AVERAGE(E43:E51)</f>
        <v>1.03467777777778</v>
      </c>
      <c r="F52" s="4">
        <f>AVERAGE(F43:F51)</f>
        <v>0.506144444444444</v>
      </c>
    </row>
    <row r="53" s="1" customFormat="1" spans="1:6">
      <c r="A53" s="3" t="s">
        <v>20</v>
      </c>
      <c r="B53" s="3"/>
      <c r="C53" s="3"/>
      <c r="D53" s="3"/>
      <c r="E53" s="4">
        <f>STDEV(E43:E51)</f>
        <v>0.518277753183025</v>
      </c>
      <c r="F53" s="4">
        <f>STDEV(F43:F51)</f>
        <v>0.425815717509086</v>
      </c>
    </row>
    <row r="54" s="1" customFormat="1" spans="1:6">
      <c r="A54" s="3" t="s">
        <v>21</v>
      </c>
      <c r="B54" s="3"/>
      <c r="C54" s="3"/>
      <c r="D54" s="3"/>
      <c r="E54" s="4">
        <f>E53/SQRT(9)</f>
        <v>0.172759251061008</v>
      </c>
      <c r="F54" s="4">
        <f>F53/SQRT(9)</f>
        <v>0.141938572503029</v>
      </c>
    </row>
    <row r="55" s="1" customFormat="1" spans="1:4">
      <c r="A55" s="3"/>
      <c r="B55" s="3"/>
      <c r="C55" s="3"/>
      <c r="D55" s="3"/>
    </row>
    <row r="56" s="1" customFormat="1" spans="1:6">
      <c r="A56" s="3">
        <v>411</v>
      </c>
      <c r="B56" s="3" t="s">
        <v>44</v>
      </c>
      <c r="C56" s="3" t="s">
        <v>33</v>
      </c>
      <c r="D56" s="3" t="s">
        <v>9</v>
      </c>
      <c r="E56" s="1">
        <v>0.442</v>
      </c>
      <c r="F56" s="1">
        <v>0.022</v>
      </c>
    </row>
    <row r="57" s="1" customFormat="1" spans="1:6">
      <c r="A57" s="3">
        <v>141</v>
      </c>
      <c r="B57" s="3" t="s">
        <v>44</v>
      </c>
      <c r="C57" s="3" t="s">
        <v>33</v>
      </c>
      <c r="D57" s="3" t="s">
        <v>9</v>
      </c>
      <c r="E57" s="1">
        <v>0.5212</v>
      </c>
      <c r="F57" s="1">
        <v>0.4395</v>
      </c>
    </row>
    <row r="58" s="1" customFormat="1" spans="1:6">
      <c r="A58" s="3">
        <v>151</v>
      </c>
      <c r="B58" s="3" t="s">
        <v>44</v>
      </c>
      <c r="C58" s="3" t="s">
        <v>33</v>
      </c>
      <c r="D58" s="3" t="s">
        <v>9</v>
      </c>
      <c r="E58" s="1">
        <v>0.4309</v>
      </c>
      <c r="F58" s="1">
        <v>0.0399</v>
      </c>
    </row>
    <row r="59" s="1" customFormat="1" spans="1:6">
      <c r="A59" s="3">
        <v>802</v>
      </c>
      <c r="B59" s="3" t="s">
        <v>44</v>
      </c>
      <c r="C59" s="3" t="s">
        <v>33</v>
      </c>
      <c r="D59" s="3" t="s">
        <v>9</v>
      </c>
      <c r="E59" s="1">
        <v>0.5771</v>
      </c>
      <c r="F59" s="1">
        <v>0</v>
      </c>
    </row>
    <row r="60" s="1" customFormat="1" spans="1:6">
      <c r="A60" s="3" t="s">
        <v>19</v>
      </c>
      <c r="B60" s="3"/>
      <c r="C60" s="3"/>
      <c r="D60" s="3"/>
      <c r="E60" s="4">
        <f>AVERAGE(E56:E59)</f>
        <v>0.4928</v>
      </c>
      <c r="F60" s="4">
        <f>AVERAGE(F56:F59)</f>
        <v>0.12535</v>
      </c>
    </row>
    <row r="61" s="1" customFormat="1" spans="1:6">
      <c r="A61" s="3" t="s">
        <v>20</v>
      </c>
      <c r="B61" s="3"/>
      <c r="C61" s="3"/>
      <c r="D61" s="3"/>
      <c r="E61" s="4">
        <f>STDEV(E56:E59)</f>
        <v>0.0691020983762432</v>
      </c>
      <c r="F61" s="4">
        <f>STDEV(F56:F59)</f>
        <v>0.210068060399481</v>
      </c>
    </row>
    <row r="62" s="1" customFormat="1" spans="1:6">
      <c r="A62" s="3" t="s">
        <v>21</v>
      </c>
      <c r="B62" s="3"/>
      <c r="C62" s="3"/>
      <c r="D62" s="3"/>
      <c r="E62" s="4">
        <f>E61/SQRT(4)</f>
        <v>0.0345510491881216</v>
      </c>
      <c r="F62" s="4">
        <f>F61/SQRT(4)</f>
        <v>0.105034030199741</v>
      </c>
    </row>
    <row r="63" s="1" customFormat="1" spans="1:4">
      <c r="A63" s="3"/>
      <c r="B63" s="3"/>
      <c r="C63" s="3"/>
      <c r="D63" s="3"/>
    </row>
    <row r="64" s="1" customFormat="1" spans="1:6">
      <c r="A64" s="3">
        <v>201</v>
      </c>
      <c r="B64" s="3" t="s">
        <v>44</v>
      </c>
      <c r="C64" s="3" t="s">
        <v>33</v>
      </c>
      <c r="D64" s="3" t="s">
        <v>23</v>
      </c>
      <c r="E64" s="1">
        <v>0.326</v>
      </c>
      <c r="F64" s="1">
        <v>0.4567</v>
      </c>
    </row>
    <row r="65" s="1" customFormat="1" spans="1:6">
      <c r="A65" s="3">
        <v>181</v>
      </c>
      <c r="B65" s="3" t="s">
        <v>44</v>
      </c>
      <c r="C65" s="3" t="s">
        <v>33</v>
      </c>
      <c r="D65" s="3" t="s">
        <v>23</v>
      </c>
      <c r="E65" s="1">
        <v>0.4278</v>
      </c>
      <c r="F65" s="1">
        <v>0.0309</v>
      </c>
    </row>
    <row r="66" s="1" customFormat="1" spans="1:6">
      <c r="A66" s="3">
        <v>391</v>
      </c>
      <c r="B66" s="3" t="s">
        <v>44</v>
      </c>
      <c r="C66" s="3" t="s">
        <v>33</v>
      </c>
      <c r="D66" s="3" t="s">
        <v>23</v>
      </c>
      <c r="E66" s="1">
        <v>0.6638</v>
      </c>
      <c r="F66" s="1">
        <v>0.0134</v>
      </c>
    </row>
    <row r="67" s="1" customFormat="1" spans="1:6">
      <c r="A67" s="3">
        <v>702</v>
      </c>
      <c r="B67" s="3" t="s">
        <v>44</v>
      </c>
      <c r="C67" s="3" t="s">
        <v>33</v>
      </c>
      <c r="D67" s="3" t="s">
        <v>23</v>
      </c>
      <c r="E67" s="1">
        <v>0.4217</v>
      </c>
      <c r="F67" s="1">
        <v>0.0058</v>
      </c>
    </row>
    <row r="68" s="1" customFormat="1" spans="1:6">
      <c r="A68" s="3" t="s">
        <v>19</v>
      </c>
      <c r="E68" s="4">
        <f>AVERAGE(E64:E67)</f>
        <v>0.459825</v>
      </c>
      <c r="F68" s="4">
        <f>AVERAGE(F64:F67)</f>
        <v>0.1267</v>
      </c>
    </row>
    <row r="69" s="1" customFormat="1" spans="1:6">
      <c r="A69" s="3" t="s">
        <v>20</v>
      </c>
      <c r="E69" s="4">
        <f>STDEV(E64:E67)</f>
        <v>0.143752156505563</v>
      </c>
      <c r="F69" s="4">
        <f>STDEV(F64:F67)</f>
        <v>0.220250872113294</v>
      </c>
    </row>
    <row r="70" s="1" customFormat="1" spans="1:6">
      <c r="A70" s="3" t="s">
        <v>21</v>
      </c>
      <c r="E70" s="4">
        <f>E69/SQRT(4)</f>
        <v>0.0718760782527817</v>
      </c>
      <c r="F70" s="4">
        <f>F69/SQRT(4)</f>
        <v>0.110125436056647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程</cp:lastModifiedBy>
  <dcterms:created xsi:type="dcterms:W3CDTF">2024-11-23T12:12:43Z</dcterms:created>
  <dcterms:modified xsi:type="dcterms:W3CDTF">2024-11-23T12:50:25Z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00AE2CE194BA4293BDF3F8AF6FAE6416_11</vt:lpwstr>
  </property>
  <property fmtid="{D5CDD505-2E9C-101B-9397-08002B2CF9AE}" pid="3" name="KSOProductBuildVer">
    <vt:lpwstr>2052-12.1.0.18608</vt:lpwstr>
  </property>
</Properties>
</file>