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00" windowHeight="13660" tabRatio="500"/>
  </bookViews>
  <sheets>
    <sheet name="CA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<sst xmlns="http://schemas.openxmlformats.org/spreadsheetml/2006/main" count="106" uniqueCount="39">
  <si>
    <t>Number and percentage of public school students retained, by race/ethnicity, disability status, and English proficiency, by gender and grade: School Year 2011-12</t>
  </si>
  <si>
    <t>Grade</t>
  </si>
  <si>
    <t>Gender</t>
  </si>
  <si>
    <t>Total Students</t>
  </si>
  <si>
    <t>Race/Ethnicity</t>
  </si>
  <si>
    <t>Students With Disabilities Served Under IDEA</t>
  </si>
  <si>
    <t>Students With Disabilities Served Only Under Section 504</t>
  </si>
  <si>
    <t>English Language Learners</t>
  </si>
  <si>
    <t>Number of Schools</t>
  </si>
  <si>
    <t xml:space="preserve">Percent of Schools Reporting </t>
  </si>
  <si>
    <t>American Indian or
Alaska Native</t>
  </si>
  <si>
    <t>Asian</t>
  </si>
  <si>
    <t>Hispanic or Latino of any race</t>
  </si>
  <si>
    <t>Black or African American</t>
  </si>
  <si>
    <t>White</t>
  </si>
  <si>
    <t>Native Hawaiian or Other Pacific Islander</t>
  </si>
  <si>
    <t>Two or more races</t>
  </si>
  <si>
    <t>Number</t>
  </si>
  <si>
    <t>Percent</t>
  </si>
  <si>
    <t>Percent </t>
  </si>
  <si>
    <t>Kindergarten</t>
  </si>
  <si>
    <t>Male</t>
  </si>
  <si>
    <t>Female</t>
  </si>
  <si>
    <t>Total</t>
  </si>
  <si>
    <t>2</t>
  </si>
  <si>
    <t>3</t>
  </si>
  <si>
    <t>4</t>
  </si>
  <si>
    <t xml:space="preserve">1-3 </t>
  </si>
  <si>
    <t>1</t>
  </si>
  <si>
    <t>5</t>
  </si>
  <si>
    <t>6</t>
  </si>
  <si>
    <t>7</t>
  </si>
  <si>
    <t>8</t>
  </si>
  <si>
    <t>9</t>
  </si>
  <si>
    <t>10</t>
  </si>
  <si>
    <t>11</t>
  </si>
  <si>
    <t>12</t>
  </si>
  <si>
    <t xml:space="preserve">            The ‘1-3’ reference indicates that the data have been suppressed based on the schools’ reported n-size, and that the midpoint was used to calculate the total.</t>
  </si>
  <si>
    <r>
      <rPr>
        <sz val="10"/>
        <rFont val="Arial"/>
        <charset val="134"/>
      </rPr>
      <t xml:space="preserve">SOURCE: U.S. Department of Education, Office for Civil Rights, Civil Rights Data Collection, 2011-12, available at </t>
    </r>
    <r>
      <rPr>
        <u/>
        <sz val="10"/>
        <color theme="3"/>
        <rFont val="Arial"/>
        <charset val="134"/>
      </rPr>
      <t>http://ocrdata.ed.gov</t>
    </r>
    <r>
      <rPr>
        <sz val="10"/>
        <rFont val="Arial"/>
        <charset val="134"/>
      </rPr>
      <t xml:space="preserve">. Data notes are available at </t>
    </r>
    <r>
      <rPr>
        <u/>
        <sz val="10"/>
        <color theme="3"/>
        <rFont val="Arial"/>
        <charset val="134"/>
      </rPr>
      <t>http://ocrdata.ed.gov/downloads/DataNotes.docx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</si>
</sst>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)"/>
    <numFmt numFmtId="177" formatCode="#,##0.0_)"/>
  </numFmts>
  <fonts count="35">
    <font>
      <sz val="12"/>
      <color theme="1"/>
      <name val="宋体"/>
      <charset val="134"/>
      <scheme val="minor"/>
    </font>
    <font>
      <sz val="11"/>
      <color theme="1"/>
      <name val="Arial"/>
      <charset val="134"/>
    </font>
    <font>
      <sz val="14"/>
      <color theme="1"/>
      <name val="Arial"/>
      <charset val="134"/>
    </font>
    <font>
      <sz val="10"/>
      <name val="Arial"/>
      <charset val="134"/>
    </font>
    <font>
      <sz val="11"/>
      <name val="Arial"/>
      <charset val="134"/>
    </font>
    <font>
      <sz val="14"/>
      <name val="Arial"/>
      <charset val="134"/>
    </font>
    <font>
      <sz val="11"/>
      <color rgb="FF333399"/>
      <name val="Arial"/>
      <charset val="134"/>
    </font>
    <font>
      <b/>
      <sz val="14"/>
      <color rgb="FF333399"/>
      <name val="Arial"/>
      <charset val="134"/>
    </font>
    <font>
      <b/>
      <sz val="11"/>
      <color rgb="FF333399"/>
      <name val="Arial"/>
      <charset val="134"/>
    </font>
    <font>
      <b/>
      <sz val="10"/>
      <name val="Arial"/>
      <charset val="134"/>
    </font>
    <font>
      <sz val="10"/>
      <color theme="1"/>
      <name val="Arial"/>
      <charset val="134"/>
    </font>
    <font>
      <sz val="10"/>
      <color theme="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MS Sans Serif"/>
      <charset val="134"/>
    </font>
    <font>
      <sz val="10"/>
      <color theme="1"/>
      <name val="Arial Narrow"/>
      <charset val="134"/>
    </font>
    <font>
      <u/>
      <sz val="10"/>
      <color theme="3"/>
      <name val="Arial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medium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/>
      <right style="hair">
        <color auto="1"/>
      </right>
      <top/>
      <bottom style="medium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 style="thin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/>
      <top style="medium">
        <color auto="1"/>
      </top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medium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/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4" borderId="4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45" applyNumberFormat="0" applyFill="0" applyAlignment="0" applyProtection="0">
      <alignment vertical="center"/>
    </xf>
    <xf numFmtId="0" fontId="19" fillId="0" borderId="45" applyNumberFormat="0" applyFill="0" applyAlignment="0" applyProtection="0">
      <alignment vertical="center"/>
    </xf>
    <xf numFmtId="0" fontId="20" fillId="0" borderId="4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47" applyNumberFormat="0" applyAlignment="0" applyProtection="0">
      <alignment vertical="center"/>
    </xf>
    <xf numFmtId="0" fontId="22" fillId="6" borderId="48" applyNumberFormat="0" applyAlignment="0" applyProtection="0">
      <alignment vertical="center"/>
    </xf>
    <xf numFmtId="0" fontId="23" fillId="6" borderId="47" applyNumberFormat="0" applyAlignment="0" applyProtection="0">
      <alignment vertical="center"/>
    </xf>
    <xf numFmtId="0" fontId="24" fillId="7" borderId="49" applyNumberFormat="0" applyAlignment="0" applyProtection="0">
      <alignment vertical="center"/>
    </xf>
    <xf numFmtId="0" fontId="25" fillId="0" borderId="50" applyNumberFormat="0" applyFill="0" applyAlignment="0" applyProtection="0">
      <alignment vertical="center"/>
    </xf>
    <xf numFmtId="0" fontId="26" fillId="0" borderId="51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2" fillId="0" borderId="0"/>
    <xf numFmtId="0" fontId="12" fillId="0" borderId="0"/>
    <xf numFmtId="0" fontId="32" fillId="0" borderId="0"/>
    <xf numFmtId="0" fontId="33" fillId="0" borderId="0"/>
    <xf numFmtId="0" fontId="33" fillId="0" borderId="0"/>
  </cellStyleXfs>
  <cellXfs count="128">
    <xf numFmtId="0" fontId="0" fillId="0" borderId="0" xfId="0"/>
    <xf numFmtId="0" fontId="1" fillId="0" borderId="0" xfId="50" applyFont="1"/>
    <xf numFmtId="0" fontId="2" fillId="0" borderId="0" xfId="50" applyFont="1" applyAlignment="1">
      <alignment horizontal="left"/>
    </xf>
    <xf numFmtId="0" fontId="3" fillId="0" borderId="0" xfId="50" applyFont="1" applyFill="1" applyAlignment="1"/>
    <xf numFmtId="0" fontId="3" fillId="0" borderId="0" xfId="49" applyFont="1" applyFill="1"/>
    <xf numFmtId="0" fontId="3" fillId="0" borderId="0" xfId="49" applyFont="1" applyFill="1" applyBorder="1"/>
    <xf numFmtId="0" fontId="4" fillId="0" borderId="0" xfId="49" applyFont="1"/>
    <xf numFmtId="0" fontId="3" fillId="0" borderId="0" xfId="49" applyFont="1"/>
    <xf numFmtId="0" fontId="1" fillId="0" borderId="0" xfId="50" applyFont="1" applyAlignment="1">
      <alignment vertical="center"/>
    </xf>
    <xf numFmtId="0" fontId="1" fillId="0" borderId="0" xfId="50" applyFont="1" applyBorder="1"/>
    <xf numFmtId="0" fontId="4" fillId="0" borderId="0" xfId="49" applyFont="1" applyBorder="1"/>
    <xf numFmtId="0" fontId="5" fillId="0" borderId="0" xfId="49" applyFont="1" applyFill="1" applyAlignment="1">
      <alignment vertical="center"/>
    </xf>
    <xf numFmtId="0" fontId="5" fillId="0" borderId="0" xfId="49" applyFont="1" applyFill="1"/>
    <xf numFmtId="1" fontId="6" fillId="0" borderId="0" xfId="52" applyNumberFormat="1" applyFont="1" applyAlignment="1">
      <alignment wrapText="1"/>
    </xf>
    <xf numFmtId="37" fontId="7" fillId="0" borderId="0" xfId="53" applyNumberFormat="1" applyFont="1" applyAlignment="1">
      <alignment horizontal="left" vertical="center" wrapText="1"/>
    </xf>
    <xf numFmtId="37" fontId="7" fillId="0" borderId="0" xfId="53" applyNumberFormat="1" applyFont="1" applyAlignment="1">
      <alignment horizontal="left" wrapText="1"/>
    </xf>
    <xf numFmtId="0" fontId="8" fillId="0" borderId="1" xfId="52" applyFont="1" applyBorder="1" applyAlignment="1">
      <alignment vertical="center"/>
    </xf>
    <xf numFmtId="0" fontId="8" fillId="0" borderId="1" xfId="52" applyFont="1" applyBorder="1"/>
    <xf numFmtId="1" fontId="6" fillId="0" borderId="1" xfId="52" applyNumberFormat="1" applyFont="1" applyBorder="1" applyAlignment="1">
      <alignment wrapText="1"/>
    </xf>
    <xf numFmtId="0" fontId="9" fillId="0" borderId="2" xfId="51" applyFont="1" applyFill="1" applyBorder="1" applyAlignment="1">
      <alignment horizontal="center" vertical="center" wrapText="1"/>
    </xf>
    <xf numFmtId="0" fontId="9" fillId="0" borderId="3" xfId="51" applyFont="1" applyFill="1" applyBorder="1" applyAlignment="1">
      <alignment horizontal="center" vertical="center"/>
    </xf>
    <xf numFmtId="1" fontId="9" fillId="0" borderId="4" xfId="51" applyNumberFormat="1" applyFont="1" applyFill="1" applyBorder="1" applyAlignment="1">
      <alignment horizontal="center" wrapText="1"/>
    </xf>
    <xf numFmtId="1" fontId="9" fillId="0" borderId="3" xfId="51" applyNumberFormat="1" applyFont="1" applyFill="1" applyBorder="1" applyAlignment="1">
      <alignment horizontal="center" wrapText="1"/>
    </xf>
    <xf numFmtId="0" fontId="9" fillId="0" borderId="0" xfId="51" applyFont="1" applyFill="1" applyBorder="1" applyAlignment="1">
      <alignment horizontal="center" vertical="center" wrapText="1"/>
    </xf>
    <xf numFmtId="0" fontId="9" fillId="0" borderId="5" xfId="51" applyFont="1" applyFill="1" applyBorder="1" applyAlignment="1">
      <alignment horizontal="center" vertical="center"/>
    </xf>
    <xf numFmtId="1" fontId="9" fillId="0" borderId="6" xfId="51" applyNumberFormat="1" applyFont="1" applyFill="1" applyBorder="1" applyAlignment="1">
      <alignment horizontal="center" wrapText="1"/>
    </xf>
    <xf numFmtId="1" fontId="9" fillId="0" borderId="7" xfId="51" applyNumberFormat="1" applyFont="1" applyFill="1" applyBorder="1" applyAlignment="1">
      <alignment horizontal="center" wrapText="1"/>
    </xf>
    <xf numFmtId="0" fontId="9" fillId="0" borderId="1" xfId="51" applyFont="1" applyFill="1" applyBorder="1" applyAlignment="1">
      <alignment horizontal="center" vertical="center" wrapText="1"/>
    </xf>
    <xf numFmtId="0" fontId="9" fillId="0" borderId="8" xfId="51" applyFont="1" applyFill="1" applyBorder="1" applyAlignment="1">
      <alignment horizontal="center" vertical="center"/>
    </xf>
    <xf numFmtId="1" fontId="9" fillId="0" borderId="1" xfId="51" applyNumberFormat="1" applyFont="1" applyFill="1" applyBorder="1" applyAlignment="1">
      <alignment horizontal="right" wrapText="1"/>
    </xf>
    <xf numFmtId="1" fontId="9" fillId="0" borderId="8" xfId="51" applyNumberFormat="1" applyFont="1" applyFill="1" applyBorder="1" applyAlignment="1">
      <alignment horizontal="right" wrapText="1"/>
    </xf>
    <xf numFmtId="0" fontId="3" fillId="0" borderId="9" xfId="53" applyFont="1" applyFill="1" applyBorder="1" applyAlignment="1">
      <alignment horizontal="center" vertical="center"/>
    </xf>
    <xf numFmtId="0" fontId="3" fillId="2" borderId="9" xfId="51" applyFont="1" applyFill="1" applyBorder="1" applyAlignment="1">
      <alignment horizontal="left" vertical="center"/>
    </xf>
    <xf numFmtId="176" fontId="3" fillId="2" borderId="4" xfId="50" applyNumberFormat="1" applyFont="1" applyFill="1" applyBorder="1" applyAlignment="1">
      <alignment horizontal="right"/>
    </xf>
    <xf numFmtId="177" fontId="3" fillId="2" borderId="0" xfId="50" applyNumberFormat="1" applyFont="1" applyFill="1" applyBorder="1" applyAlignment="1">
      <alignment horizontal="right"/>
    </xf>
    <xf numFmtId="0" fontId="3" fillId="0" borderId="10" xfId="53" applyFont="1" applyFill="1" applyBorder="1" applyAlignment="1">
      <alignment horizontal="center" vertical="center"/>
    </xf>
    <xf numFmtId="0" fontId="3" fillId="0" borderId="11" xfId="53" applyFont="1" applyFill="1" applyBorder="1"/>
    <xf numFmtId="176" fontId="3" fillId="0" borderId="12" xfId="50" applyNumberFormat="1" applyFont="1" applyFill="1" applyBorder="1" applyAlignment="1">
      <alignment horizontal="right"/>
    </xf>
    <xf numFmtId="177" fontId="3" fillId="0" borderId="13" xfId="50" applyNumberFormat="1" applyFont="1" applyFill="1" applyBorder="1" applyAlignment="1">
      <alignment horizontal="right"/>
    </xf>
    <xf numFmtId="0" fontId="3" fillId="0" borderId="14" xfId="53" applyFont="1" applyFill="1" applyBorder="1" applyAlignment="1">
      <alignment horizontal="center" vertical="center"/>
    </xf>
    <xf numFmtId="0" fontId="3" fillId="2" borderId="14" xfId="53" applyFont="1" applyFill="1" applyBorder="1"/>
    <xf numFmtId="176" fontId="3" fillId="2" borderId="6" xfId="50" applyNumberFormat="1" applyFont="1" applyFill="1" applyBorder="1" applyAlignment="1">
      <alignment horizontal="right"/>
    </xf>
    <xf numFmtId="177" fontId="3" fillId="2" borderId="15" xfId="50" applyNumberFormat="1" applyFont="1" applyFill="1" applyBorder="1" applyAlignment="1">
      <alignment horizontal="right"/>
    </xf>
    <xf numFmtId="0" fontId="3" fillId="2" borderId="10" xfId="53" applyFont="1" applyFill="1" applyBorder="1"/>
    <xf numFmtId="176" fontId="3" fillId="2" borderId="16" xfId="50" applyNumberFormat="1" applyFont="1" applyFill="1" applyBorder="1" applyAlignment="1">
      <alignment horizontal="right"/>
    </xf>
    <xf numFmtId="0" fontId="3" fillId="2" borderId="10" xfId="53" applyFont="1" applyFill="1" applyBorder="1" applyAlignment="1">
      <alignment horizontal="center" vertical="center"/>
    </xf>
    <xf numFmtId="0" fontId="3" fillId="0" borderId="10" xfId="53" applyFont="1" applyFill="1" applyBorder="1"/>
    <xf numFmtId="176" fontId="3" fillId="0" borderId="16" xfId="50" applyNumberFormat="1" applyFont="1" applyFill="1" applyBorder="1" applyAlignment="1">
      <alignment horizontal="right"/>
    </xf>
    <xf numFmtId="177" fontId="3" fillId="0" borderId="0" xfId="50" applyNumberFormat="1" applyFont="1" applyFill="1" applyBorder="1" applyAlignment="1">
      <alignment horizontal="right"/>
    </xf>
    <xf numFmtId="0" fontId="3" fillId="2" borderId="11" xfId="53" applyFont="1" applyFill="1" applyBorder="1"/>
    <xf numFmtId="176" fontId="3" fillId="2" borderId="12" xfId="50" applyNumberFormat="1" applyFont="1" applyFill="1" applyBorder="1" applyAlignment="1">
      <alignment horizontal="right"/>
    </xf>
    <xf numFmtId="177" fontId="3" fillId="2" borderId="13" xfId="50" applyNumberFormat="1" applyFont="1" applyFill="1" applyBorder="1" applyAlignment="1">
      <alignment horizontal="right"/>
    </xf>
    <xf numFmtId="0" fontId="3" fillId="2" borderId="14" xfId="53" applyFont="1" applyFill="1" applyBorder="1" applyAlignment="1">
      <alignment horizontal="center" vertical="center"/>
    </xf>
    <xf numFmtId="0" fontId="3" fillId="0" borderId="14" xfId="53" applyFont="1" applyFill="1" applyBorder="1"/>
    <xf numFmtId="176" fontId="3" fillId="0" borderId="6" xfId="50" applyNumberFormat="1" applyFont="1" applyFill="1" applyBorder="1" applyAlignment="1">
      <alignment horizontal="right"/>
    </xf>
    <xf numFmtId="177" fontId="3" fillId="0" borderId="15" xfId="50" applyNumberFormat="1" applyFont="1" applyFill="1" applyBorder="1" applyAlignment="1">
      <alignment horizontal="right"/>
    </xf>
    <xf numFmtId="0" fontId="3" fillId="0" borderId="17" xfId="53" applyFont="1" applyFill="1" applyBorder="1" applyAlignment="1">
      <alignment horizontal="center" vertical="center"/>
    </xf>
    <xf numFmtId="0" fontId="3" fillId="2" borderId="17" xfId="53" applyFont="1" applyFill="1" applyBorder="1"/>
    <xf numFmtId="176" fontId="3" fillId="2" borderId="18" xfId="50" applyNumberFormat="1" applyFont="1" applyFill="1" applyBorder="1" applyAlignment="1">
      <alignment horizontal="right"/>
    </xf>
    <xf numFmtId="177" fontId="3" fillId="2" borderId="1" xfId="50" applyNumberFormat="1" applyFont="1" applyFill="1" applyBorder="1" applyAlignment="1">
      <alignment horizontal="right"/>
    </xf>
    <xf numFmtId="0" fontId="3" fillId="0" borderId="0" xfId="50" applyFont="1" applyFill="1" applyAlignment="1">
      <alignment horizontal="left" vertical="center"/>
    </xf>
    <xf numFmtId="0" fontId="10" fillId="0" borderId="0" xfId="50" applyFont="1"/>
    <xf numFmtId="0" fontId="3" fillId="0" borderId="0" xfId="50" applyFont="1" applyFill="1" applyBorder="1"/>
    <xf numFmtId="0" fontId="3" fillId="0" borderId="0" xfId="50" applyFont="1" applyFill="1"/>
    <xf numFmtId="0" fontId="3" fillId="0" borderId="0" xfId="49" applyFont="1" applyFill="1" applyBorder="1" applyAlignment="1">
      <alignment vertical="center"/>
    </xf>
    <xf numFmtId="1" fontId="9" fillId="0" borderId="19" xfId="51" applyNumberFormat="1" applyFont="1" applyFill="1" applyBorder="1" applyAlignment="1">
      <alignment horizontal="center" vertical="center"/>
    </xf>
    <xf numFmtId="1" fontId="9" fillId="0" borderId="20" xfId="51" applyNumberFormat="1" applyFont="1" applyFill="1" applyBorder="1" applyAlignment="1">
      <alignment horizontal="center" vertical="center"/>
    </xf>
    <xf numFmtId="1" fontId="9" fillId="0" borderId="21" xfId="51" applyNumberFormat="1" applyFont="1" applyFill="1" applyBorder="1" applyAlignment="1">
      <alignment horizontal="center" wrapText="1"/>
    </xf>
    <xf numFmtId="1" fontId="9" fillId="0" borderId="22" xfId="51" applyNumberFormat="1" applyFont="1" applyFill="1" applyBorder="1" applyAlignment="1">
      <alignment horizontal="center" wrapText="1"/>
    </xf>
    <xf numFmtId="1" fontId="9" fillId="0" borderId="23" xfId="51" applyNumberFormat="1" applyFont="1" applyFill="1" applyBorder="1" applyAlignment="1">
      <alignment horizontal="center" wrapText="1"/>
    </xf>
    <xf numFmtId="1" fontId="9" fillId="0" borderId="18" xfId="51" applyNumberFormat="1" applyFont="1" applyFill="1" applyBorder="1" applyAlignment="1">
      <alignment horizontal="right" wrapText="1"/>
    </xf>
    <xf numFmtId="1" fontId="9" fillId="0" borderId="24" xfId="0" applyNumberFormat="1" applyFont="1" applyBorder="1" applyAlignment="1">
      <alignment horizontal="right" wrapText="1"/>
    </xf>
    <xf numFmtId="177" fontId="3" fillId="2" borderId="25" xfId="50" applyNumberFormat="1" applyFont="1" applyFill="1" applyBorder="1" applyAlignment="1">
      <alignment horizontal="right"/>
    </xf>
    <xf numFmtId="176" fontId="3" fillId="2" borderId="0" xfId="50" applyNumberFormat="1" applyFont="1" applyFill="1" applyBorder="1" applyAlignment="1">
      <alignment horizontal="right"/>
    </xf>
    <xf numFmtId="177" fontId="3" fillId="0" borderId="26" xfId="50" applyNumberFormat="1" applyFont="1" applyFill="1" applyBorder="1" applyAlignment="1">
      <alignment horizontal="right"/>
    </xf>
    <xf numFmtId="176" fontId="3" fillId="0" borderId="13" xfId="50" applyNumberFormat="1" applyFont="1" applyFill="1" applyBorder="1" applyAlignment="1">
      <alignment horizontal="right"/>
    </xf>
    <xf numFmtId="177" fontId="3" fillId="2" borderId="27" xfId="50" applyNumberFormat="1" applyFont="1" applyFill="1" applyBorder="1" applyAlignment="1">
      <alignment horizontal="right"/>
    </xf>
    <xf numFmtId="176" fontId="3" fillId="2" borderId="15" xfId="50" applyNumberFormat="1" applyFont="1" applyFill="1" applyBorder="1" applyAlignment="1">
      <alignment horizontal="right"/>
    </xf>
    <xf numFmtId="177" fontId="3" fillId="0" borderId="25" xfId="50" applyNumberFormat="1" applyFont="1" applyFill="1" applyBorder="1" applyAlignment="1">
      <alignment horizontal="right"/>
    </xf>
    <xf numFmtId="176" fontId="3" fillId="0" borderId="0" xfId="50" applyNumberFormat="1" applyFont="1" applyFill="1" applyBorder="1" applyAlignment="1">
      <alignment horizontal="right"/>
    </xf>
    <xf numFmtId="177" fontId="3" fillId="2" borderId="26" xfId="50" applyNumberFormat="1" applyFont="1" applyFill="1" applyBorder="1" applyAlignment="1">
      <alignment horizontal="right"/>
    </xf>
    <xf numFmtId="176" fontId="3" fillId="2" borderId="13" xfId="50" applyNumberFormat="1" applyFont="1" applyFill="1" applyBorder="1" applyAlignment="1">
      <alignment horizontal="right"/>
    </xf>
    <xf numFmtId="177" fontId="3" fillId="0" borderId="27" xfId="50" applyNumberFormat="1" applyFont="1" applyFill="1" applyBorder="1" applyAlignment="1">
      <alignment horizontal="right"/>
    </xf>
    <xf numFmtId="176" fontId="3" fillId="0" borderId="15" xfId="50" applyNumberFormat="1" applyFont="1" applyFill="1" applyBorder="1" applyAlignment="1">
      <alignment horizontal="right"/>
    </xf>
    <xf numFmtId="177" fontId="3" fillId="2" borderId="28" xfId="50" applyNumberFormat="1" applyFont="1" applyFill="1" applyBorder="1" applyAlignment="1">
      <alignment horizontal="right"/>
    </xf>
    <xf numFmtId="176" fontId="3" fillId="2" borderId="1" xfId="50" applyNumberFormat="1" applyFont="1" applyFill="1" applyBorder="1" applyAlignment="1">
      <alignment horizontal="right"/>
    </xf>
    <xf numFmtId="0" fontId="11" fillId="3" borderId="0" xfId="50" applyFont="1" applyFill="1" applyBorder="1"/>
    <xf numFmtId="1" fontId="9" fillId="0" borderId="29" xfId="51" applyNumberFormat="1" applyFont="1" applyFill="1" applyBorder="1" applyAlignment="1">
      <alignment horizontal="center" wrapText="1"/>
    </xf>
    <xf numFmtId="1" fontId="9" fillId="0" borderId="30" xfId="51" applyNumberFormat="1" applyFont="1" applyFill="1" applyBorder="1" applyAlignment="1">
      <alignment horizontal="center" vertical="center"/>
    </xf>
    <xf numFmtId="1" fontId="9" fillId="0" borderId="31" xfId="51" applyNumberFormat="1" applyFont="1" applyFill="1" applyBorder="1" applyAlignment="1">
      <alignment horizontal="center" wrapText="1"/>
    </xf>
    <xf numFmtId="1" fontId="9" fillId="0" borderId="32" xfId="0" applyNumberFormat="1" applyFont="1" applyBorder="1" applyAlignment="1">
      <alignment horizontal="right" wrapText="1"/>
    </xf>
    <xf numFmtId="176" fontId="3" fillId="2" borderId="33" xfId="50" applyNumberFormat="1" applyFont="1" applyFill="1" applyBorder="1" applyAlignment="1">
      <alignment horizontal="right"/>
    </xf>
    <xf numFmtId="177" fontId="3" fillId="2" borderId="5" xfId="50" applyNumberFormat="1" applyFont="1" applyFill="1" applyBorder="1" applyAlignment="1">
      <alignment horizontal="right"/>
    </xf>
    <xf numFmtId="176" fontId="3" fillId="0" borderId="34" xfId="50" applyNumberFormat="1" applyFont="1" applyFill="1" applyBorder="1" applyAlignment="1">
      <alignment horizontal="right"/>
    </xf>
    <xf numFmtId="177" fontId="3" fillId="0" borderId="35" xfId="50" applyNumberFormat="1" applyFont="1" applyFill="1" applyBorder="1" applyAlignment="1">
      <alignment horizontal="right"/>
    </xf>
    <xf numFmtId="176" fontId="3" fillId="2" borderId="36" xfId="50" applyNumberFormat="1" applyFont="1" applyFill="1" applyBorder="1" applyAlignment="1">
      <alignment horizontal="right"/>
    </xf>
    <xf numFmtId="177" fontId="3" fillId="2" borderId="7" xfId="50" applyNumberFormat="1" applyFont="1" applyFill="1" applyBorder="1" applyAlignment="1">
      <alignment horizontal="right"/>
    </xf>
    <xf numFmtId="176" fontId="3" fillId="0" borderId="33" xfId="50" applyNumberFormat="1" applyFont="1" applyFill="1" applyBorder="1" applyAlignment="1">
      <alignment horizontal="right"/>
    </xf>
    <xf numFmtId="177" fontId="3" fillId="0" borderId="5" xfId="50" applyNumberFormat="1" applyFont="1" applyFill="1" applyBorder="1" applyAlignment="1">
      <alignment horizontal="right"/>
    </xf>
    <xf numFmtId="176" fontId="3" fillId="2" borderId="34" xfId="50" applyNumberFormat="1" applyFont="1" applyFill="1" applyBorder="1" applyAlignment="1">
      <alignment horizontal="right"/>
    </xf>
    <xf numFmtId="177" fontId="3" fillId="2" borderId="35" xfId="50" applyNumberFormat="1" applyFont="1" applyFill="1" applyBorder="1" applyAlignment="1">
      <alignment horizontal="right"/>
    </xf>
    <xf numFmtId="176" fontId="3" fillId="0" borderId="36" xfId="50" applyNumberFormat="1" applyFont="1" applyFill="1" applyBorder="1" applyAlignment="1">
      <alignment horizontal="right"/>
    </xf>
    <xf numFmtId="177" fontId="3" fillId="0" borderId="7" xfId="50" applyNumberFormat="1" applyFont="1" applyFill="1" applyBorder="1" applyAlignment="1">
      <alignment horizontal="right"/>
    </xf>
    <xf numFmtId="176" fontId="3" fillId="2" borderId="37" xfId="50" applyNumberFormat="1" applyFont="1" applyFill="1" applyBorder="1" applyAlignment="1">
      <alignment horizontal="right"/>
    </xf>
    <xf numFmtId="177" fontId="3" fillId="2" borderId="8" xfId="50" applyNumberFormat="1" applyFont="1" applyFill="1" applyBorder="1" applyAlignment="1">
      <alignment horizontal="right"/>
    </xf>
    <xf numFmtId="1" fontId="6" fillId="0" borderId="0" xfId="52" applyNumberFormat="1" applyFont="1" applyBorder="1" applyAlignment="1">
      <alignment wrapText="1"/>
    </xf>
    <xf numFmtId="0" fontId="10" fillId="0" borderId="0" xfId="50" applyFont="1" applyBorder="1"/>
    <xf numFmtId="1" fontId="9" fillId="0" borderId="38" xfId="51" applyNumberFormat="1" applyFont="1" applyFill="1" applyBorder="1" applyAlignment="1">
      <alignment horizontal="center" vertical="center" wrapText="1"/>
    </xf>
    <xf numFmtId="1" fontId="9" fillId="0" borderId="39" xfId="51" applyNumberFormat="1" applyFont="1" applyFill="1" applyBorder="1" applyAlignment="1">
      <alignment horizontal="center" vertical="center" wrapText="1"/>
    </xf>
    <xf numFmtId="1" fontId="9" fillId="0" borderId="40" xfId="51" applyNumberFormat="1" applyFont="1" applyFill="1" applyBorder="1" applyAlignment="1">
      <alignment horizontal="center" vertical="center" wrapText="1"/>
    </xf>
    <xf numFmtId="1" fontId="9" fillId="0" borderId="33" xfId="51" applyNumberFormat="1" applyFont="1" applyFill="1" applyBorder="1" applyAlignment="1">
      <alignment horizontal="center" vertical="center" wrapText="1"/>
    </xf>
    <xf numFmtId="1" fontId="9" fillId="0" borderId="41" xfId="51" applyNumberFormat="1" applyFont="1" applyFill="1" applyBorder="1" applyAlignment="1">
      <alignment horizontal="center" vertical="center" wrapText="1"/>
    </xf>
    <xf numFmtId="1" fontId="9" fillId="0" borderId="37" xfId="51" applyNumberFormat="1" applyFont="1" applyFill="1" applyBorder="1" applyAlignment="1">
      <alignment horizontal="center" vertical="center" wrapText="1"/>
    </xf>
    <xf numFmtId="37" fontId="3" fillId="2" borderId="40" xfId="49" applyNumberFormat="1" applyFont="1" applyFill="1" applyBorder="1"/>
    <xf numFmtId="177" fontId="3" fillId="2" borderId="33" xfId="50" applyNumberFormat="1" applyFont="1" applyFill="1" applyBorder="1"/>
    <xf numFmtId="37" fontId="3" fillId="0" borderId="42" xfId="49" applyNumberFormat="1" applyFont="1" applyFill="1" applyBorder="1"/>
    <xf numFmtId="177" fontId="3" fillId="0" borderId="34" xfId="50" applyNumberFormat="1" applyFont="1" applyFill="1" applyBorder="1"/>
    <xf numFmtId="37" fontId="3" fillId="2" borderId="43" xfId="49" applyNumberFormat="1" applyFont="1" applyFill="1" applyBorder="1"/>
    <xf numFmtId="177" fontId="3" fillId="2" borderId="36" xfId="50" applyNumberFormat="1" applyFont="1" applyFill="1" applyBorder="1"/>
    <xf numFmtId="37" fontId="3" fillId="0" borderId="40" xfId="49" applyNumberFormat="1" applyFont="1" applyFill="1" applyBorder="1"/>
    <xf numFmtId="177" fontId="3" fillId="0" borderId="33" xfId="50" applyNumberFormat="1" applyFont="1" applyFill="1" applyBorder="1"/>
    <xf numFmtId="37" fontId="3" fillId="2" borderId="42" xfId="49" applyNumberFormat="1" applyFont="1" applyFill="1" applyBorder="1"/>
    <xf numFmtId="177" fontId="3" fillId="2" borderId="34" xfId="50" applyNumberFormat="1" applyFont="1" applyFill="1" applyBorder="1"/>
    <xf numFmtId="37" fontId="3" fillId="0" borderId="43" xfId="49" applyNumberFormat="1" applyFont="1" applyFill="1" applyBorder="1"/>
    <xf numFmtId="177" fontId="3" fillId="0" borderId="36" xfId="50" applyNumberFormat="1" applyFont="1" applyFill="1" applyBorder="1"/>
    <xf numFmtId="37" fontId="3" fillId="2" borderId="41" xfId="49" applyNumberFormat="1" applyFont="1" applyFill="1" applyBorder="1"/>
    <xf numFmtId="177" fontId="3" fillId="2" borderId="37" xfId="50" applyNumberFormat="1" applyFont="1" applyFill="1" applyBorder="1"/>
    <xf numFmtId="0" fontId="3" fillId="0" borderId="0" xfId="49" applyFont="1" applyBorder="1"/>
    <xf numFmtId="176" fontId="3" fillId="0" borderId="12" xfId="50" applyNumberFormat="1" applyFont="1" applyFill="1" applyBorder="1" applyAlignment="1" quotePrefix="1">
      <alignment horizontal="right"/>
    </xf>
    <xf numFmtId="176" fontId="3" fillId="0" borderId="16" xfId="50" applyNumberFormat="1" applyFont="1" applyFill="1" applyBorder="1" applyAlignment="1" quotePrefix="1">
      <alignment horizontal="right"/>
    </xf>
    <xf numFmtId="176" fontId="3" fillId="0" borderId="0" xfId="50" applyNumberFormat="1" applyFont="1" applyFill="1" applyBorder="1" applyAlignment="1" quotePrefix="1">
      <alignment horizontal="right"/>
    </xf>
    <xf numFmtId="176" fontId="3" fillId="2" borderId="12" xfId="50" applyNumberFormat="1" applyFont="1" applyFill="1" applyBorder="1" applyAlignment="1" quotePrefix="1">
      <alignment horizontal="right"/>
    </xf>
    <xf numFmtId="176" fontId="3" fillId="2" borderId="13" xfId="50" applyNumberFormat="1" applyFont="1" applyFill="1" applyBorder="1" applyAlignment="1" quotePrefix="1">
      <alignment horizontal="right"/>
    </xf>
    <xf numFmtId="176" fontId="3" fillId="2" borderId="0" xfId="50" applyNumberFormat="1" applyFont="1" applyFill="1" applyBorder="1" applyAlignment="1" quotePrefix="1">
      <alignment horizontal="right"/>
    </xf>
    <xf numFmtId="176" fontId="3" fillId="0" borderId="13" xfId="50" applyNumberFormat="1" applyFont="1" applyFill="1" applyBorder="1" applyAlignment="1" quotePrefix="1">
      <alignment horizontal="right"/>
    </xf>
    <xf numFmtId="176" fontId="3" fillId="2" borderId="34" xfId="50" applyNumberFormat="1" applyFont="1" applyFill="1" applyBorder="1" applyAlignment="1" quotePrefix="1">
      <alignment horizontal="right"/>
    </xf>
    <xf numFmtId="0" fontId="3" fillId="0" borderId="0" xfId="50" applyFont="1" applyFill="1" applyAlignment="1" quotePrefix="1">
      <alignment horizontal="left" vertical="center"/>
    </xf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 2" xfId="49"/>
    <cellStyle name="Normal 3" xfId="50"/>
    <cellStyle name="Normal 6" xfId="51"/>
    <cellStyle name="Normal 9" xfId="52"/>
    <cellStyle name="Normal 9 2" xfId="53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49"/>
  <sheetViews>
    <sheetView tabSelected="1" workbookViewId="0">
      <selection activeCell="A10" sqref="$A10:$XFD12"/>
    </sheetView>
  </sheetViews>
  <sheetFormatPr defaultColWidth="8.83035714285714" defaultRowHeight="17.6"/>
  <cols>
    <col min="1" max="1" width="10.8303571428571" style="8" customWidth="1"/>
    <col min="2" max="2" width="23.1607142857143" style="1" customWidth="1"/>
    <col min="3" max="23" width="11.8303571428571" style="1" customWidth="1"/>
    <col min="24" max="24" width="11.8303571428571" style="9" customWidth="1"/>
    <col min="25" max="25" width="11.8303571428571" style="10" customWidth="1"/>
    <col min="26" max="26" width="11.8303571428571" style="1" customWidth="1"/>
  </cols>
  <sheetData>
    <row r="1" s="1" customFormat="1" ht="15" customHeight="1" spans="1:26">
      <c r="A1" s="11"/>
      <c r="B1" s="12"/>
      <c r="C1" s="12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05"/>
      <c r="Y1" s="9"/>
      <c r="Z1" s="13"/>
    </row>
    <row r="2" s="2" customFormat="1" ht="15" customHeight="1" spans="1:26">
      <c r="A2" s="14" t="s">
        <v>0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="1" customFormat="1" ht="15" customHeight="1" spans="1:26">
      <c r="A3" s="16"/>
      <c r="B3" s="17"/>
      <c r="C3" s="17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9"/>
      <c r="Z3" s="18"/>
    </row>
    <row r="4" s="3" customFormat="1" ht="25" customHeight="1" spans="1:26">
      <c r="A4" s="19" t="s">
        <v>1</v>
      </c>
      <c r="B4" s="20" t="s">
        <v>2</v>
      </c>
      <c r="C4" s="21" t="s">
        <v>3</v>
      </c>
      <c r="D4" s="22"/>
      <c r="E4" s="65" t="s">
        <v>4</v>
      </c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88"/>
      <c r="S4" s="21" t="s">
        <v>5</v>
      </c>
      <c r="T4" s="22"/>
      <c r="U4" s="21" t="s">
        <v>6</v>
      </c>
      <c r="V4" s="22"/>
      <c r="W4" s="21" t="s">
        <v>7</v>
      </c>
      <c r="X4" s="22"/>
      <c r="Y4" s="107" t="s">
        <v>8</v>
      </c>
      <c r="Z4" s="108" t="s">
        <v>9</v>
      </c>
    </row>
    <row r="5" s="3" customFormat="1" ht="25" customHeight="1" spans="1:26">
      <c r="A5" s="23"/>
      <c r="B5" s="24"/>
      <c r="C5" s="25"/>
      <c r="D5" s="26"/>
      <c r="E5" s="67" t="s">
        <v>10</v>
      </c>
      <c r="F5" s="68"/>
      <c r="G5" s="69" t="s">
        <v>11</v>
      </c>
      <c r="H5" s="68"/>
      <c r="I5" s="87" t="s">
        <v>12</v>
      </c>
      <c r="J5" s="68"/>
      <c r="K5" s="87" t="s">
        <v>13</v>
      </c>
      <c r="L5" s="68"/>
      <c r="M5" s="87" t="s">
        <v>14</v>
      </c>
      <c r="N5" s="68"/>
      <c r="O5" s="87" t="s">
        <v>15</v>
      </c>
      <c r="P5" s="68"/>
      <c r="Q5" s="87" t="s">
        <v>16</v>
      </c>
      <c r="R5" s="89"/>
      <c r="S5" s="25"/>
      <c r="T5" s="26"/>
      <c r="U5" s="25"/>
      <c r="V5" s="26"/>
      <c r="W5" s="25"/>
      <c r="X5" s="26"/>
      <c r="Y5" s="109"/>
      <c r="Z5" s="110"/>
    </row>
    <row r="6" s="3" customFormat="1" ht="15" customHeight="1" spans="1:26">
      <c r="A6" s="27"/>
      <c r="B6" s="28"/>
      <c r="C6" s="29" t="s">
        <v>17</v>
      </c>
      <c r="D6" s="30" t="s">
        <v>18</v>
      </c>
      <c r="E6" s="70" t="s">
        <v>17</v>
      </c>
      <c r="F6" s="71" t="s">
        <v>19</v>
      </c>
      <c r="G6" s="29" t="s">
        <v>17</v>
      </c>
      <c r="H6" s="71" t="s">
        <v>19</v>
      </c>
      <c r="I6" s="29" t="s">
        <v>17</v>
      </c>
      <c r="J6" s="71" t="s">
        <v>19</v>
      </c>
      <c r="K6" s="29" t="s">
        <v>17</v>
      </c>
      <c r="L6" s="71" t="s">
        <v>19</v>
      </c>
      <c r="M6" s="29" t="s">
        <v>17</v>
      </c>
      <c r="N6" s="71" t="s">
        <v>19</v>
      </c>
      <c r="O6" s="29" t="s">
        <v>17</v>
      </c>
      <c r="P6" s="71" t="s">
        <v>19</v>
      </c>
      <c r="Q6" s="29" t="s">
        <v>17</v>
      </c>
      <c r="R6" s="90" t="s">
        <v>19</v>
      </c>
      <c r="S6" s="70" t="s">
        <v>17</v>
      </c>
      <c r="T6" s="30" t="s">
        <v>18</v>
      </c>
      <c r="U6" s="70" t="s">
        <v>17</v>
      </c>
      <c r="V6" s="30" t="s">
        <v>18</v>
      </c>
      <c r="W6" s="29" t="s">
        <v>17</v>
      </c>
      <c r="X6" s="30" t="s">
        <v>18</v>
      </c>
      <c r="Y6" s="111"/>
      <c r="Z6" s="112"/>
    </row>
    <row r="7" s="4" customFormat="1" ht="15" customHeight="1" spans="1:26">
      <c r="A7" s="31" t="s">
        <v>20</v>
      </c>
      <c r="B7" s="32" t="s">
        <v>21</v>
      </c>
      <c r="C7" s="33">
        <v>7984</v>
      </c>
      <c r="D7" s="34">
        <v>62.4823916105807</v>
      </c>
      <c r="E7" s="44">
        <v>93</v>
      </c>
      <c r="F7" s="72">
        <v>0.727813429331664</v>
      </c>
      <c r="G7" s="73">
        <v>468</v>
      </c>
      <c r="H7" s="72">
        <v>3.6625449992174</v>
      </c>
      <c r="I7" s="73">
        <v>4240</v>
      </c>
      <c r="J7" s="72">
        <v>33.1820316168414</v>
      </c>
      <c r="K7" s="73">
        <v>436</v>
      </c>
      <c r="L7" s="72">
        <v>3.41211457192049</v>
      </c>
      <c r="M7" s="73">
        <v>2410</v>
      </c>
      <c r="N7" s="72">
        <v>18.860541555799</v>
      </c>
      <c r="O7" s="73">
        <v>42</v>
      </c>
      <c r="P7" s="72">
        <v>0.328689935827203</v>
      </c>
      <c r="Q7" s="91">
        <v>295</v>
      </c>
      <c r="R7" s="92">
        <v>2.30865550164345</v>
      </c>
      <c r="S7" s="33">
        <v>1017</v>
      </c>
      <c r="T7" s="92">
        <v>7.95899201753013</v>
      </c>
      <c r="U7" s="33">
        <v>62</v>
      </c>
      <c r="V7" s="92">
        <v>0.485208952887776</v>
      </c>
      <c r="W7" s="33">
        <v>2717</v>
      </c>
      <c r="X7" s="34">
        <v>21.2631084676788</v>
      </c>
      <c r="Y7" s="113">
        <v>5931</v>
      </c>
      <c r="Z7" s="114">
        <v>99.9662788737144</v>
      </c>
    </row>
    <row r="8" s="4" customFormat="1" ht="15" customHeight="1" spans="1:26">
      <c r="A8" s="35"/>
      <c r="B8" s="36" t="s">
        <v>22</v>
      </c>
      <c r="C8" s="37">
        <v>4794</v>
      </c>
      <c r="D8" s="38">
        <v>37.5176083894193</v>
      </c>
      <c r="E8" s="37">
        <v>60</v>
      </c>
      <c r="F8" s="74">
        <v>0.469557051181719</v>
      </c>
      <c r="G8" s="75">
        <v>221</v>
      </c>
      <c r="H8" s="74">
        <v>1.72953513851933</v>
      </c>
      <c r="I8" s="75">
        <v>2726</v>
      </c>
      <c r="J8" s="74">
        <v>21.3335420253561</v>
      </c>
      <c r="K8" s="75">
        <v>298</v>
      </c>
      <c r="L8" s="74">
        <v>2.33213335420254</v>
      </c>
      <c r="M8" s="75">
        <v>1314</v>
      </c>
      <c r="N8" s="74">
        <v>10.2832994208796</v>
      </c>
      <c r="O8" s="75">
        <v>26</v>
      </c>
      <c r="P8" s="74">
        <v>0.203474722178745</v>
      </c>
      <c r="Q8" s="93">
        <v>149</v>
      </c>
      <c r="R8" s="94">
        <v>1.16606667710127</v>
      </c>
      <c r="S8" s="37">
        <v>387</v>
      </c>
      <c r="T8" s="94">
        <v>3.02864298012208</v>
      </c>
      <c r="U8" s="37">
        <v>47</v>
      </c>
      <c r="V8" s="94">
        <v>0.367819690092346</v>
      </c>
      <c r="W8" s="37">
        <v>1751</v>
      </c>
      <c r="X8" s="38">
        <v>13.7032399436532</v>
      </c>
      <c r="Y8" s="115">
        <v>5931</v>
      </c>
      <c r="Z8" s="116">
        <v>99.9662788737144</v>
      </c>
    </row>
    <row r="9" s="4" customFormat="1" ht="15" customHeight="1" spans="1:26">
      <c r="A9" s="39"/>
      <c r="B9" s="40" t="s">
        <v>23</v>
      </c>
      <c r="C9" s="41">
        <v>12778</v>
      </c>
      <c r="D9" s="42">
        <v>100</v>
      </c>
      <c r="E9" s="41">
        <v>153</v>
      </c>
      <c r="F9" s="76">
        <v>1.19737048051338</v>
      </c>
      <c r="G9" s="77">
        <v>689</v>
      </c>
      <c r="H9" s="76">
        <v>5.39208013773673</v>
      </c>
      <c r="I9" s="77">
        <v>6966</v>
      </c>
      <c r="J9" s="76">
        <v>54.5155736421975</v>
      </c>
      <c r="K9" s="77">
        <v>734</v>
      </c>
      <c r="L9" s="76">
        <v>5.74424792612302</v>
      </c>
      <c r="M9" s="77">
        <v>3724</v>
      </c>
      <c r="N9" s="76">
        <v>29.1438409766787</v>
      </c>
      <c r="O9" s="77">
        <v>68</v>
      </c>
      <c r="P9" s="76">
        <v>0.532164658005948</v>
      </c>
      <c r="Q9" s="95">
        <v>444</v>
      </c>
      <c r="R9" s="96">
        <v>3.47472217874472</v>
      </c>
      <c r="S9" s="41">
        <v>1404</v>
      </c>
      <c r="T9" s="96">
        <v>10.9876349976522</v>
      </c>
      <c r="U9" s="41">
        <v>109</v>
      </c>
      <c r="V9" s="96">
        <v>0.853028642980122</v>
      </c>
      <c r="W9" s="41">
        <v>4468</v>
      </c>
      <c r="X9" s="42">
        <v>34.966348411332</v>
      </c>
      <c r="Y9" s="117">
        <v>5931</v>
      </c>
      <c r="Z9" s="118">
        <v>99.9662788737144</v>
      </c>
    </row>
    <row r="10" s="4" customFormat="1" ht="15" customHeight="1" spans="1:26">
      <c r="A10" s="35" t="s">
        <v>24</v>
      </c>
      <c r="B10" s="43" t="s">
        <v>21</v>
      </c>
      <c r="C10" s="44">
        <v>2763</v>
      </c>
      <c r="D10" s="34">
        <v>57.755016722408</v>
      </c>
      <c r="E10" s="44">
        <v>23</v>
      </c>
      <c r="F10" s="72">
        <v>0.480769230769231</v>
      </c>
      <c r="G10" s="73">
        <v>120</v>
      </c>
      <c r="H10" s="72">
        <v>2.50836120401338</v>
      </c>
      <c r="I10" s="73">
        <v>1888</v>
      </c>
      <c r="J10" s="72">
        <v>39.4648829431438</v>
      </c>
      <c r="K10" s="73">
        <v>263</v>
      </c>
      <c r="L10" s="72">
        <v>5.49749163879599</v>
      </c>
      <c r="M10" s="73">
        <v>396</v>
      </c>
      <c r="N10" s="72">
        <v>8.27759197324415</v>
      </c>
      <c r="O10" s="73">
        <v>17</v>
      </c>
      <c r="P10" s="72">
        <v>0.355351170568562</v>
      </c>
      <c r="Q10" s="91">
        <v>56</v>
      </c>
      <c r="R10" s="92">
        <v>1.17056856187291</v>
      </c>
      <c r="S10" s="44">
        <v>341</v>
      </c>
      <c r="T10" s="92">
        <v>7.12792642140468</v>
      </c>
      <c r="U10" s="44">
        <v>27</v>
      </c>
      <c r="V10" s="92">
        <v>0.56438127090301</v>
      </c>
      <c r="W10" s="44">
        <v>1181</v>
      </c>
      <c r="X10" s="34">
        <v>24.6864548494983</v>
      </c>
      <c r="Y10" s="113">
        <v>5976</v>
      </c>
      <c r="Z10" s="114">
        <v>99.9665327978581</v>
      </c>
    </row>
    <row r="11" s="4" customFormat="1" ht="15" customHeight="1" spans="1:26">
      <c r="A11" s="35"/>
      <c r="B11" s="36" t="s">
        <v>22</v>
      </c>
      <c r="C11" s="37">
        <v>2021</v>
      </c>
      <c r="D11" s="38">
        <v>42.244983277592</v>
      </c>
      <c r="E11" s="37">
        <v>20</v>
      </c>
      <c r="F11" s="74">
        <v>0.418060200668896</v>
      </c>
      <c r="G11" s="75">
        <v>59</v>
      </c>
      <c r="H11" s="74">
        <v>1.23327759197324</v>
      </c>
      <c r="I11" s="75">
        <v>1416</v>
      </c>
      <c r="J11" s="74">
        <v>29.5986622073579</v>
      </c>
      <c r="K11" s="75">
        <v>180</v>
      </c>
      <c r="L11" s="74">
        <v>3.76254180602007</v>
      </c>
      <c r="M11" s="75">
        <v>296</v>
      </c>
      <c r="N11" s="74">
        <v>6.18729096989967</v>
      </c>
      <c r="O11" s="75">
        <v>12</v>
      </c>
      <c r="P11" s="74">
        <v>0.250836120401338</v>
      </c>
      <c r="Q11" s="93">
        <v>38</v>
      </c>
      <c r="R11" s="94">
        <v>0.794314381270903</v>
      </c>
      <c r="S11" s="37">
        <v>167</v>
      </c>
      <c r="T11" s="94">
        <v>3.49080267558528</v>
      </c>
      <c r="U11" s="37">
        <v>23</v>
      </c>
      <c r="V11" s="94">
        <v>0.480769230769231</v>
      </c>
      <c r="W11" s="37">
        <v>936</v>
      </c>
      <c r="X11" s="38">
        <v>19.5652173913043</v>
      </c>
      <c r="Y11" s="115">
        <v>5976</v>
      </c>
      <c r="Z11" s="116">
        <v>99.9665327978581</v>
      </c>
    </row>
    <row r="12" s="4" customFormat="1" ht="15" customHeight="1" spans="1:26">
      <c r="A12" s="39"/>
      <c r="B12" s="40" t="s">
        <v>23</v>
      </c>
      <c r="C12" s="41">
        <v>4784</v>
      </c>
      <c r="D12" s="42">
        <v>100</v>
      </c>
      <c r="E12" s="41">
        <v>43</v>
      </c>
      <c r="F12" s="76">
        <v>0.898829431438127</v>
      </c>
      <c r="G12" s="77">
        <v>179</v>
      </c>
      <c r="H12" s="76">
        <v>3.74163879598662</v>
      </c>
      <c r="I12" s="77">
        <v>3304</v>
      </c>
      <c r="J12" s="76">
        <v>69.0635451505017</v>
      </c>
      <c r="K12" s="77">
        <v>443</v>
      </c>
      <c r="L12" s="76">
        <v>9.26003344481605</v>
      </c>
      <c r="M12" s="77">
        <v>692</v>
      </c>
      <c r="N12" s="76">
        <v>14.4648829431438</v>
      </c>
      <c r="O12" s="77">
        <v>29</v>
      </c>
      <c r="P12" s="76">
        <v>0.6061872909699</v>
      </c>
      <c r="Q12" s="95">
        <v>94</v>
      </c>
      <c r="R12" s="96">
        <v>1.96488294314381</v>
      </c>
      <c r="S12" s="41">
        <v>508</v>
      </c>
      <c r="T12" s="96">
        <v>10.61872909699</v>
      </c>
      <c r="U12" s="41">
        <v>50</v>
      </c>
      <c r="V12" s="96">
        <v>1.04515050167224</v>
      </c>
      <c r="W12" s="41">
        <v>2117</v>
      </c>
      <c r="X12" s="42">
        <v>44.2516722408027</v>
      </c>
      <c r="Y12" s="117">
        <v>5976</v>
      </c>
      <c r="Z12" s="118">
        <v>99.9665327978581</v>
      </c>
    </row>
    <row r="13" s="4" customFormat="1" ht="15" customHeight="1" spans="1:26">
      <c r="A13" s="45" t="s">
        <v>25</v>
      </c>
      <c r="B13" s="46" t="s">
        <v>21</v>
      </c>
      <c r="C13" s="47">
        <v>1436</v>
      </c>
      <c r="D13" s="48">
        <v>58.6361780318497</v>
      </c>
      <c r="E13" s="47">
        <v>13</v>
      </c>
      <c r="F13" s="78">
        <v>0.530828909759085</v>
      </c>
      <c r="G13" s="79">
        <v>58</v>
      </c>
      <c r="H13" s="78">
        <v>2.36831359738669</v>
      </c>
      <c r="I13" s="79">
        <v>963</v>
      </c>
      <c r="J13" s="78">
        <v>39.3221723152307</v>
      </c>
      <c r="K13" s="79">
        <v>137</v>
      </c>
      <c r="L13" s="78">
        <v>5.59412004899959</v>
      </c>
      <c r="M13" s="79">
        <v>238</v>
      </c>
      <c r="N13" s="78">
        <v>9.7182523478971</v>
      </c>
      <c r="O13" s="79">
        <v>10</v>
      </c>
      <c r="P13" s="78">
        <v>0.408329930583912</v>
      </c>
      <c r="Q13" s="97">
        <v>17</v>
      </c>
      <c r="R13" s="98">
        <v>0.69416088199265</v>
      </c>
      <c r="S13" s="47">
        <v>221</v>
      </c>
      <c r="T13" s="98">
        <v>9.02409146590445</v>
      </c>
      <c r="U13" s="47">
        <v>28</v>
      </c>
      <c r="V13" s="98">
        <v>1.14332380563495</v>
      </c>
      <c r="W13" s="47">
        <v>599</v>
      </c>
      <c r="X13" s="48">
        <v>24.4589628419763</v>
      </c>
      <c r="Y13" s="119">
        <v>5975</v>
      </c>
      <c r="Z13" s="120">
        <v>99.9665271966527</v>
      </c>
    </row>
    <row r="14" s="4" customFormat="1" ht="15" customHeight="1" spans="1:26">
      <c r="A14" s="45"/>
      <c r="B14" s="49" t="s">
        <v>22</v>
      </c>
      <c r="C14" s="50">
        <v>1013</v>
      </c>
      <c r="D14" s="51">
        <v>41.3638219681503</v>
      </c>
      <c r="E14" s="50">
        <v>4</v>
      </c>
      <c r="F14" s="80">
        <v>0.163331972233565</v>
      </c>
      <c r="G14" s="81">
        <v>30</v>
      </c>
      <c r="H14" s="80">
        <v>1.22498979175174</v>
      </c>
      <c r="I14" s="81">
        <v>704</v>
      </c>
      <c r="J14" s="80">
        <v>28.7464271131074</v>
      </c>
      <c r="K14" s="81">
        <v>95</v>
      </c>
      <c r="L14" s="80">
        <v>3.87913434054716</v>
      </c>
      <c r="M14" s="81">
        <v>150</v>
      </c>
      <c r="N14" s="80">
        <v>6.12494895875868</v>
      </c>
      <c r="O14" s="81">
        <v>7</v>
      </c>
      <c r="P14" s="80">
        <v>0.285830951408738</v>
      </c>
      <c r="Q14" s="99">
        <v>23</v>
      </c>
      <c r="R14" s="100">
        <v>0.939158840342997</v>
      </c>
      <c r="S14" s="50">
        <v>87</v>
      </c>
      <c r="T14" s="100">
        <v>3.55247039608003</v>
      </c>
      <c r="U14" s="50">
        <v>11</v>
      </c>
      <c r="V14" s="100">
        <v>0.449162923642303</v>
      </c>
      <c r="W14" s="50">
        <v>465</v>
      </c>
      <c r="X14" s="51">
        <v>18.9873417721519</v>
      </c>
      <c r="Y14" s="121">
        <v>5975</v>
      </c>
      <c r="Z14" s="122">
        <v>99.9665271966527</v>
      </c>
    </row>
    <row r="15" s="4" customFormat="1" ht="15" customHeight="1" spans="1:26">
      <c r="A15" s="52"/>
      <c r="B15" s="53" t="s">
        <v>23</v>
      </c>
      <c r="C15" s="54">
        <v>2449</v>
      </c>
      <c r="D15" s="55">
        <v>100</v>
      </c>
      <c r="E15" s="54">
        <v>17</v>
      </c>
      <c r="F15" s="82">
        <v>0.69416088199265</v>
      </c>
      <c r="G15" s="83">
        <v>88</v>
      </c>
      <c r="H15" s="82">
        <v>3.59330338913842</v>
      </c>
      <c r="I15" s="83">
        <v>1667</v>
      </c>
      <c r="J15" s="82">
        <v>68.0685994283381</v>
      </c>
      <c r="K15" s="83">
        <v>232</v>
      </c>
      <c r="L15" s="82">
        <v>9.47325438954675</v>
      </c>
      <c r="M15" s="83">
        <v>388</v>
      </c>
      <c r="N15" s="82">
        <v>15.8432013066558</v>
      </c>
      <c r="O15" s="83">
        <v>17</v>
      </c>
      <c r="P15" s="82">
        <v>0.69416088199265</v>
      </c>
      <c r="Q15" s="101">
        <v>40</v>
      </c>
      <c r="R15" s="102">
        <v>1.63331972233565</v>
      </c>
      <c r="S15" s="54">
        <v>308</v>
      </c>
      <c r="T15" s="102">
        <v>12.5765618619845</v>
      </c>
      <c r="U15" s="54">
        <v>39</v>
      </c>
      <c r="V15" s="102">
        <v>1.59248672927726</v>
      </c>
      <c r="W15" s="54">
        <v>1064</v>
      </c>
      <c r="X15" s="55">
        <v>43.4463046141282</v>
      </c>
      <c r="Y15" s="123">
        <v>5975</v>
      </c>
      <c r="Z15" s="124">
        <v>99.9665271966527</v>
      </c>
    </row>
    <row r="16" s="4" customFormat="1" ht="15" customHeight="1" spans="1:26">
      <c r="A16" s="35" t="s">
        <v>26</v>
      </c>
      <c r="B16" s="43" t="s">
        <v>21</v>
      </c>
      <c r="C16" s="44">
        <v>687</v>
      </c>
      <c r="D16" s="34">
        <v>58.5178875638842</v>
      </c>
      <c r="E16" s="44">
        <v>5</v>
      </c>
      <c r="F16" s="72">
        <v>0.425894378194208</v>
      </c>
      <c r="G16" s="73">
        <v>36</v>
      </c>
      <c r="H16" s="72">
        <v>3.0664395229983</v>
      </c>
      <c r="I16" s="73">
        <v>430</v>
      </c>
      <c r="J16" s="72">
        <v>36.6269165247019</v>
      </c>
      <c r="K16" s="73">
        <v>91</v>
      </c>
      <c r="L16" s="72">
        <v>7.75127768313458</v>
      </c>
      <c r="M16" s="73">
        <v>104</v>
      </c>
      <c r="N16" s="72">
        <v>8.85860306643952</v>
      </c>
      <c r="O16" s="73">
        <v>4</v>
      </c>
      <c r="P16" s="72">
        <v>0.340715502555366</v>
      </c>
      <c r="Q16" s="91">
        <v>17</v>
      </c>
      <c r="R16" s="92">
        <v>1.44804088586031</v>
      </c>
      <c r="S16" s="44">
        <v>95</v>
      </c>
      <c r="T16" s="92">
        <v>8.09199318568995</v>
      </c>
      <c r="U16" s="44">
        <v>13</v>
      </c>
      <c r="V16" s="92">
        <v>1.10732538330494</v>
      </c>
      <c r="W16" s="44">
        <v>270</v>
      </c>
      <c r="X16" s="34">
        <v>22.9982964224872</v>
      </c>
      <c r="Y16" s="113">
        <v>5977</v>
      </c>
      <c r="Z16" s="114">
        <v>99.9665383971892</v>
      </c>
    </row>
    <row r="17" s="4" customFormat="1" ht="15" customHeight="1" spans="1:26">
      <c r="A17" s="35"/>
      <c r="B17" s="36" t="s">
        <v>22</v>
      </c>
      <c r="C17" s="37">
        <v>487</v>
      </c>
      <c r="D17" s="38">
        <v>41.4821124361158</v>
      </c>
      <c r="E17" s="128" t="s">
        <v>27</v>
      </c>
      <c r="F17" s="74">
        <v>0.170357751277683</v>
      </c>
      <c r="G17" s="75">
        <v>23</v>
      </c>
      <c r="H17" s="74">
        <v>1.95911413969336</v>
      </c>
      <c r="I17" s="75">
        <v>321</v>
      </c>
      <c r="J17" s="74">
        <v>27.3424190800681</v>
      </c>
      <c r="K17" s="75">
        <v>60</v>
      </c>
      <c r="L17" s="74">
        <v>5.11073253833049</v>
      </c>
      <c r="M17" s="75">
        <v>68</v>
      </c>
      <c r="N17" s="74">
        <v>5.79216354344123</v>
      </c>
      <c r="O17" s="75">
        <v>5</v>
      </c>
      <c r="P17" s="74">
        <v>0.425894378194208</v>
      </c>
      <c r="Q17" s="93">
        <v>8</v>
      </c>
      <c r="R17" s="94">
        <v>0.681431005110733</v>
      </c>
      <c r="S17" s="37">
        <v>56</v>
      </c>
      <c r="T17" s="94">
        <v>4.77001703577513</v>
      </c>
      <c r="U17" s="37">
        <v>5</v>
      </c>
      <c r="V17" s="94">
        <v>0.425894378194208</v>
      </c>
      <c r="W17" s="37">
        <v>195</v>
      </c>
      <c r="X17" s="38">
        <v>16.6098807495741</v>
      </c>
      <c r="Y17" s="115">
        <v>5977</v>
      </c>
      <c r="Z17" s="116">
        <v>99.9665383971892</v>
      </c>
    </row>
    <row r="18" s="4" customFormat="1" ht="15" customHeight="1" spans="1:26">
      <c r="A18" s="39"/>
      <c r="B18" s="40" t="s">
        <v>23</v>
      </c>
      <c r="C18" s="41">
        <v>1174</v>
      </c>
      <c r="D18" s="42">
        <v>100</v>
      </c>
      <c r="E18" s="41">
        <v>7</v>
      </c>
      <c r="F18" s="76">
        <v>0.596252129471891</v>
      </c>
      <c r="G18" s="77">
        <v>59</v>
      </c>
      <c r="H18" s="76">
        <v>5.02555366269165</v>
      </c>
      <c r="I18" s="77">
        <v>751</v>
      </c>
      <c r="J18" s="76">
        <v>63.96933560477</v>
      </c>
      <c r="K18" s="77">
        <v>151</v>
      </c>
      <c r="L18" s="76">
        <v>12.8620102214651</v>
      </c>
      <c r="M18" s="77">
        <v>172</v>
      </c>
      <c r="N18" s="76">
        <v>14.6507666098807</v>
      </c>
      <c r="O18" s="77">
        <v>9</v>
      </c>
      <c r="P18" s="76">
        <v>0.766609880749574</v>
      </c>
      <c r="Q18" s="95">
        <v>25</v>
      </c>
      <c r="R18" s="96">
        <v>2.12947189097104</v>
      </c>
      <c r="S18" s="41">
        <v>151</v>
      </c>
      <c r="T18" s="96">
        <v>12.8620102214651</v>
      </c>
      <c r="U18" s="41">
        <v>18</v>
      </c>
      <c r="V18" s="96">
        <v>1.53321976149915</v>
      </c>
      <c r="W18" s="41">
        <v>465</v>
      </c>
      <c r="X18" s="42">
        <v>39.6081771720613</v>
      </c>
      <c r="Y18" s="117">
        <v>5977</v>
      </c>
      <c r="Z18" s="118">
        <v>99.9665383971892</v>
      </c>
    </row>
    <row r="19" s="4" customFormat="1" ht="15" customHeight="1" spans="1:26">
      <c r="A19" s="45" t="s">
        <v>28</v>
      </c>
      <c r="B19" s="46" t="s">
        <v>21</v>
      </c>
      <c r="C19" s="47">
        <v>5749</v>
      </c>
      <c r="D19" s="48">
        <v>57.9361080318452</v>
      </c>
      <c r="E19" s="47">
        <v>52</v>
      </c>
      <c r="F19" s="78">
        <v>0.524035070039303</v>
      </c>
      <c r="G19" s="79">
        <v>236</v>
      </c>
      <c r="H19" s="78">
        <v>2.37831301017837</v>
      </c>
      <c r="I19" s="79">
        <v>3903</v>
      </c>
      <c r="J19" s="78">
        <v>39.33286304545</v>
      </c>
      <c r="K19" s="79">
        <v>458</v>
      </c>
      <c r="L19" s="78">
        <v>4.61553965534617</v>
      </c>
      <c r="M19" s="79">
        <v>937</v>
      </c>
      <c r="N19" s="78">
        <v>9.4427088582082</v>
      </c>
      <c r="O19" s="79">
        <v>27</v>
      </c>
      <c r="P19" s="78">
        <v>0.272095132520407</v>
      </c>
      <c r="Q19" s="97">
        <v>136</v>
      </c>
      <c r="R19" s="98">
        <v>1.37055326010279</v>
      </c>
      <c r="S19" s="47">
        <v>714</v>
      </c>
      <c r="T19" s="98">
        <v>7.19540461553966</v>
      </c>
      <c r="U19" s="47">
        <v>76</v>
      </c>
      <c r="V19" s="98">
        <v>0.765897410057442</v>
      </c>
      <c r="W19" s="47">
        <v>2588</v>
      </c>
      <c r="X19" s="48">
        <v>26.0808223319561</v>
      </c>
      <c r="Y19" s="119">
        <v>5977</v>
      </c>
      <c r="Z19" s="120">
        <v>99.9665383971892</v>
      </c>
    </row>
    <row r="20" s="4" customFormat="1" ht="15" customHeight="1" spans="1:26">
      <c r="A20" s="45"/>
      <c r="B20" s="49" t="s">
        <v>22</v>
      </c>
      <c r="C20" s="50">
        <v>4174</v>
      </c>
      <c r="D20" s="51">
        <v>42.0638919681548</v>
      </c>
      <c r="E20" s="50">
        <v>43</v>
      </c>
      <c r="F20" s="80">
        <v>0.4333366925325</v>
      </c>
      <c r="G20" s="81">
        <v>124</v>
      </c>
      <c r="H20" s="80">
        <v>1.24962209009372</v>
      </c>
      <c r="I20" s="81">
        <v>2902</v>
      </c>
      <c r="J20" s="80">
        <v>29.2451879471934</v>
      </c>
      <c r="K20" s="81">
        <v>313</v>
      </c>
      <c r="L20" s="80">
        <v>3.15428801773657</v>
      </c>
      <c r="M20" s="81">
        <v>665</v>
      </c>
      <c r="N20" s="80">
        <v>6.70160233800262</v>
      </c>
      <c r="O20" s="81">
        <v>20</v>
      </c>
      <c r="P20" s="80">
        <v>0.201551950015116</v>
      </c>
      <c r="Q20" s="99">
        <v>107</v>
      </c>
      <c r="R20" s="100">
        <v>1.07830293258087</v>
      </c>
      <c r="S20" s="50">
        <v>306</v>
      </c>
      <c r="T20" s="100">
        <v>3.08374483523128</v>
      </c>
      <c r="U20" s="50">
        <v>41</v>
      </c>
      <c r="V20" s="100">
        <v>0.413181497530989</v>
      </c>
      <c r="W20" s="50">
        <v>1951</v>
      </c>
      <c r="X20" s="51">
        <v>19.6613927239746</v>
      </c>
      <c r="Y20" s="121">
        <v>5977</v>
      </c>
      <c r="Z20" s="122">
        <v>99.9665383971892</v>
      </c>
    </row>
    <row r="21" s="4" customFormat="1" ht="15" customHeight="1" spans="1:26">
      <c r="A21" s="52"/>
      <c r="B21" s="53" t="s">
        <v>23</v>
      </c>
      <c r="C21" s="54">
        <v>9923</v>
      </c>
      <c r="D21" s="55">
        <v>100</v>
      </c>
      <c r="E21" s="54">
        <v>95</v>
      </c>
      <c r="F21" s="82">
        <v>0.957371762571803</v>
      </c>
      <c r="G21" s="83">
        <v>360</v>
      </c>
      <c r="H21" s="82">
        <v>3.6279351002721</v>
      </c>
      <c r="I21" s="83">
        <v>6805</v>
      </c>
      <c r="J21" s="82">
        <v>68.5780509926434</v>
      </c>
      <c r="K21" s="83">
        <v>771</v>
      </c>
      <c r="L21" s="82">
        <v>7.76982767308274</v>
      </c>
      <c r="M21" s="83">
        <v>1602</v>
      </c>
      <c r="N21" s="82">
        <v>16.1443111962108</v>
      </c>
      <c r="O21" s="83">
        <v>47</v>
      </c>
      <c r="P21" s="82">
        <v>0.473647082535524</v>
      </c>
      <c r="Q21" s="101">
        <v>243</v>
      </c>
      <c r="R21" s="102">
        <v>2.44885619268366</v>
      </c>
      <c r="S21" s="54">
        <v>1020</v>
      </c>
      <c r="T21" s="102">
        <v>10.2791494507709</v>
      </c>
      <c r="U21" s="54">
        <v>117</v>
      </c>
      <c r="V21" s="102">
        <v>1.17907890758843</v>
      </c>
      <c r="W21" s="54">
        <v>4539</v>
      </c>
      <c r="X21" s="55">
        <v>45.7422150559307</v>
      </c>
      <c r="Y21" s="123">
        <v>5977</v>
      </c>
      <c r="Z21" s="124">
        <v>99.9665383971892</v>
      </c>
    </row>
    <row r="22" s="4" customFormat="1" ht="15" customHeight="1" spans="1:26">
      <c r="A22" s="45" t="s">
        <v>29</v>
      </c>
      <c r="B22" s="46" t="s">
        <v>21</v>
      </c>
      <c r="C22" s="47">
        <v>436</v>
      </c>
      <c r="D22" s="48">
        <v>61.2359550561798</v>
      </c>
      <c r="E22" s="129" t="s">
        <v>27</v>
      </c>
      <c r="F22" s="78">
        <v>0.280898876404494</v>
      </c>
      <c r="G22" s="79">
        <v>28</v>
      </c>
      <c r="H22" s="78">
        <v>3.93258426966292</v>
      </c>
      <c r="I22" s="79">
        <v>256</v>
      </c>
      <c r="J22" s="78">
        <v>35.9550561797753</v>
      </c>
      <c r="K22" s="79">
        <v>52</v>
      </c>
      <c r="L22" s="78">
        <v>7.30337078651685</v>
      </c>
      <c r="M22" s="79">
        <v>85</v>
      </c>
      <c r="N22" s="78">
        <v>11.938202247191</v>
      </c>
      <c r="O22" s="130" t="s">
        <v>27</v>
      </c>
      <c r="P22" s="78">
        <v>0.280898876404494</v>
      </c>
      <c r="Q22" s="97">
        <v>11</v>
      </c>
      <c r="R22" s="98">
        <v>1.54494382022472</v>
      </c>
      <c r="S22" s="47">
        <v>75</v>
      </c>
      <c r="T22" s="98">
        <v>10.5337078651685</v>
      </c>
      <c r="U22" s="47">
        <v>4</v>
      </c>
      <c r="V22" s="98">
        <v>0.561797752808989</v>
      </c>
      <c r="W22" s="47">
        <v>143</v>
      </c>
      <c r="X22" s="48">
        <v>20.0842696629213</v>
      </c>
      <c r="Y22" s="119">
        <v>6001</v>
      </c>
      <c r="Z22" s="120">
        <v>99.9666722212964</v>
      </c>
    </row>
    <row r="23" s="4" customFormat="1" ht="15" customHeight="1" spans="1:26">
      <c r="A23" s="45"/>
      <c r="B23" s="49" t="s">
        <v>22</v>
      </c>
      <c r="C23" s="50">
        <v>276</v>
      </c>
      <c r="D23" s="51">
        <v>38.7640449438202</v>
      </c>
      <c r="E23" s="131" t="s">
        <v>27</v>
      </c>
      <c r="F23" s="80">
        <v>0.280898876404494</v>
      </c>
      <c r="G23" s="81">
        <v>16</v>
      </c>
      <c r="H23" s="80">
        <v>2.24719101123596</v>
      </c>
      <c r="I23" s="81">
        <v>173</v>
      </c>
      <c r="J23" s="80">
        <v>24.2977528089888</v>
      </c>
      <c r="K23" s="81">
        <v>32</v>
      </c>
      <c r="L23" s="80">
        <v>4.49438202247191</v>
      </c>
      <c r="M23" s="81">
        <v>43</v>
      </c>
      <c r="N23" s="80">
        <v>6.03932584269663</v>
      </c>
      <c r="O23" s="132" t="s">
        <v>27</v>
      </c>
      <c r="P23" s="80">
        <v>0.280898876404494</v>
      </c>
      <c r="Q23" s="99">
        <v>8</v>
      </c>
      <c r="R23" s="100">
        <v>1.12359550561798</v>
      </c>
      <c r="S23" s="50">
        <v>37</v>
      </c>
      <c r="T23" s="100">
        <v>5.19662921348315</v>
      </c>
      <c r="U23" s="50">
        <v>11</v>
      </c>
      <c r="V23" s="100">
        <v>1.54494382022472</v>
      </c>
      <c r="W23" s="50">
        <v>92</v>
      </c>
      <c r="X23" s="51">
        <v>12.9213483146067</v>
      </c>
      <c r="Y23" s="121">
        <v>6001</v>
      </c>
      <c r="Z23" s="122">
        <v>99.9666722212964</v>
      </c>
    </row>
    <row r="24" s="4" customFormat="1" ht="15" customHeight="1" spans="1:26">
      <c r="A24" s="52"/>
      <c r="B24" s="53" t="s">
        <v>23</v>
      </c>
      <c r="C24" s="54">
        <v>712</v>
      </c>
      <c r="D24" s="55">
        <v>100</v>
      </c>
      <c r="E24" s="54">
        <v>4</v>
      </c>
      <c r="F24" s="82">
        <v>0.561797752808989</v>
      </c>
      <c r="G24" s="83">
        <v>44</v>
      </c>
      <c r="H24" s="82">
        <v>6.17977528089888</v>
      </c>
      <c r="I24" s="83">
        <v>429</v>
      </c>
      <c r="J24" s="82">
        <v>60.252808988764</v>
      </c>
      <c r="K24" s="83">
        <v>84</v>
      </c>
      <c r="L24" s="82">
        <v>11.7977528089888</v>
      </c>
      <c r="M24" s="83">
        <v>128</v>
      </c>
      <c r="N24" s="82">
        <v>17.9775280898876</v>
      </c>
      <c r="O24" s="83">
        <v>4</v>
      </c>
      <c r="P24" s="82">
        <v>0.561797752808989</v>
      </c>
      <c r="Q24" s="101">
        <v>19</v>
      </c>
      <c r="R24" s="102">
        <v>2.6685393258427</v>
      </c>
      <c r="S24" s="54">
        <v>112</v>
      </c>
      <c r="T24" s="102">
        <v>15.7303370786517</v>
      </c>
      <c r="U24" s="54">
        <v>15</v>
      </c>
      <c r="V24" s="102">
        <v>2.10674157303371</v>
      </c>
      <c r="W24" s="54">
        <v>235</v>
      </c>
      <c r="X24" s="55">
        <v>33.0056179775281</v>
      </c>
      <c r="Y24" s="123">
        <v>6001</v>
      </c>
      <c r="Z24" s="124">
        <v>99.9666722212964</v>
      </c>
    </row>
    <row r="25" s="4" customFormat="1" ht="15" customHeight="1" spans="1:26">
      <c r="A25" s="35" t="s">
        <v>30</v>
      </c>
      <c r="B25" s="43" t="s">
        <v>21</v>
      </c>
      <c r="C25" s="44">
        <v>513</v>
      </c>
      <c r="D25" s="34">
        <v>70.0819672131148</v>
      </c>
      <c r="E25" s="44">
        <v>4</v>
      </c>
      <c r="F25" s="72">
        <v>0.546448087431694</v>
      </c>
      <c r="G25" s="73">
        <v>28</v>
      </c>
      <c r="H25" s="72">
        <v>3.82513661202186</v>
      </c>
      <c r="I25" s="73">
        <v>291</v>
      </c>
      <c r="J25" s="72">
        <v>39.7540983606557</v>
      </c>
      <c r="K25" s="73">
        <v>108</v>
      </c>
      <c r="L25" s="72">
        <v>14.7540983606557</v>
      </c>
      <c r="M25" s="73">
        <v>67</v>
      </c>
      <c r="N25" s="72">
        <v>9.15300546448087</v>
      </c>
      <c r="O25" s="133" t="s">
        <v>27</v>
      </c>
      <c r="P25" s="72">
        <v>0.273224043715847</v>
      </c>
      <c r="Q25" s="91">
        <v>13</v>
      </c>
      <c r="R25" s="92">
        <v>1.77595628415301</v>
      </c>
      <c r="S25" s="44">
        <v>104</v>
      </c>
      <c r="T25" s="92">
        <v>14.207650273224</v>
      </c>
      <c r="U25" s="44">
        <v>5</v>
      </c>
      <c r="V25" s="92">
        <v>0.683060109289617</v>
      </c>
      <c r="W25" s="44">
        <v>181</v>
      </c>
      <c r="X25" s="34">
        <v>24.7267759562842</v>
      </c>
      <c r="Y25" s="113">
        <v>4536</v>
      </c>
      <c r="Z25" s="114">
        <v>99.9338624338624</v>
      </c>
    </row>
    <row r="26" s="4" customFormat="1" ht="15" customHeight="1" spans="1:26">
      <c r="A26" s="35"/>
      <c r="B26" s="36" t="s">
        <v>22</v>
      </c>
      <c r="C26" s="37">
        <v>219</v>
      </c>
      <c r="D26" s="38">
        <v>29.9180327868852</v>
      </c>
      <c r="E26" s="128" t="s">
        <v>27</v>
      </c>
      <c r="F26" s="74">
        <v>0.273224043715847</v>
      </c>
      <c r="G26" s="75">
        <v>9</v>
      </c>
      <c r="H26" s="74">
        <v>1.22950819672131</v>
      </c>
      <c r="I26" s="75">
        <v>120</v>
      </c>
      <c r="J26" s="74">
        <v>16.3934426229508</v>
      </c>
      <c r="K26" s="75">
        <v>47</v>
      </c>
      <c r="L26" s="74">
        <v>6.4207650273224</v>
      </c>
      <c r="M26" s="75">
        <v>30</v>
      </c>
      <c r="N26" s="74">
        <v>4.0983606557377</v>
      </c>
      <c r="O26" s="134" t="s">
        <v>27</v>
      </c>
      <c r="P26" s="74">
        <v>0.273224043715847</v>
      </c>
      <c r="Q26" s="93">
        <v>9</v>
      </c>
      <c r="R26" s="94">
        <v>1.22950819672131</v>
      </c>
      <c r="S26" s="37">
        <v>36</v>
      </c>
      <c r="T26" s="94">
        <v>4.91803278688525</v>
      </c>
      <c r="U26" s="128" t="s">
        <v>27</v>
      </c>
      <c r="V26" s="94">
        <v>0.273224043715847</v>
      </c>
      <c r="W26" s="37">
        <v>76</v>
      </c>
      <c r="X26" s="38">
        <v>10.3825136612022</v>
      </c>
      <c r="Y26" s="115">
        <v>4536</v>
      </c>
      <c r="Z26" s="116">
        <v>99.9338624338624</v>
      </c>
    </row>
    <row r="27" s="4" customFormat="1" ht="15" customHeight="1" spans="1:26">
      <c r="A27" s="39"/>
      <c r="B27" s="40" t="s">
        <v>23</v>
      </c>
      <c r="C27" s="41">
        <v>732</v>
      </c>
      <c r="D27" s="42">
        <v>100</v>
      </c>
      <c r="E27" s="41">
        <v>6</v>
      </c>
      <c r="F27" s="76">
        <v>0.819672131147541</v>
      </c>
      <c r="G27" s="77">
        <v>37</v>
      </c>
      <c r="H27" s="76">
        <v>5.05464480874317</v>
      </c>
      <c r="I27" s="77">
        <v>411</v>
      </c>
      <c r="J27" s="76">
        <v>56.1475409836066</v>
      </c>
      <c r="K27" s="77">
        <v>155</v>
      </c>
      <c r="L27" s="76">
        <v>21.1748633879781</v>
      </c>
      <c r="M27" s="77">
        <v>97</v>
      </c>
      <c r="N27" s="76">
        <v>13.2513661202186</v>
      </c>
      <c r="O27" s="77">
        <v>4</v>
      </c>
      <c r="P27" s="76">
        <v>0.546448087431694</v>
      </c>
      <c r="Q27" s="95">
        <v>22</v>
      </c>
      <c r="R27" s="96">
        <v>3.00546448087432</v>
      </c>
      <c r="S27" s="41">
        <v>140</v>
      </c>
      <c r="T27" s="96">
        <v>19.1256830601093</v>
      </c>
      <c r="U27" s="41">
        <v>7</v>
      </c>
      <c r="V27" s="96">
        <v>0.956284153005464</v>
      </c>
      <c r="W27" s="41">
        <v>257</v>
      </c>
      <c r="X27" s="42">
        <v>35.1092896174863</v>
      </c>
      <c r="Y27" s="117">
        <v>4536</v>
      </c>
      <c r="Z27" s="118">
        <v>99.9338624338624</v>
      </c>
    </row>
    <row r="28" s="4" customFormat="1" ht="15" customHeight="1" spans="1:26">
      <c r="A28" s="45" t="s">
        <v>31</v>
      </c>
      <c r="B28" s="46" t="s">
        <v>21</v>
      </c>
      <c r="C28" s="47">
        <v>667</v>
      </c>
      <c r="D28" s="48">
        <v>61.645101663586</v>
      </c>
      <c r="E28" s="47">
        <v>5</v>
      </c>
      <c r="F28" s="78">
        <v>0.462107208872458</v>
      </c>
      <c r="G28" s="79">
        <v>17</v>
      </c>
      <c r="H28" s="78">
        <v>1.57116451016636</v>
      </c>
      <c r="I28" s="79">
        <v>446</v>
      </c>
      <c r="J28" s="78">
        <v>41.2199630314233</v>
      </c>
      <c r="K28" s="79">
        <v>118</v>
      </c>
      <c r="L28" s="78">
        <v>10.90573012939</v>
      </c>
      <c r="M28" s="79">
        <v>65</v>
      </c>
      <c r="N28" s="78">
        <v>6.00739371534196</v>
      </c>
      <c r="O28" s="79">
        <v>4</v>
      </c>
      <c r="P28" s="78">
        <v>0.369685767097967</v>
      </c>
      <c r="Q28" s="97">
        <v>12</v>
      </c>
      <c r="R28" s="98">
        <v>1.1090573012939</v>
      </c>
      <c r="S28" s="47">
        <v>81</v>
      </c>
      <c r="T28" s="98">
        <v>7.48613678373383</v>
      </c>
      <c r="U28" s="47">
        <v>10</v>
      </c>
      <c r="V28" s="98">
        <v>0.924214417744917</v>
      </c>
      <c r="W28" s="47">
        <v>217</v>
      </c>
      <c r="X28" s="48">
        <v>20.0554528650647</v>
      </c>
      <c r="Y28" s="119">
        <v>2991</v>
      </c>
      <c r="Z28" s="120">
        <v>99.966566365764</v>
      </c>
    </row>
    <row r="29" s="4" customFormat="1" ht="15" customHeight="1" spans="1:26">
      <c r="A29" s="45"/>
      <c r="B29" s="49" t="s">
        <v>22</v>
      </c>
      <c r="C29" s="50">
        <v>415</v>
      </c>
      <c r="D29" s="51">
        <v>38.354898336414</v>
      </c>
      <c r="E29" s="131" t="s">
        <v>27</v>
      </c>
      <c r="F29" s="80">
        <v>0.184842883548983</v>
      </c>
      <c r="G29" s="81">
        <v>14</v>
      </c>
      <c r="H29" s="80">
        <v>1.29390018484288</v>
      </c>
      <c r="I29" s="81">
        <v>257</v>
      </c>
      <c r="J29" s="80">
        <v>23.7523105360444</v>
      </c>
      <c r="K29" s="81">
        <v>91</v>
      </c>
      <c r="L29" s="80">
        <v>8.41035120147874</v>
      </c>
      <c r="M29" s="81">
        <v>45</v>
      </c>
      <c r="N29" s="80">
        <v>4.15896487985213</v>
      </c>
      <c r="O29" s="81">
        <v>4</v>
      </c>
      <c r="P29" s="80">
        <v>0.369685767097967</v>
      </c>
      <c r="Q29" s="135" t="s">
        <v>27</v>
      </c>
      <c r="R29" s="100">
        <v>0.184842883548983</v>
      </c>
      <c r="S29" s="50">
        <v>38</v>
      </c>
      <c r="T29" s="100">
        <v>3.51201478743068</v>
      </c>
      <c r="U29" s="131" t="s">
        <v>27</v>
      </c>
      <c r="V29" s="100">
        <v>0.184842883548983</v>
      </c>
      <c r="W29" s="50">
        <v>112</v>
      </c>
      <c r="X29" s="51">
        <v>10.3512014787431</v>
      </c>
      <c r="Y29" s="121">
        <v>2991</v>
      </c>
      <c r="Z29" s="122">
        <v>99.966566365764</v>
      </c>
    </row>
    <row r="30" s="4" customFormat="1" ht="15" customHeight="1" spans="1:26">
      <c r="A30" s="52"/>
      <c r="B30" s="53" t="s">
        <v>23</v>
      </c>
      <c r="C30" s="54">
        <v>1082</v>
      </c>
      <c r="D30" s="55">
        <v>100</v>
      </c>
      <c r="E30" s="54">
        <v>7</v>
      </c>
      <c r="F30" s="82">
        <v>0.646950092421442</v>
      </c>
      <c r="G30" s="83">
        <v>31</v>
      </c>
      <c r="H30" s="82">
        <v>2.86506469500924</v>
      </c>
      <c r="I30" s="83">
        <v>703</v>
      </c>
      <c r="J30" s="82">
        <v>64.9722735674677</v>
      </c>
      <c r="K30" s="83">
        <v>209</v>
      </c>
      <c r="L30" s="82">
        <v>19.3160813308688</v>
      </c>
      <c r="M30" s="83">
        <v>110</v>
      </c>
      <c r="N30" s="82">
        <v>10.1663585951941</v>
      </c>
      <c r="O30" s="83">
        <v>8</v>
      </c>
      <c r="P30" s="82">
        <v>0.739371534195933</v>
      </c>
      <c r="Q30" s="101">
        <v>14</v>
      </c>
      <c r="R30" s="102">
        <v>1.29390018484288</v>
      </c>
      <c r="S30" s="54">
        <v>119</v>
      </c>
      <c r="T30" s="102">
        <v>10.9981515711645</v>
      </c>
      <c r="U30" s="54">
        <v>12</v>
      </c>
      <c r="V30" s="102">
        <v>1.1090573012939</v>
      </c>
      <c r="W30" s="54">
        <v>329</v>
      </c>
      <c r="X30" s="55">
        <v>30.4066543438078</v>
      </c>
      <c r="Y30" s="123">
        <v>2991</v>
      </c>
      <c r="Z30" s="124">
        <v>99.966566365764</v>
      </c>
    </row>
    <row r="31" s="4" customFormat="1" ht="15" customHeight="1" spans="1:26">
      <c r="A31" s="35" t="s">
        <v>32</v>
      </c>
      <c r="B31" s="43" t="s">
        <v>21</v>
      </c>
      <c r="C31" s="44">
        <v>487</v>
      </c>
      <c r="D31" s="34">
        <v>64.332892998679</v>
      </c>
      <c r="E31" s="44">
        <v>9</v>
      </c>
      <c r="F31" s="72">
        <v>1.1889035667107</v>
      </c>
      <c r="G31" s="73">
        <v>24</v>
      </c>
      <c r="H31" s="72">
        <v>3.17040951122853</v>
      </c>
      <c r="I31" s="73">
        <v>268</v>
      </c>
      <c r="J31" s="72">
        <v>35.4029062087186</v>
      </c>
      <c r="K31" s="73">
        <v>60</v>
      </c>
      <c r="L31" s="72">
        <v>7.92602377807133</v>
      </c>
      <c r="M31" s="73">
        <v>112</v>
      </c>
      <c r="N31" s="72">
        <v>14.7952443857332</v>
      </c>
      <c r="O31" s="73">
        <v>5</v>
      </c>
      <c r="P31" s="72">
        <v>0.660501981505945</v>
      </c>
      <c r="Q31" s="91">
        <v>9</v>
      </c>
      <c r="R31" s="92">
        <v>1.1889035667107</v>
      </c>
      <c r="S31" s="44">
        <v>81</v>
      </c>
      <c r="T31" s="92">
        <v>10.7001321003963</v>
      </c>
      <c r="U31" s="44">
        <v>9</v>
      </c>
      <c r="V31" s="92">
        <v>1.1889035667107</v>
      </c>
      <c r="W31" s="44">
        <v>115</v>
      </c>
      <c r="X31" s="34">
        <v>15.1915455746367</v>
      </c>
      <c r="Y31" s="113">
        <v>2966</v>
      </c>
      <c r="Z31" s="114">
        <v>99.9662845583277</v>
      </c>
    </row>
    <row r="32" s="4" customFormat="1" ht="15" customHeight="1" spans="1:26">
      <c r="A32" s="35"/>
      <c r="B32" s="36" t="s">
        <v>22</v>
      </c>
      <c r="C32" s="37">
        <v>270</v>
      </c>
      <c r="D32" s="38">
        <v>35.667107001321</v>
      </c>
      <c r="E32" s="37">
        <v>5</v>
      </c>
      <c r="F32" s="74">
        <v>0.660501981505945</v>
      </c>
      <c r="G32" s="75">
        <v>18</v>
      </c>
      <c r="H32" s="74">
        <v>2.3778071334214</v>
      </c>
      <c r="I32" s="75">
        <v>132</v>
      </c>
      <c r="J32" s="74">
        <v>17.4372523117569</v>
      </c>
      <c r="K32" s="75">
        <v>34</v>
      </c>
      <c r="L32" s="74">
        <v>4.49141347424042</v>
      </c>
      <c r="M32" s="75">
        <v>70</v>
      </c>
      <c r="N32" s="74">
        <v>9.24702774108322</v>
      </c>
      <c r="O32" s="75">
        <v>4</v>
      </c>
      <c r="P32" s="74">
        <v>0.528401585204756</v>
      </c>
      <c r="Q32" s="93">
        <v>7</v>
      </c>
      <c r="R32" s="94">
        <v>0.924702774108322</v>
      </c>
      <c r="S32" s="37">
        <v>36</v>
      </c>
      <c r="T32" s="94">
        <v>4.7556142668428</v>
      </c>
      <c r="U32" s="128" t="s">
        <v>27</v>
      </c>
      <c r="V32" s="94">
        <v>0.264200792602378</v>
      </c>
      <c r="W32" s="37">
        <v>47</v>
      </c>
      <c r="X32" s="38">
        <v>6.20871862615588</v>
      </c>
      <c r="Y32" s="115">
        <v>2966</v>
      </c>
      <c r="Z32" s="116">
        <v>99.9662845583277</v>
      </c>
    </row>
    <row r="33" s="4" customFormat="1" ht="15" customHeight="1" spans="1:26">
      <c r="A33" s="39"/>
      <c r="B33" s="40" t="s">
        <v>23</v>
      </c>
      <c r="C33" s="41">
        <v>757</v>
      </c>
      <c r="D33" s="42">
        <v>100</v>
      </c>
      <c r="E33" s="41">
        <v>14</v>
      </c>
      <c r="F33" s="76">
        <v>1.84940554821664</v>
      </c>
      <c r="G33" s="77">
        <v>42</v>
      </c>
      <c r="H33" s="76">
        <v>5.54821664464993</v>
      </c>
      <c r="I33" s="77">
        <v>400</v>
      </c>
      <c r="J33" s="76">
        <v>52.8401585204756</v>
      </c>
      <c r="K33" s="77">
        <v>94</v>
      </c>
      <c r="L33" s="76">
        <v>12.4174372523118</v>
      </c>
      <c r="M33" s="77">
        <v>182</v>
      </c>
      <c r="N33" s="76">
        <v>24.0422721268164</v>
      </c>
      <c r="O33" s="77">
        <v>9</v>
      </c>
      <c r="P33" s="76">
        <v>1.1889035667107</v>
      </c>
      <c r="Q33" s="95">
        <v>16</v>
      </c>
      <c r="R33" s="96">
        <v>2.11360634081902</v>
      </c>
      <c r="S33" s="41">
        <v>117</v>
      </c>
      <c r="T33" s="96">
        <v>15.4557463672391</v>
      </c>
      <c r="U33" s="41">
        <v>11</v>
      </c>
      <c r="V33" s="96">
        <v>1.45310435931308</v>
      </c>
      <c r="W33" s="41">
        <v>162</v>
      </c>
      <c r="X33" s="42">
        <v>21.4002642007926</v>
      </c>
      <c r="Y33" s="117">
        <v>2966</v>
      </c>
      <c r="Z33" s="118">
        <v>99.9662845583277</v>
      </c>
    </row>
    <row r="34" s="4" customFormat="1" ht="15" customHeight="1" spans="1:26">
      <c r="A34" s="45" t="s">
        <v>33</v>
      </c>
      <c r="B34" s="46" t="s">
        <v>21</v>
      </c>
      <c r="C34" s="47">
        <v>12313</v>
      </c>
      <c r="D34" s="48">
        <v>59.3712329427648</v>
      </c>
      <c r="E34" s="47">
        <v>92</v>
      </c>
      <c r="F34" s="78">
        <v>0.443608660012537</v>
      </c>
      <c r="G34" s="79">
        <v>343</v>
      </c>
      <c r="H34" s="78">
        <v>1.653888808525</v>
      </c>
      <c r="I34" s="79">
        <v>9382</v>
      </c>
      <c r="J34" s="78">
        <v>45.2384396547567</v>
      </c>
      <c r="K34" s="79">
        <v>995</v>
      </c>
      <c r="L34" s="78">
        <v>4.79772409470081</v>
      </c>
      <c r="M34" s="79">
        <v>1268</v>
      </c>
      <c r="N34" s="78">
        <v>6.1140845749554</v>
      </c>
      <c r="O34" s="79">
        <v>62</v>
      </c>
      <c r="P34" s="78">
        <v>0.298953662182362</v>
      </c>
      <c r="Q34" s="97">
        <v>171</v>
      </c>
      <c r="R34" s="98">
        <v>0.824533487631998</v>
      </c>
      <c r="S34" s="47">
        <v>1995</v>
      </c>
      <c r="T34" s="98">
        <v>9.61955735570664</v>
      </c>
      <c r="U34" s="47">
        <v>120</v>
      </c>
      <c r="V34" s="98">
        <v>0.5786199913207</v>
      </c>
      <c r="W34" s="47">
        <v>7001</v>
      </c>
      <c r="X34" s="48">
        <v>33.7576546603018</v>
      </c>
      <c r="Y34" s="119">
        <v>2424</v>
      </c>
      <c r="Z34" s="120">
        <v>99.7524752475248</v>
      </c>
    </row>
    <row r="35" s="4" customFormat="1" ht="15" customHeight="1" spans="1:26">
      <c r="A35" s="45"/>
      <c r="B35" s="49" t="s">
        <v>22</v>
      </c>
      <c r="C35" s="50">
        <v>8426</v>
      </c>
      <c r="D35" s="51">
        <v>40.6287670572352</v>
      </c>
      <c r="E35" s="50">
        <v>43</v>
      </c>
      <c r="F35" s="80">
        <v>0.207338830223251</v>
      </c>
      <c r="G35" s="81">
        <v>162</v>
      </c>
      <c r="H35" s="80">
        <v>0.781136988282945</v>
      </c>
      <c r="I35" s="81">
        <v>6617</v>
      </c>
      <c r="J35" s="80">
        <v>31.9060706880756</v>
      </c>
      <c r="K35" s="81">
        <v>638</v>
      </c>
      <c r="L35" s="80">
        <v>3.07632962052172</v>
      </c>
      <c r="M35" s="81">
        <v>788</v>
      </c>
      <c r="N35" s="80">
        <v>3.7996046096726</v>
      </c>
      <c r="O35" s="81">
        <v>42</v>
      </c>
      <c r="P35" s="80">
        <v>0.202516996962245</v>
      </c>
      <c r="Q35" s="99">
        <v>136</v>
      </c>
      <c r="R35" s="100">
        <v>0.655769323496794</v>
      </c>
      <c r="S35" s="50">
        <v>784</v>
      </c>
      <c r="T35" s="100">
        <v>3.78031727662857</v>
      </c>
      <c r="U35" s="50">
        <v>48</v>
      </c>
      <c r="V35" s="100">
        <v>0.23144799652828</v>
      </c>
      <c r="W35" s="50">
        <v>4447</v>
      </c>
      <c r="X35" s="51">
        <v>21.4426925116929</v>
      </c>
      <c r="Y35" s="121">
        <v>2424</v>
      </c>
      <c r="Z35" s="122">
        <v>99.7524752475248</v>
      </c>
    </row>
    <row r="36" s="4" customFormat="1" ht="15" customHeight="1" spans="1:26">
      <c r="A36" s="52"/>
      <c r="B36" s="53" t="s">
        <v>23</v>
      </c>
      <c r="C36" s="54">
        <v>20739</v>
      </c>
      <c r="D36" s="55">
        <v>100</v>
      </c>
      <c r="E36" s="54">
        <v>135</v>
      </c>
      <c r="F36" s="82">
        <v>0.650947490235788</v>
      </c>
      <c r="G36" s="83">
        <v>505</v>
      </c>
      <c r="H36" s="82">
        <v>2.43502579680795</v>
      </c>
      <c r="I36" s="83">
        <v>15999</v>
      </c>
      <c r="J36" s="82">
        <v>77.1445103428323</v>
      </c>
      <c r="K36" s="83">
        <v>1633</v>
      </c>
      <c r="L36" s="82">
        <v>7.87405371522253</v>
      </c>
      <c r="M36" s="83">
        <v>2056</v>
      </c>
      <c r="N36" s="82">
        <v>9.913689184628</v>
      </c>
      <c r="O36" s="83">
        <v>104</v>
      </c>
      <c r="P36" s="82">
        <v>0.501470659144607</v>
      </c>
      <c r="Q36" s="101">
        <v>307</v>
      </c>
      <c r="R36" s="102">
        <v>1.48030281112879</v>
      </c>
      <c r="S36" s="54">
        <v>2779</v>
      </c>
      <c r="T36" s="102">
        <v>13.3998746323352</v>
      </c>
      <c r="U36" s="54">
        <v>168</v>
      </c>
      <c r="V36" s="102">
        <v>0.81006798784898</v>
      </c>
      <c r="W36" s="54">
        <v>11448</v>
      </c>
      <c r="X36" s="55">
        <v>55.2003471719948</v>
      </c>
      <c r="Y36" s="123">
        <v>2424</v>
      </c>
      <c r="Z36" s="124">
        <v>99.7524752475248</v>
      </c>
    </row>
    <row r="37" s="4" customFormat="1" ht="15" customHeight="1" spans="1:26">
      <c r="A37" s="35" t="s">
        <v>34</v>
      </c>
      <c r="B37" s="43" t="s">
        <v>21</v>
      </c>
      <c r="C37" s="44">
        <v>11383</v>
      </c>
      <c r="D37" s="34">
        <v>57.8257556515113</v>
      </c>
      <c r="E37" s="44">
        <v>82</v>
      </c>
      <c r="F37" s="72">
        <v>0.416560833121666</v>
      </c>
      <c r="G37" s="73">
        <v>1533</v>
      </c>
      <c r="H37" s="72">
        <v>7.78765557531115</v>
      </c>
      <c r="I37" s="73">
        <v>7013</v>
      </c>
      <c r="J37" s="72">
        <v>35.6261112522225</v>
      </c>
      <c r="K37" s="73">
        <v>1027</v>
      </c>
      <c r="L37" s="72">
        <v>5.21717043434087</v>
      </c>
      <c r="M37" s="73">
        <v>1463</v>
      </c>
      <c r="N37" s="72">
        <v>7.43205486410973</v>
      </c>
      <c r="O37" s="73">
        <v>89</v>
      </c>
      <c r="P37" s="72">
        <v>0.452120904241809</v>
      </c>
      <c r="Q37" s="91">
        <v>176</v>
      </c>
      <c r="R37" s="92">
        <v>0.894081788163576</v>
      </c>
      <c r="S37" s="44">
        <v>1705</v>
      </c>
      <c r="T37" s="92">
        <v>8.66141732283465</v>
      </c>
      <c r="U37" s="44">
        <v>106</v>
      </c>
      <c r="V37" s="92">
        <v>0.538481076962154</v>
      </c>
      <c r="W37" s="44">
        <v>4727</v>
      </c>
      <c r="X37" s="34">
        <v>24.0132080264161</v>
      </c>
      <c r="Y37" s="113">
        <v>2500</v>
      </c>
      <c r="Z37" s="114">
        <v>99.84</v>
      </c>
    </row>
    <row r="38" s="4" customFormat="1" ht="15" customHeight="1" spans="1:26">
      <c r="A38" s="35"/>
      <c r="B38" s="36" t="s">
        <v>22</v>
      </c>
      <c r="C38" s="37">
        <v>8302</v>
      </c>
      <c r="D38" s="38">
        <v>42.1742443484887</v>
      </c>
      <c r="E38" s="37">
        <v>58</v>
      </c>
      <c r="F38" s="74">
        <v>0.294640589281179</v>
      </c>
      <c r="G38" s="75">
        <v>1317</v>
      </c>
      <c r="H38" s="74">
        <v>6.69037338074676</v>
      </c>
      <c r="I38" s="75">
        <v>5015</v>
      </c>
      <c r="J38" s="74">
        <v>25.4762509525019</v>
      </c>
      <c r="K38" s="75">
        <v>728</v>
      </c>
      <c r="L38" s="74">
        <v>3.69824739649479</v>
      </c>
      <c r="M38" s="75">
        <v>987</v>
      </c>
      <c r="N38" s="74">
        <v>5.01397002794006</v>
      </c>
      <c r="O38" s="75">
        <v>75</v>
      </c>
      <c r="P38" s="74">
        <v>0.381000762001524</v>
      </c>
      <c r="Q38" s="93">
        <v>122</v>
      </c>
      <c r="R38" s="94">
        <v>0.619761239522479</v>
      </c>
      <c r="S38" s="37">
        <v>756</v>
      </c>
      <c r="T38" s="94">
        <v>3.84048768097536</v>
      </c>
      <c r="U38" s="37">
        <v>51</v>
      </c>
      <c r="V38" s="94">
        <v>0.259080518161036</v>
      </c>
      <c r="W38" s="37">
        <v>3118</v>
      </c>
      <c r="X38" s="38">
        <v>15.8394716789434</v>
      </c>
      <c r="Y38" s="115">
        <v>2500</v>
      </c>
      <c r="Z38" s="116">
        <v>99.84</v>
      </c>
    </row>
    <row r="39" s="4" customFormat="1" ht="15" customHeight="1" spans="1:26">
      <c r="A39" s="39"/>
      <c r="B39" s="40" t="s">
        <v>23</v>
      </c>
      <c r="C39" s="41">
        <v>19685</v>
      </c>
      <c r="D39" s="42">
        <v>100</v>
      </c>
      <c r="E39" s="41">
        <v>140</v>
      </c>
      <c r="F39" s="76">
        <v>0.711201422402845</v>
      </c>
      <c r="G39" s="77">
        <v>2850</v>
      </c>
      <c r="H39" s="76">
        <v>14.4780289560579</v>
      </c>
      <c r="I39" s="77">
        <v>12028</v>
      </c>
      <c r="J39" s="76">
        <v>61.1023622047244</v>
      </c>
      <c r="K39" s="77">
        <v>1755</v>
      </c>
      <c r="L39" s="76">
        <v>8.91541783083566</v>
      </c>
      <c r="M39" s="77">
        <v>2450</v>
      </c>
      <c r="N39" s="76">
        <v>12.4460248920498</v>
      </c>
      <c r="O39" s="77">
        <v>164</v>
      </c>
      <c r="P39" s="76">
        <v>0.833121666243333</v>
      </c>
      <c r="Q39" s="95">
        <v>298</v>
      </c>
      <c r="R39" s="96">
        <v>1.51384302768606</v>
      </c>
      <c r="S39" s="41">
        <v>2461</v>
      </c>
      <c r="T39" s="96">
        <v>12.50190500381</v>
      </c>
      <c r="U39" s="41">
        <v>157</v>
      </c>
      <c r="V39" s="96">
        <v>0.79756159512319</v>
      </c>
      <c r="W39" s="41">
        <v>7845</v>
      </c>
      <c r="X39" s="42">
        <v>39.8526797053594</v>
      </c>
      <c r="Y39" s="117">
        <v>2500</v>
      </c>
      <c r="Z39" s="118">
        <v>99.84</v>
      </c>
    </row>
    <row r="40" s="4" customFormat="1" ht="15" customHeight="1" spans="1:26">
      <c r="A40" s="45" t="s">
        <v>35</v>
      </c>
      <c r="B40" s="46" t="s">
        <v>21</v>
      </c>
      <c r="C40" s="47">
        <v>9326</v>
      </c>
      <c r="D40" s="48">
        <v>56.9526717557252</v>
      </c>
      <c r="E40" s="47">
        <v>72</v>
      </c>
      <c r="F40" s="78">
        <v>0.43969465648855</v>
      </c>
      <c r="G40" s="79">
        <v>1524</v>
      </c>
      <c r="H40" s="78">
        <v>9.30687022900763</v>
      </c>
      <c r="I40" s="79">
        <v>5430</v>
      </c>
      <c r="J40" s="78">
        <v>33.1603053435115</v>
      </c>
      <c r="K40" s="79">
        <v>764</v>
      </c>
      <c r="L40" s="78">
        <v>4.66564885496183</v>
      </c>
      <c r="M40" s="79">
        <v>1322</v>
      </c>
      <c r="N40" s="78">
        <v>8.07328244274809</v>
      </c>
      <c r="O40" s="79">
        <v>85</v>
      </c>
      <c r="P40" s="78">
        <v>0.519083969465649</v>
      </c>
      <c r="Q40" s="97">
        <v>129</v>
      </c>
      <c r="R40" s="98">
        <v>0.787786259541985</v>
      </c>
      <c r="S40" s="47">
        <v>1374</v>
      </c>
      <c r="T40" s="98">
        <v>8.39083969465649</v>
      </c>
      <c r="U40" s="47">
        <v>86</v>
      </c>
      <c r="V40" s="98">
        <v>0.525190839694657</v>
      </c>
      <c r="W40" s="47">
        <v>3398</v>
      </c>
      <c r="X40" s="48">
        <v>20.7511450381679</v>
      </c>
      <c r="Y40" s="119">
        <v>2511</v>
      </c>
      <c r="Z40" s="120">
        <v>99.8407009159697</v>
      </c>
    </row>
    <row r="41" s="4" customFormat="1" ht="15" customHeight="1" spans="1:26">
      <c r="A41" s="45"/>
      <c r="B41" s="49" t="s">
        <v>22</v>
      </c>
      <c r="C41" s="50">
        <v>7049</v>
      </c>
      <c r="D41" s="51">
        <v>43.0473282442748</v>
      </c>
      <c r="E41" s="50">
        <v>52</v>
      </c>
      <c r="F41" s="80">
        <v>0.317557251908397</v>
      </c>
      <c r="G41" s="81">
        <v>1364</v>
      </c>
      <c r="H41" s="80">
        <v>8.32977099236641</v>
      </c>
      <c r="I41" s="81">
        <v>3942</v>
      </c>
      <c r="J41" s="80">
        <v>24.0732824427481</v>
      </c>
      <c r="K41" s="81">
        <v>596</v>
      </c>
      <c r="L41" s="80">
        <v>3.63969465648855</v>
      </c>
      <c r="M41" s="81">
        <v>935</v>
      </c>
      <c r="N41" s="80">
        <v>5.70992366412214</v>
      </c>
      <c r="O41" s="81">
        <v>58</v>
      </c>
      <c r="P41" s="80">
        <v>0.354198473282443</v>
      </c>
      <c r="Q41" s="99">
        <v>102</v>
      </c>
      <c r="R41" s="100">
        <v>0.622900763358779</v>
      </c>
      <c r="S41" s="50">
        <v>610</v>
      </c>
      <c r="T41" s="100">
        <v>3.72519083969466</v>
      </c>
      <c r="U41" s="50">
        <v>37</v>
      </c>
      <c r="V41" s="100">
        <v>0.225954198473282</v>
      </c>
      <c r="W41" s="50">
        <v>2408</v>
      </c>
      <c r="X41" s="51">
        <v>14.7053435114504</v>
      </c>
      <c r="Y41" s="121">
        <v>2511</v>
      </c>
      <c r="Z41" s="122">
        <v>99.8407009159697</v>
      </c>
    </row>
    <row r="42" s="4" customFormat="1" ht="15" customHeight="1" spans="1:26">
      <c r="A42" s="52"/>
      <c r="B42" s="53" t="s">
        <v>23</v>
      </c>
      <c r="C42" s="54">
        <v>16375</v>
      </c>
      <c r="D42" s="55">
        <v>100</v>
      </c>
      <c r="E42" s="54">
        <v>124</v>
      </c>
      <c r="F42" s="82">
        <v>0.757251908396947</v>
      </c>
      <c r="G42" s="83">
        <v>2888</v>
      </c>
      <c r="H42" s="82">
        <v>17.636641221374</v>
      </c>
      <c r="I42" s="83">
        <v>9372</v>
      </c>
      <c r="J42" s="82">
        <v>57.2335877862595</v>
      </c>
      <c r="K42" s="83">
        <v>1360</v>
      </c>
      <c r="L42" s="82">
        <v>8.30534351145038</v>
      </c>
      <c r="M42" s="83">
        <v>2257</v>
      </c>
      <c r="N42" s="82">
        <v>13.7832061068702</v>
      </c>
      <c r="O42" s="83">
        <v>143</v>
      </c>
      <c r="P42" s="82">
        <v>0.873282442748092</v>
      </c>
      <c r="Q42" s="101">
        <v>231</v>
      </c>
      <c r="R42" s="102">
        <v>1.41068702290076</v>
      </c>
      <c r="S42" s="54">
        <v>1984</v>
      </c>
      <c r="T42" s="102">
        <v>12.1160305343511</v>
      </c>
      <c r="U42" s="54">
        <v>123</v>
      </c>
      <c r="V42" s="102">
        <v>0.751145038167939</v>
      </c>
      <c r="W42" s="54">
        <v>5806</v>
      </c>
      <c r="X42" s="55">
        <v>35.4564885496183</v>
      </c>
      <c r="Y42" s="123">
        <v>2511</v>
      </c>
      <c r="Z42" s="124">
        <v>99.8407009159697</v>
      </c>
    </row>
    <row r="43" s="4" customFormat="1" ht="15" customHeight="1" spans="1:26">
      <c r="A43" s="35" t="s">
        <v>36</v>
      </c>
      <c r="B43" s="43" t="s">
        <v>21</v>
      </c>
      <c r="C43" s="44">
        <v>13172</v>
      </c>
      <c r="D43" s="34">
        <v>57.9779039570404</v>
      </c>
      <c r="E43" s="44">
        <v>100</v>
      </c>
      <c r="F43" s="72">
        <v>0.440160218319468</v>
      </c>
      <c r="G43" s="73">
        <v>2168</v>
      </c>
      <c r="H43" s="72">
        <v>9.54267353316607</v>
      </c>
      <c r="I43" s="73">
        <v>7281</v>
      </c>
      <c r="J43" s="72">
        <v>32.0480654958405</v>
      </c>
      <c r="K43" s="73">
        <v>1335</v>
      </c>
      <c r="L43" s="72">
        <v>5.8761389145649</v>
      </c>
      <c r="M43" s="73">
        <v>1970</v>
      </c>
      <c r="N43" s="72">
        <v>8.67115630089353</v>
      </c>
      <c r="O43" s="73">
        <v>129</v>
      </c>
      <c r="P43" s="72">
        <v>0.567806681632114</v>
      </c>
      <c r="Q43" s="91">
        <v>189</v>
      </c>
      <c r="R43" s="92">
        <v>0.831902812623795</v>
      </c>
      <c r="S43" s="44">
        <v>3480</v>
      </c>
      <c r="T43" s="92">
        <v>15.3175755975175</v>
      </c>
      <c r="U43" s="44">
        <v>146</v>
      </c>
      <c r="V43" s="92">
        <v>0.642633918746424</v>
      </c>
      <c r="W43" s="44">
        <v>4437</v>
      </c>
      <c r="X43" s="34">
        <v>19.5299088868348</v>
      </c>
      <c r="Y43" s="113">
        <v>2478</v>
      </c>
      <c r="Z43" s="114">
        <v>99.8385794995964</v>
      </c>
    </row>
    <row r="44" s="5" customFormat="1" ht="15" customHeight="1" spans="1:26">
      <c r="A44" s="35"/>
      <c r="B44" s="36" t="s">
        <v>22</v>
      </c>
      <c r="C44" s="37">
        <v>9547</v>
      </c>
      <c r="D44" s="38">
        <v>42.0220960429596</v>
      </c>
      <c r="E44" s="37">
        <v>66</v>
      </c>
      <c r="F44" s="74">
        <v>0.290505744090849</v>
      </c>
      <c r="G44" s="75">
        <v>1825</v>
      </c>
      <c r="H44" s="74">
        <v>8.0329239843303</v>
      </c>
      <c r="I44" s="75">
        <v>5110</v>
      </c>
      <c r="J44" s="74">
        <v>22.4921871561248</v>
      </c>
      <c r="K44" s="75">
        <v>968</v>
      </c>
      <c r="L44" s="74">
        <v>4.26075091333245</v>
      </c>
      <c r="M44" s="75">
        <v>1356</v>
      </c>
      <c r="N44" s="74">
        <v>5.96857256041199</v>
      </c>
      <c r="O44" s="75">
        <v>95</v>
      </c>
      <c r="P44" s="74">
        <v>0.418152207403495</v>
      </c>
      <c r="Q44" s="93">
        <v>127</v>
      </c>
      <c r="R44" s="94">
        <v>0.559003477265725</v>
      </c>
      <c r="S44" s="37">
        <v>1868</v>
      </c>
      <c r="T44" s="94">
        <v>8.22219287820767</v>
      </c>
      <c r="U44" s="37">
        <v>104</v>
      </c>
      <c r="V44" s="94">
        <v>0.457766627052247</v>
      </c>
      <c r="W44" s="37">
        <v>3085</v>
      </c>
      <c r="X44" s="38">
        <v>13.5789427351556</v>
      </c>
      <c r="Y44" s="115">
        <v>2478</v>
      </c>
      <c r="Z44" s="116">
        <v>99.8385794995964</v>
      </c>
    </row>
    <row r="45" s="4" customFormat="1" ht="15" customHeight="1" spans="1:26">
      <c r="A45" s="56"/>
      <c r="B45" s="57" t="s">
        <v>23</v>
      </c>
      <c r="C45" s="58">
        <v>22719</v>
      </c>
      <c r="D45" s="59">
        <v>100</v>
      </c>
      <c r="E45" s="58">
        <v>166</v>
      </c>
      <c r="F45" s="84">
        <v>0.730665962410317</v>
      </c>
      <c r="G45" s="85">
        <v>3993</v>
      </c>
      <c r="H45" s="84">
        <v>17.5755975174964</v>
      </c>
      <c r="I45" s="85">
        <v>12391</v>
      </c>
      <c r="J45" s="84">
        <v>54.5402526519653</v>
      </c>
      <c r="K45" s="85">
        <v>2303</v>
      </c>
      <c r="L45" s="84">
        <v>10.1368898278974</v>
      </c>
      <c r="M45" s="85">
        <v>3326</v>
      </c>
      <c r="N45" s="84">
        <v>14.6397288613055</v>
      </c>
      <c r="O45" s="85">
        <v>224</v>
      </c>
      <c r="P45" s="84">
        <v>0.985958889035609</v>
      </c>
      <c r="Q45" s="103">
        <v>316</v>
      </c>
      <c r="R45" s="104">
        <v>1.39090628988952</v>
      </c>
      <c r="S45" s="58">
        <v>5348</v>
      </c>
      <c r="T45" s="104">
        <v>23.5397684757252</v>
      </c>
      <c r="U45" s="58">
        <v>250</v>
      </c>
      <c r="V45" s="104">
        <v>1.10040054579867</v>
      </c>
      <c r="W45" s="58">
        <v>7522</v>
      </c>
      <c r="X45" s="59">
        <v>33.1088516219904</v>
      </c>
      <c r="Y45" s="125">
        <v>2478</v>
      </c>
      <c r="Z45" s="126">
        <v>99.8385794995964</v>
      </c>
    </row>
    <row r="46" s="6" customFormat="1" ht="15" customHeight="1" spans="1:26">
      <c r="A46" s="8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9"/>
      <c r="Y46" s="10"/>
      <c r="Z46" s="1"/>
    </row>
    <row r="47" s="7" customFormat="1" ht="15" customHeight="1" spans="1:26">
      <c r="A47" s="60" t="str">
        <f>CONCATENATE("NOTE: Table reads:  Of all ",IF(ISTEXT(C9),LEFT(C9,3),TEXT(C9,"#,##0"))," public school students retained in kindergarten, ",IF(ISTEXT(E9),LEFT(E9,3),TEXT(E9,"#,##0"))," (",TEXT(F9,"0.0"),"%) were American Indian or Alaska Native, ",IF(ISTEXT(S9),LEFT(S9,3),TEXT(S9,"#,##0"))," (",TEXT(T9,"0.0"),"%) were students with disabilities served under the Individuals with Disabilities Education Act (IDEA), and ",IF(ISTEXT(U9),LEFT(U9,3),TEXT(U9,"#,##0"))," (",TEXT(V9,"0.0"),"%) were students with disabilities served solely under Section 504 of the Rehabilitation Act of 1973.")</f>
        <v>NOTE: Table reads:  Of all 12,778 public school students retained in kindergarten, 153 (1.2%) were American Indian or Alaska Native, 1,404 (11.0%) were students with disabilities served under the Individuals with Disabilities Education Act (IDEA), and 109 (0.9%) were students with disabilities served solely under Section 504 of the Rehabilitation Act of 1973.</v>
      </c>
      <c r="B47" s="61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106"/>
      <c r="Y47" s="127"/>
      <c r="Z47" s="61"/>
    </row>
    <row r="48" s="4" customFormat="1" ht="15" customHeight="1" spans="1:24">
      <c r="A48" s="136" t="s">
        <v>37</v>
      </c>
      <c r="B48" s="62"/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2"/>
      <c r="R48" s="62"/>
      <c r="S48" s="62"/>
      <c r="T48" s="62"/>
      <c r="U48" s="62"/>
      <c r="V48" s="62"/>
      <c r="W48" s="63"/>
      <c r="X48" s="63"/>
    </row>
    <row r="49" s="7" customFormat="1" ht="14" customHeight="1" spans="1:26">
      <c r="A49" s="64" t="s">
        <v>38</v>
      </c>
      <c r="B49" s="5"/>
      <c r="C49" s="5"/>
      <c r="D49" s="4"/>
      <c r="E49" s="4"/>
      <c r="F49" s="86"/>
      <c r="G49" s="86"/>
      <c r="H49" s="86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86"/>
      <c r="U49" s="86"/>
      <c r="V49" s="4"/>
      <c r="W49" s="86"/>
      <c r="X49" s="61"/>
      <c r="Y49" s="61"/>
      <c r="Z49" s="61"/>
    </row>
  </sheetData>
  <mergeCells count="30">
    <mergeCell ref="A2:Z2"/>
    <mergeCell ref="E4:R4"/>
    <mergeCell ref="E5:F5"/>
    <mergeCell ref="G5:H5"/>
    <mergeCell ref="I5:J5"/>
    <mergeCell ref="K5:L5"/>
    <mergeCell ref="M5:N5"/>
    <mergeCell ref="O5:P5"/>
    <mergeCell ref="Q5:R5"/>
    <mergeCell ref="A4:A6"/>
    <mergeCell ref="A7:A9"/>
    <mergeCell ref="A10:A12"/>
    <mergeCell ref="A13:A15"/>
    <mergeCell ref="A16:A18"/>
    <mergeCell ref="A19:A21"/>
    <mergeCell ref="A22:A24"/>
    <mergeCell ref="A25:A27"/>
    <mergeCell ref="A28:A30"/>
    <mergeCell ref="A31:A33"/>
    <mergeCell ref="A34:A36"/>
    <mergeCell ref="A37:A39"/>
    <mergeCell ref="A40:A42"/>
    <mergeCell ref="A43:A45"/>
    <mergeCell ref="B4:B6"/>
    <mergeCell ref="Y4:Y6"/>
    <mergeCell ref="Z4:Z6"/>
    <mergeCell ref="C4:D5"/>
    <mergeCell ref="S4:T5"/>
    <mergeCell ref="U4:V5"/>
    <mergeCell ref="W4:X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VBM</dc:creator>
  <cp:lastModifiedBy>杨宇航</cp:lastModifiedBy>
  <dcterms:created xsi:type="dcterms:W3CDTF">2015-11-17T11:59:00Z</dcterms:created>
  <dcterms:modified xsi:type="dcterms:W3CDTF">2025-01-31T23:01:44Z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A4C961A5AEFDF24206C4626761FD6844_43</vt:lpwstr>
  </property>
  <property fmtid="{D5CDD505-2E9C-101B-9397-08002B2CF9AE}" pid="3" name="KSOProductBuildVer">
    <vt:lpwstr>2052-6.14.0.8924</vt:lpwstr>
  </property>
</Properties>
</file>