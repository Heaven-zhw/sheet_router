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Table_3a" sheetId="1" r:id="rId1"/>
  </sheets>
  <externalReferences>
    <externalReference r:id="rId2"/>
  </externalReferences>
  <definedNames>
    <definedName name="Admin_CVL_Rate">OFFSET(!#REF!,1,0,!#REF!)</definedName>
    <definedName name="Bank_Rate">OFFSET(!#REF!,1,0,!#REF!)</definedName>
    <definedName name="CalSht1">!#REF!</definedName>
    <definedName name="CL_Rate">OFFSET(!#REF!,1,0,!#REF!)</definedName>
    <definedName name="CVL_Rate">OFFSET(!#REF!,1,0,!#REF!)</definedName>
    <definedName name="DRO_Rate">OFFSET(!#REF!,1,0,!#REF!)</definedName>
    <definedName name="ind_1">OFFSET(INDEX(!#REF!,MATCH(!#REF!,!#REF!,0)),0,0,1,!#REF!-6)</definedName>
    <definedName name="ind_10">OFFSET(INDEX(!#REF!,MATCH(!#REF!,!#REF!,0)),0,0,1,!#REF!-6)</definedName>
    <definedName name="ind_11">OFFSET(INDEX(!#REF!,MATCH(!#REF!,!#REF!,0)),0,0,1,!#REF!-6)</definedName>
    <definedName name="ind_12">OFFSET(INDEX(!#REF!,MATCH(!#REF!,!#REF!,0)),0,0,1,!#REF!-6)</definedName>
    <definedName name="ind_2">OFFSET(INDEX(!#REF!,MATCH(!#REF!,!#REF!,0)),0,0,1,!#REF!-6)</definedName>
    <definedName name="Ind_3">OFFSET(INDEX(!#REF!,MATCH(!#REF!,!#REF!,0)),0,0,1,!#REF!-6)</definedName>
    <definedName name="Ind_4">OFFSET(INDEX(!#REF!,MATCH(!#REF!,!#REF!,0)),0,0,1,!#REF!-6)</definedName>
    <definedName name="Ind_5">OFFSET(INDEX(!#REF!,MATCH(!#REF!,!#REF!,0)),0,0,1,!#REF!-6)</definedName>
    <definedName name="Ind_6">OFFSET(INDEX(!#REF!,MATCH(!#REF!,!#REF!,0)),0,0,1,!#REF!-6)</definedName>
    <definedName name="Ind_7">OFFSET(INDEX(!#REF!,MATCH(!#REF!,!#REF!,0)),0,0,1,!#REF!-6)</definedName>
    <definedName name="Ind_8">OFFSET(INDEX(!#REF!,MATCH(!#REF!,!#REF!,0)),0,0,1,!#REF!-6)</definedName>
    <definedName name="Ind_9">OFFSET(INDEX(!#REF!,MATCH(!#REF!,!#REF!,0)),0,0,1,!#REF!-6)</definedName>
    <definedName name="ind_all">OFFSET(!#REF!,0,0,1,!#REF!-6)</definedName>
    <definedName name="Indiv_Rate">OFFSET(!#REF!,1,0,!#REF!)</definedName>
    <definedName name="IVA_Rate">OFFSET(!#REF!,1,0,!#REF!)</definedName>
    <definedName name="Liq_Rate">OFFSET(!#REF!,1,0,!#REF!)</definedName>
    <definedName name="n">OFFSET(!#REF!,1,0,!#REF!)</definedName>
    <definedName name="_xlnm.Print_Area" localSheetId="0">Table_3a!$A$1:$I$76</definedName>
    <definedName name="Recession">OFFSET(!#REF!,1,0,!#REF!)</definedName>
    <definedName name="TEST">[1]People!$K$37,[1]People!$B$23,[1]People!$B$24,[1]People!$B$25,[1]People!$B$26,[1]People!$B$27,[1]People!$B$28,[1]People!$B$29,[1]People!$D$23,[1]People!$D$24,[1]People!$D$25,[1]People!$D$26,[1]People!$D$27,[1]People!$D$28,[1]People!$D$29,[1]People!$C$23,[1]People!$C$24,[1]People!$C$25,[1]People!$C$26,[1]People!$C$27,[1]People!$C$28,[1]People!$C$29,[1]People!$E$23,[1]People!$E$24,[1]People!$E$25,[1]People!$E$26,[1]People!$E$27,[1]People!$E$28,[1]People!$E$29,[1]People!$F$23,[1]People!$F$24,[1]People!$F$25,[1]People!$F$26,[1]People!$F$27,[1]People!$F$28,[1]People!$F$29,[1]People!$G$23,[1]People!$G$24,[1]People!$G$25,[1]People!$G$27,[1]People!$G$26,[1]People!$G$27</definedName>
    <definedName name="x_axis">OFFSET(!#REF!,0,0,1,!#REF!-6)</definedName>
    <definedName name="XVAL">OFFSET(!#REF!,1,0,!#REF!)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<sst xmlns="http://schemas.openxmlformats.org/spreadsheetml/2006/main" count="58" uniqueCount="18">
  <si>
    <t>Total bankruptcies</t>
  </si>
  <si>
    <t>Petition type</t>
  </si>
  <si>
    <t xml:space="preserve"> </t>
  </si>
  <si>
    <r>
      <rPr>
        <sz val="10"/>
        <color rgb="FF000000"/>
        <rFont val="Arial Unicode MS"/>
        <charset val="134"/>
      </rPr>
      <t>Creditor's petitions</t>
    </r>
    <r>
      <rPr>
        <vertAlign val="superscript"/>
        <sz val="10"/>
        <color rgb="FF000000"/>
        <rFont val="Arial Unicode MS"/>
        <charset val="134"/>
      </rPr>
      <t>3</t>
    </r>
  </si>
  <si>
    <r>
      <rPr>
        <sz val="10"/>
        <color rgb="FF000000"/>
        <rFont val="Arial Unicode MS"/>
        <charset val="134"/>
      </rPr>
      <t>Debtor's applications</t>
    </r>
    <r>
      <rPr>
        <vertAlign val="superscript"/>
        <sz val="10"/>
        <color rgb="FF000000"/>
        <rFont val="Arial Unicode MS"/>
        <charset val="134"/>
      </rPr>
      <t>4</t>
    </r>
  </si>
  <si>
    <t>Components Aggregate to Totals (scroll down for contribution consistency checks)</t>
  </si>
  <si>
    <t>Total bankruptcies = Creditors petitions + debtors applications</t>
  </si>
  <si>
    <t>Q1</t>
  </si>
  <si>
    <t>Q2</t>
  </si>
  <si>
    <t>Q3</t>
  </si>
  <si>
    <t>Q4</t>
  </si>
  <si>
    <t>p</t>
  </si>
  <si>
    <t>Percentage change, latest quarter (2020 Q2) compared with:</t>
  </si>
  <si>
    <t>Source: Insolvency Service</t>
  </si>
  <si>
    <r>
      <rPr>
        <vertAlign val="superscript"/>
        <sz val="10"/>
        <color rgb="FF000000"/>
        <rFont val="Arial Unicode MS"/>
        <charset val="134"/>
      </rPr>
      <t>1</t>
    </r>
    <r>
      <rPr>
        <sz val="10"/>
        <color rgb="FF000000"/>
        <rFont val="Arial Unicode MS"/>
        <charset val="134"/>
      </rPr>
      <t xml:space="preserve"> Figures from 2011 Q2 onwards based on the date the bankruptcy order was granted by the court or the Adjudicator.</t>
    </r>
  </si>
  <si>
    <r>
      <rPr>
        <vertAlign val="superscript"/>
        <sz val="10"/>
        <color rgb="FF000000"/>
        <rFont val="Arial Unicode MS"/>
        <charset val="134"/>
      </rPr>
      <t>2</t>
    </r>
    <r>
      <rPr>
        <sz val="10"/>
        <color rgb="FF000000"/>
        <rFont val="Arial Unicode MS"/>
        <charset val="134"/>
      </rPr>
      <t xml:space="preserve"> For any particular quarter, seasonally adjusted figures for creditor and debtor petition bankruptcies will not sum to the seasonally adjusted figure for total bankruptcies. This is because they have been adjusted separately using different models. Over a calendar year, the totals will match because of the model chosen.</t>
    </r>
  </si>
  <si>
    <r>
      <rPr>
        <vertAlign val="superscript"/>
        <sz val="10"/>
        <color rgb="FF000000"/>
        <rFont val="Arial Unicode MS"/>
        <charset val="134"/>
      </rPr>
      <t>3</t>
    </r>
    <r>
      <rPr>
        <sz val="10"/>
        <color rgb="FF000000"/>
        <rFont val="Arial Unicode MS"/>
        <charset val="134"/>
      </rPr>
      <t xml:space="preserve"> From October 2015, the minimum debt required to initiate a creditor petition bankruptcy increased from £750 to £5,000.</t>
    </r>
  </si>
  <si>
    <r>
      <rPr>
        <vertAlign val="superscript"/>
        <sz val="10"/>
        <color rgb="FF000000"/>
        <rFont val="Arial Unicode MS"/>
        <charset val="134"/>
      </rPr>
      <t>4</t>
    </r>
    <r>
      <rPr>
        <sz val="10"/>
        <color rgb="FF000000"/>
        <rFont val="Arial Unicode MS"/>
        <charset val="134"/>
      </rPr>
      <t xml:space="preserve"> From 6 April 2016, the process for people making themselves bankrupt moved online and out of the courts.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</si>
</sst>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 &quot;General"/>
    <numFmt numFmtId="177" formatCode="0&quot; &quot;"/>
    <numFmt numFmtId="178" formatCode="&quot;p  &quot;00"/>
    <numFmt numFmtId="179" formatCode="0.0"/>
  </numFmts>
  <fonts count="42">
    <font>
      <sz val="10"/>
      <color rgb="FF000000"/>
      <name val="Arial"/>
      <charset val="134"/>
    </font>
    <font>
      <sz val="10"/>
      <color rgb="FF000000"/>
      <name val="Arial Unicode MS"/>
      <charset val="134"/>
    </font>
    <font>
      <sz val="10"/>
      <color rgb="FF800000"/>
      <name val="Arial Unicode MS"/>
      <charset val="134"/>
    </font>
    <font>
      <sz val="10"/>
      <color rgb="FF9EFF00"/>
      <name val="Arial Unicode MS"/>
      <charset val="134"/>
    </font>
    <font>
      <vertAlign val="superscript"/>
      <sz val="10"/>
      <color rgb="FF9EFF00"/>
      <name val="Arial Unicode MS"/>
      <charset val="134"/>
    </font>
    <font>
      <vertAlign val="superscript"/>
      <sz val="10"/>
      <color rgb="FF000000"/>
      <name val="Arial Unicode MS"/>
      <charset val="134"/>
    </font>
    <font>
      <b/>
      <sz val="10"/>
      <color rgb="FF000000"/>
      <name val="Arial Unicode MS"/>
      <charset val="134"/>
    </font>
    <font>
      <b/>
      <sz val="10"/>
      <color rgb="FF800000"/>
      <name val="Arial Unicode MS"/>
      <charset val="134"/>
    </font>
    <font>
      <vertAlign val="superscript"/>
      <sz val="10"/>
      <color rgb="FF800000"/>
      <name val="Arial Unicode MS"/>
      <charset val="134"/>
    </font>
    <font>
      <vertAlign val="superscript"/>
      <sz val="8"/>
      <color rgb="FF800000"/>
      <name val="Arial Unicode MS"/>
      <charset val="134"/>
    </font>
    <font>
      <b/>
      <sz val="10"/>
      <color rgb="FFFCC705"/>
      <name val="Arial Unicode MS"/>
      <charset val="134"/>
    </font>
    <font>
      <b/>
      <vertAlign val="superscript"/>
      <sz val="10"/>
      <color rgb="FFFCC705"/>
      <name val="Arial Unicode MS"/>
      <charset val="134"/>
    </font>
    <font>
      <sz val="10"/>
      <color rgb="FFFCC705"/>
      <name val="Arial Unicode MS"/>
      <charset val="134"/>
    </font>
    <font>
      <vertAlign val="superscript"/>
      <sz val="8"/>
      <color rgb="FF0000FF"/>
      <name val="Arial Unicode MS"/>
      <charset val="134"/>
    </font>
    <font>
      <sz val="10"/>
      <color rgb="FF0000FF"/>
      <name val="Arial Unicode MS"/>
      <charset val="134"/>
    </font>
    <font>
      <sz val="14"/>
      <color rgb="FF000000"/>
      <name val="Arial Unicode MS"/>
      <charset val="134"/>
    </font>
    <font>
      <b/>
      <vertAlign val="superscript"/>
      <sz val="10"/>
      <color rgb="FF000000"/>
      <name val="Arial Unicode MS"/>
      <charset val="134"/>
    </font>
    <font>
      <i/>
      <sz val="10"/>
      <color rgb="FF0000FF"/>
      <name val="Arial Unicode MS"/>
      <charset val="134"/>
    </font>
    <font>
      <vertAlign val="superscript"/>
      <sz val="10"/>
      <color rgb="FF0000FF"/>
      <name val="Arial Unicode MS"/>
      <charset val="134"/>
    </font>
    <font>
      <i/>
      <vertAlign val="superscript"/>
      <sz val="10"/>
      <color rgb="FF0000FF"/>
      <name val="Arial Unicode M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Courier"/>
      <charset val="134"/>
    </font>
    <font>
      <u/>
      <sz val="10"/>
      <color rgb="FF0000FF"/>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medium">
        <color rgb="FFC0C0C0"/>
      </top>
      <bottom/>
      <diagonal/>
    </border>
    <border>
      <left/>
      <right/>
      <top style="medium">
        <color rgb="FFC0C0C0"/>
      </top>
      <bottom style="medium">
        <color rgb="FFC0C0C0"/>
      </bottom>
      <diagonal/>
    </border>
    <border>
      <left/>
      <right/>
      <top/>
      <bottom style="medium">
        <color rgb="FFC0C0C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0" fillId="0" borderId="0" applyFont="0" applyFill="0" applyBorder="0" applyAlignment="0" applyProtection="0"/>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2" borderId="4"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5" applyNumberFormat="0" applyFill="0" applyAlignment="0" applyProtection="0">
      <alignment vertical="center"/>
    </xf>
    <xf numFmtId="0" fontId="27" fillId="0" borderId="5" applyNumberFormat="0" applyFill="0" applyAlignment="0" applyProtection="0">
      <alignment vertical="center"/>
    </xf>
    <xf numFmtId="0" fontId="28" fillId="0" borderId="6" applyNumberFormat="0" applyFill="0" applyAlignment="0" applyProtection="0">
      <alignment vertical="center"/>
    </xf>
    <xf numFmtId="0" fontId="28" fillId="0" borderId="0" applyNumberFormat="0" applyFill="0" applyBorder="0" applyAlignment="0" applyProtection="0">
      <alignment vertical="center"/>
    </xf>
    <xf numFmtId="0" fontId="29" fillId="3" borderId="7" applyNumberFormat="0" applyAlignment="0" applyProtection="0">
      <alignment vertical="center"/>
    </xf>
    <xf numFmtId="0" fontId="30" fillId="4" borderId="8" applyNumberFormat="0" applyAlignment="0" applyProtection="0">
      <alignment vertical="center"/>
    </xf>
    <xf numFmtId="0" fontId="31" fillId="4" borderId="7" applyNumberFormat="0" applyAlignment="0" applyProtection="0">
      <alignment vertical="center"/>
    </xf>
    <xf numFmtId="0" fontId="32" fillId="5" borderId="9" applyNumberFormat="0" applyAlignment="0" applyProtection="0">
      <alignment vertical="center"/>
    </xf>
    <xf numFmtId="0" fontId="33" fillId="0" borderId="10" applyNumberFormat="0" applyFill="0" applyAlignment="0" applyProtection="0">
      <alignment vertical="center"/>
    </xf>
    <xf numFmtId="0" fontId="34" fillId="0" borderId="11" applyNumberFormat="0" applyFill="0" applyAlignment="0" applyProtection="0">
      <alignment vertical="center"/>
    </xf>
    <xf numFmtId="0" fontId="35" fillId="6" borderId="0" applyNumberFormat="0" applyBorder="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39"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176" fontId="40" fillId="0" borderId="0" applyBorder="0" applyProtection="0"/>
    <xf numFmtId="0" fontId="41" fillId="0" borderId="0" applyNumberFormat="0" applyFill="0" applyBorder="0" applyAlignment="0" applyProtection="0"/>
    <xf numFmtId="177" fontId="40" fillId="0" borderId="0" applyBorder="0" applyProtection="0"/>
    <xf numFmtId="9" fontId="0" fillId="0" borderId="0" applyFont="0" applyFill="0" applyBorder="0" applyAlignment="0" applyProtection="0"/>
  </cellStyleXfs>
  <cellXfs count="58">
    <xf numFmtId="0" fontId="0" fillId="0" borderId="0" xfId="0"/>
    <xf numFmtId="176" fontId="1" fillId="0" borderId="0" xfId="49" applyFont="1" applyFill="1" applyAlignment="1" applyProtection="1">
      <alignment horizontal="center" vertical="center" wrapText="1"/>
    </xf>
    <xf numFmtId="176" fontId="2" fillId="0" borderId="0" xfId="49" applyFont="1" applyFill="1" applyAlignment="1" applyProtection="1">
      <alignment vertical="center"/>
    </xf>
    <xf numFmtId="177" fontId="1" fillId="0" borderId="0" xfId="51" applyFont="1" applyFill="1" applyAlignment="1" applyProtection="1">
      <alignment vertical="center"/>
    </xf>
    <xf numFmtId="176" fontId="1" fillId="0" borderId="0" xfId="49" applyFont="1" applyFill="1" applyAlignment="1" applyProtection="1">
      <alignment horizontal="left" vertical="center"/>
    </xf>
    <xf numFmtId="177" fontId="3" fillId="0" borderId="0" xfId="51" applyFont="1" applyFill="1" applyAlignment="1" applyProtection="1">
      <alignment horizontal="right" vertical="center"/>
    </xf>
    <xf numFmtId="177" fontId="4" fillId="0" borderId="0" xfId="51" applyFont="1" applyFill="1" applyAlignment="1" applyProtection="1">
      <alignment horizontal="left" vertical="center"/>
    </xf>
    <xf numFmtId="177" fontId="3" fillId="0" borderId="0" xfId="51" applyFont="1" applyFill="1" applyAlignment="1" applyProtection="1">
      <alignment vertical="center"/>
    </xf>
    <xf numFmtId="177" fontId="3" fillId="0" borderId="0" xfId="51" applyFont="1" applyFill="1" applyAlignment="1" applyProtection="1">
      <alignment horizontal="center" vertical="center"/>
    </xf>
    <xf numFmtId="176" fontId="1" fillId="0" borderId="0" xfId="49" applyFont="1" applyFill="1" applyAlignment="1" applyProtection="1">
      <alignment vertical="center"/>
    </xf>
    <xf numFmtId="177" fontId="1" fillId="0" borderId="1" xfId="51" applyFont="1" applyFill="1" applyBorder="1" applyAlignment="1" applyProtection="1">
      <alignment horizontal="right" vertical="center"/>
    </xf>
    <xf numFmtId="177" fontId="5" fillId="0" borderId="1" xfId="51" applyFont="1" applyFill="1" applyBorder="1" applyAlignment="1" applyProtection="1">
      <alignment horizontal="left" vertical="center"/>
    </xf>
    <xf numFmtId="177" fontId="6" fillId="0" borderId="2" xfId="51" applyFont="1" applyFill="1" applyBorder="1" applyAlignment="1" applyProtection="1">
      <alignment horizontal="center" vertical="center" wrapText="1"/>
      <protection locked="0"/>
    </xf>
    <xf numFmtId="177" fontId="1" fillId="0" borderId="2" xfId="51" applyFont="1" applyFill="1" applyBorder="1" applyAlignment="1" applyProtection="1">
      <alignment horizontal="center" vertical="center"/>
      <protection locked="0"/>
    </xf>
    <xf numFmtId="177" fontId="1" fillId="0" borderId="3" xfId="51" applyFont="1" applyFill="1" applyBorder="1" applyAlignment="1" applyProtection="1">
      <alignment horizontal="right" vertical="center" wrapText="1"/>
    </xf>
    <xf numFmtId="177" fontId="1" fillId="0" borderId="3" xfId="51" applyFont="1" applyFill="1" applyBorder="1" applyAlignment="1" applyProtection="1">
      <alignment horizontal="center" vertical="center" wrapText="1"/>
    </xf>
    <xf numFmtId="177" fontId="5" fillId="0" borderId="3" xfId="51" applyFont="1" applyFill="1" applyBorder="1" applyAlignment="1" applyProtection="1">
      <alignment horizontal="left" vertical="center" wrapText="1"/>
    </xf>
    <xf numFmtId="177" fontId="1" fillId="0" borderId="2" xfId="51" applyFont="1" applyFill="1" applyBorder="1" applyAlignment="1" applyProtection="1">
      <alignment horizontal="center" vertical="center" wrapText="1"/>
      <protection locked="0"/>
    </xf>
    <xf numFmtId="1" fontId="7" fillId="0" borderId="0" xfId="51" applyNumberFormat="1" applyFont="1" applyFill="1" applyAlignment="1" applyProtection="1">
      <alignment horizontal="right" vertical="center"/>
    </xf>
    <xf numFmtId="1" fontId="8" fillId="0" borderId="0" xfId="51" applyNumberFormat="1" applyFont="1" applyFill="1" applyAlignment="1" applyProtection="1">
      <alignment horizontal="left" vertical="center"/>
    </xf>
    <xf numFmtId="3" fontId="2" fillId="0" borderId="0" xfId="49" applyNumberFormat="1" applyFont="1" applyFill="1" applyAlignment="1" applyProtection="1">
      <alignment horizontal="right" vertical="center"/>
      <protection locked="0"/>
    </xf>
    <xf numFmtId="3" fontId="9" fillId="0" borderId="0" xfId="49" applyNumberFormat="1" applyFont="1" applyFill="1" applyAlignment="1" applyProtection="1">
      <alignment horizontal="left" vertical="center"/>
      <protection locked="0"/>
    </xf>
    <xf numFmtId="1" fontId="2" fillId="0" borderId="0" xfId="51" applyNumberFormat="1" applyFont="1" applyFill="1" applyAlignment="1" applyProtection="1">
      <alignment horizontal="left" vertical="center"/>
    </xf>
    <xf numFmtId="176" fontId="8" fillId="0" borderId="0" xfId="49" applyFont="1" applyFill="1" applyAlignment="1" applyProtection="1">
      <alignment vertical="center"/>
    </xf>
    <xf numFmtId="1" fontId="10" fillId="0" borderId="0" xfId="51" applyNumberFormat="1" applyFont="1" applyFill="1" applyAlignment="1" applyProtection="1">
      <alignment horizontal="right" vertical="center"/>
    </xf>
    <xf numFmtId="1" fontId="11" fillId="0" borderId="0" xfId="51" applyNumberFormat="1" applyFont="1" applyFill="1" applyAlignment="1" applyProtection="1">
      <alignment horizontal="left" vertical="center"/>
    </xf>
    <xf numFmtId="3" fontId="12" fillId="0" borderId="0" xfId="49" applyNumberFormat="1" applyFont="1" applyFill="1" applyAlignment="1" applyProtection="1">
      <alignment horizontal="right" vertical="center"/>
      <protection locked="0"/>
    </xf>
    <xf numFmtId="3" fontId="13" fillId="0" borderId="0" xfId="49" applyNumberFormat="1" applyFont="1" applyFill="1" applyAlignment="1" applyProtection="1">
      <alignment horizontal="left" vertical="center"/>
      <protection locked="0"/>
    </xf>
    <xf numFmtId="1" fontId="6" fillId="0" borderId="0" xfId="51" applyNumberFormat="1" applyFont="1" applyFill="1" applyAlignment="1" applyProtection="1">
      <alignment horizontal="right" vertical="center"/>
    </xf>
    <xf numFmtId="1" fontId="1" fillId="0" borderId="0" xfId="51" applyNumberFormat="1" applyFont="1" applyFill="1" applyAlignment="1" applyProtection="1">
      <alignment horizontal="right" vertical="center"/>
    </xf>
    <xf numFmtId="1" fontId="5" fillId="0" borderId="0" xfId="51" applyNumberFormat="1" applyFont="1" applyFill="1" applyAlignment="1" applyProtection="1">
      <alignment horizontal="left" vertical="center"/>
    </xf>
    <xf numFmtId="3" fontId="14" fillId="0" borderId="0" xfId="49" applyNumberFormat="1" applyFont="1" applyFill="1" applyAlignment="1" applyProtection="1">
      <alignment horizontal="right" vertical="center"/>
      <protection locked="0"/>
    </xf>
    <xf numFmtId="176" fontId="2" fillId="0" borderId="0" xfId="49" applyFont="1" applyFill="1" applyAlignment="1" applyProtection="1">
      <alignment horizontal="center" vertical="center"/>
    </xf>
    <xf numFmtId="0" fontId="15" fillId="0" borderId="0" xfId="49" applyNumberFormat="1" applyFont="1" applyFill="1" applyAlignment="1" applyProtection="1">
      <alignment horizontal="left" vertical="center"/>
    </xf>
    <xf numFmtId="0" fontId="1" fillId="0" borderId="0" xfId="49" applyNumberFormat="1" applyFont="1" applyFill="1" applyAlignment="1" applyProtection="1">
      <alignment horizontal="center" vertical="center"/>
    </xf>
    <xf numFmtId="176" fontId="1" fillId="0" borderId="0" xfId="49" applyFont="1" applyFill="1" applyAlignment="1" applyProtection="1">
      <alignment horizontal="center" vertical="center"/>
    </xf>
    <xf numFmtId="178" fontId="1" fillId="0" borderId="0" xfId="51" applyNumberFormat="1" applyFont="1" applyFill="1" applyAlignment="1" applyProtection="1">
      <alignment horizontal="right" vertical="center"/>
    </xf>
    <xf numFmtId="178" fontId="5" fillId="0" borderId="0" xfId="51" applyNumberFormat="1" applyFont="1" applyFill="1" applyAlignment="1" applyProtection="1">
      <alignment horizontal="left" vertical="center"/>
    </xf>
    <xf numFmtId="1" fontId="6" fillId="0" borderId="1" xfId="51" applyNumberFormat="1" applyFont="1" applyFill="1" applyBorder="1" applyAlignment="1" applyProtection="1">
      <alignment vertical="center"/>
    </xf>
    <xf numFmtId="1" fontId="16" fillId="0" borderId="1" xfId="51" applyNumberFormat="1" applyFont="1" applyFill="1" applyBorder="1" applyAlignment="1" applyProtection="1">
      <alignment horizontal="left" vertical="center"/>
    </xf>
    <xf numFmtId="1" fontId="6" fillId="0" borderId="0" xfId="51" applyNumberFormat="1" applyFont="1" applyFill="1" applyAlignment="1" applyProtection="1">
      <alignment vertical="center"/>
    </xf>
    <xf numFmtId="1" fontId="16" fillId="0" borderId="0" xfId="51" applyNumberFormat="1" applyFont="1" applyFill="1" applyAlignment="1" applyProtection="1">
      <alignment horizontal="left" vertical="center"/>
    </xf>
    <xf numFmtId="1" fontId="6" fillId="0" borderId="0" xfId="49" applyNumberFormat="1" applyFont="1" applyFill="1" applyAlignment="1" applyProtection="1">
      <alignment horizontal="right" vertical="center"/>
      <protection locked="0"/>
    </xf>
    <xf numFmtId="176" fontId="5" fillId="0" borderId="0" xfId="49" applyFont="1" applyFill="1" applyAlignment="1" applyProtection="1">
      <alignment horizontal="left" vertical="center"/>
    </xf>
    <xf numFmtId="9" fontId="17" fillId="0" borderId="0" xfId="3" applyFont="1" applyFill="1" applyAlignment="1" applyProtection="1">
      <alignment horizontal="right" vertical="center"/>
      <protection locked="0"/>
    </xf>
    <xf numFmtId="0" fontId="6" fillId="0" borderId="0" xfId="51" applyNumberFormat="1" applyFont="1" applyFill="1" applyAlignment="1" applyProtection="1">
      <alignment horizontal="right" vertical="center"/>
    </xf>
    <xf numFmtId="177" fontId="1" fillId="0" borderId="0" xfId="51" applyFont="1" applyFill="1" applyAlignment="1" applyProtection="1">
      <alignment horizontal="right" vertical="center"/>
    </xf>
    <xf numFmtId="177" fontId="5" fillId="0" borderId="0" xfId="51" applyFont="1" applyFill="1" applyAlignment="1" applyProtection="1">
      <alignment horizontal="left" vertical="center"/>
    </xf>
    <xf numFmtId="177" fontId="14" fillId="0" borderId="0" xfId="51" applyFont="1" applyFill="1" applyAlignment="1" applyProtection="1">
      <alignment horizontal="right" vertical="center"/>
    </xf>
    <xf numFmtId="177" fontId="18" fillId="0" borderId="0" xfId="51" applyFont="1" applyFill="1" applyAlignment="1" applyProtection="1">
      <alignment horizontal="left" vertical="center"/>
    </xf>
    <xf numFmtId="1" fontId="6" fillId="0" borderId="3" xfId="49" applyNumberFormat="1" applyFont="1" applyFill="1" applyBorder="1" applyAlignment="1" applyProtection="1">
      <alignment horizontal="right" vertical="center"/>
      <protection locked="0"/>
    </xf>
    <xf numFmtId="176" fontId="5" fillId="0" borderId="3" xfId="49" applyFont="1" applyFill="1" applyBorder="1" applyAlignment="1" applyProtection="1">
      <alignment horizontal="left" vertical="center"/>
    </xf>
    <xf numFmtId="9" fontId="17" fillId="0" borderId="3" xfId="3" applyFont="1" applyFill="1" applyBorder="1" applyAlignment="1" applyProtection="1">
      <alignment horizontal="right" vertical="center"/>
      <protection locked="0"/>
    </xf>
    <xf numFmtId="179" fontId="19" fillId="0" borderId="3" xfId="52" applyNumberFormat="1" applyFont="1" applyFill="1" applyBorder="1" applyAlignment="1" applyProtection="1">
      <alignment horizontal="left" vertical="center"/>
      <protection locked="0"/>
    </xf>
    <xf numFmtId="177" fontId="6" fillId="0" borderId="1" xfId="51" applyFont="1" applyFill="1" applyBorder="1" applyAlignment="1" applyProtection="1">
      <alignment horizontal="left" vertical="center" wrapText="1"/>
    </xf>
    <xf numFmtId="177" fontId="1" fillId="0" borderId="0" xfId="51" applyFont="1" applyFill="1" applyAlignment="1" applyProtection="1">
      <alignment horizontal="left" vertical="center" wrapText="1"/>
    </xf>
    <xf numFmtId="0" fontId="0" fillId="0" borderId="0" xfId="0" applyFill="1"/>
    <xf numFmtId="179" fontId="17" fillId="0" borderId="0" xfId="52" applyNumberFormat="1" applyFont="1" applyFill="1" applyAlignment="1" applyProtection="1">
      <alignment horizontal="righ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TABLE1" xfId="49"/>
    <cellStyle name="Hyperlink" xfId="50"/>
    <cellStyle name="Normal_TABLE2" xfId="51"/>
    <cellStyle name="Percent 2" xfId="52"/>
  </cellStyles>
  <dxfs count="19">
    <dxf>
      <font>
        <family val="2"/>
        <color rgb="FFC00000"/>
      </font>
      <fill>
        <patternFill patternType="solid">
          <fgColor rgb="FFFFBEBB"/>
          <bgColor rgb="FFFFBEBB"/>
        </patternFill>
      </fill>
    </dxf>
    <dxf>
      <font>
        <family val="2"/>
        <color rgb="FF006100"/>
      </font>
      <fill>
        <patternFill patternType="solid">
          <fgColor rgb="FFC6EFCE"/>
          <bgColor rgb="FFC6EF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heyijing\Downloads\G:\Health\Veterans\Resettlement%20-%20Official%20Statistic\2016-17%20Report\Analysis\Tables%20using%20weighted%20outputs\ONS%20occupational%20output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2"/>
      <sheetName val="People_(2)2"/>
      <sheetName val="People"/>
      <sheetName val="Men"/>
      <sheetName val="Women"/>
      <sheetName val="People_(2)"/>
      <sheetName val="People_(2)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64"/>
  <sheetViews>
    <sheetView tabSelected="1" workbookViewId="0">
      <selection activeCell="H7" sqref="H7"/>
    </sheetView>
  </sheetViews>
  <sheetFormatPr defaultColWidth="8.86111111111111" defaultRowHeight="15" customHeight="1"/>
  <cols>
    <col min="1" max="1" width="7.71296296296296" style="5" customWidth="1"/>
    <col min="2" max="2" width="4.86111111111111" style="5" customWidth="1"/>
    <col min="3" max="3" width="4.86111111111111" style="6" customWidth="1"/>
    <col min="4" max="4" width="12.712962962963" style="7" customWidth="1"/>
    <col min="5" max="5" width="3.86111111111111" style="6" customWidth="1"/>
    <col min="6" max="6" width="12.712962962963" style="7" customWidth="1"/>
    <col min="7" max="7" width="3.86111111111111" style="6" customWidth="1"/>
    <col min="8" max="8" width="13.287037037037" style="8" customWidth="1"/>
    <col min="9" max="9" width="4.71296296296296" style="6" customWidth="1"/>
    <col min="10" max="10" width="8.86111111111111" style="9" customWidth="1"/>
    <col min="11" max="16384" width="8.86111111111111" style="9"/>
  </cols>
  <sheetData>
    <row r="1" customHeight="1" spans="1:9">
      <c r="A1" s="10"/>
      <c r="B1" s="10"/>
      <c r="C1" s="11"/>
      <c r="D1" s="12" t="s">
        <v>0</v>
      </c>
      <c r="E1" s="12"/>
      <c r="F1" s="13" t="s">
        <v>1</v>
      </c>
      <c r="G1" s="13"/>
      <c r="H1" s="13"/>
      <c r="I1" s="13"/>
    </row>
    <row r="2" s="1" customFormat="1" customHeight="1" spans="1:34">
      <c r="A2" s="14"/>
      <c r="B2" s="15" t="s">
        <v>2</v>
      </c>
      <c r="C2" s="16"/>
      <c r="D2" s="12"/>
      <c r="E2" s="12"/>
      <c r="F2" s="13" t="s">
        <v>3</v>
      </c>
      <c r="G2" s="13"/>
      <c r="H2" s="17" t="s">
        <v>4</v>
      </c>
      <c r="I2" s="17"/>
      <c r="AH2" s="33" t="s">
        <v>5</v>
      </c>
    </row>
    <row r="3" s="2" customFormat="1" customHeight="1" spans="1:34">
      <c r="A3" s="18">
        <v>2010</v>
      </c>
      <c r="B3" s="18"/>
      <c r="C3" s="19"/>
      <c r="D3" s="20">
        <v>59173</v>
      </c>
      <c r="E3" s="21"/>
      <c r="F3" s="20">
        <v>8542</v>
      </c>
      <c r="G3" s="21"/>
      <c r="H3" s="20">
        <v>50631</v>
      </c>
      <c r="I3" s="21"/>
      <c r="AH3" s="4"/>
    </row>
    <row r="4" s="2" customFormat="1" customHeight="1" spans="1:34">
      <c r="A4" s="18">
        <v>2011</v>
      </c>
      <c r="B4" s="18"/>
      <c r="C4" s="19"/>
      <c r="D4" s="20">
        <v>41928</v>
      </c>
      <c r="E4" s="21"/>
      <c r="F4" s="20">
        <v>7823</v>
      </c>
      <c r="G4" s="21"/>
      <c r="H4" s="20">
        <v>34106</v>
      </c>
      <c r="I4" s="21"/>
      <c r="AH4" s="17" t="s">
        <v>6</v>
      </c>
    </row>
    <row r="5" s="2" customFormat="1" customHeight="1" spans="1:34">
      <c r="A5" s="18">
        <v>2012</v>
      </c>
      <c r="B5" s="18"/>
      <c r="C5" s="19"/>
      <c r="D5" s="20">
        <v>31775</v>
      </c>
      <c r="E5" s="21"/>
      <c r="F5" s="20">
        <v>6591</v>
      </c>
      <c r="G5" s="21"/>
      <c r="H5" s="20">
        <v>25184</v>
      </c>
      <c r="I5" s="21"/>
      <c r="AH5" s="17"/>
    </row>
    <row r="6" s="2" customFormat="1" customHeight="1" spans="1:34">
      <c r="A6" s="18">
        <v>2013</v>
      </c>
      <c r="B6" s="18"/>
      <c r="C6" s="19"/>
      <c r="D6" s="20">
        <v>24564</v>
      </c>
      <c r="E6" s="21"/>
      <c r="F6" s="20">
        <v>5377</v>
      </c>
      <c r="G6" s="21"/>
      <c r="H6" s="20">
        <v>19189</v>
      </c>
      <c r="I6" s="21"/>
      <c r="AH6" s="34">
        <v>44</v>
      </c>
    </row>
    <row r="7" s="2" customFormat="1" customHeight="1" spans="1:34">
      <c r="A7" s="18">
        <v>2014</v>
      </c>
      <c r="B7" s="18"/>
      <c r="C7" s="19"/>
      <c r="D7" s="20">
        <v>20339</v>
      </c>
      <c r="E7" s="21"/>
      <c r="F7" s="20">
        <v>4782</v>
      </c>
      <c r="G7" s="21"/>
      <c r="H7" s="20">
        <v>15556</v>
      </c>
      <c r="I7" s="21"/>
      <c r="AH7" s="1"/>
    </row>
    <row r="8" s="2" customFormat="1" customHeight="1" spans="1:34">
      <c r="A8" s="18">
        <v>2015</v>
      </c>
      <c r="B8" s="18"/>
      <c r="C8" s="19"/>
      <c r="D8" s="20">
        <v>15848</v>
      </c>
      <c r="E8" s="21"/>
      <c r="F8" s="20">
        <v>4403</v>
      </c>
      <c r="G8" s="21"/>
      <c r="H8" s="20">
        <v>11446</v>
      </c>
      <c r="I8" s="21"/>
      <c r="AH8" s="35">
        <v>-50631</v>
      </c>
    </row>
    <row r="9" s="2" customFormat="1" customHeight="1" spans="1:34">
      <c r="A9" s="18">
        <v>2016</v>
      </c>
      <c r="B9" s="18"/>
      <c r="C9" s="19"/>
      <c r="D9" s="20">
        <v>15049</v>
      </c>
      <c r="E9" s="21"/>
      <c r="F9" s="20">
        <v>3901</v>
      </c>
      <c r="G9" s="21"/>
      <c r="H9" s="20">
        <v>11148</v>
      </c>
      <c r="I9" s="21"/>
      <c r="AH9" s="35">
        <v>-7250</v>
      </c>
    </row>
    <row r="10" s="2" customFormat="1" customHeight="1" spans="1:34">
      <c r="A10" s="18">
        <v>2017</v>
      </c>
      <c r="B10" s="18"/>
      <c r="C10" s="19"/>
      <c r="D10" s="20">
        <v>15106</v>
      </c>
      <c r="E10" s="21"/>
      <c r="F10" s="20">
        <v>3303</v>
      </c>
      <c r="G10" s="21"/>
      <c r="H10" s="20">
        <v>11804</v>
      </c>
      <c r="I10" s="21"/>
      <c r="AH10" s="35">
        <v>-8503</v>
      </c>
    </row>
    <row r="11" s="2" customFormat="1" customHeight="1" spans="1:34">
      <c r="A11" s="18">
        <v>2018</v>
      </c>
      <c r="B11" s="18"/>
      <c r="C11" s="19"/>
      <c r="D11" s="20">
        <v>16639</v>
      </c>
      <c r="E11" s="21"/>
      <c r="F11" s="20">
        <v>3658</v>
      </c>
      <c r="G11" s="21"/>
      <c r="H11" s="20">
        <v>12982</v>
      </c>
      <c r="I11" s="21"/>
      <c r="M11" s="32"/>
      <c r="AH11" s="35">
        <v>-9360</v>
      </c>
    </row>
    <row r="12" s="2" customFormat="1" customHeight="1" spans="1:34">
      <c r="A12" s="18">
        <v>2019</v>
      </c>
      <c r="B12" s="22"/>
      <c r="C12" s="23"/>
      <c r="D12" s="20">
        <v>16741</v>
      </c>
      <c r="E12" s="21"/>
      <c r="F12" s="20">
        <v>3126</v>
      </c>
      <c r="G12" s="21"/>
      <c r="H12" s="20">
        <v>13615</v>
      </c>
      <c r="I12" s="21"/>
      <c r="AH12" s="35">
        <v>-10528</v>
      </c>
    </row>
    <row r="13" customHeight="1" spans="1:34">
      <c r="A13" s="24"/>
      <c r="B13" s="24"/>
      <c r="C13" s="25"/>
      <c r="D13" s="26"/>
      <c r="E13" s="27"/>
      <c r="F13" s="26"/>
      <c r="G13" s="27"/>
      <c r="H13" s="26"/>
      <c r="I13" s="27"/>
      <c r="AH13" s="35">
        <v>0</v>
      </c>
    </row>
    <row r="14" customHeight="1" spans="1:34">
      <c r="A14" s="28">
        <v>2010</v>
      </c>
      <c r="B14" s="29" t="s">
        <v>7</v>
      </c>
      <c r="C14" s="30"/>
      <c r="D14" s="31">
        <v>17288</v>
      </c>
      <c r="E14" s="27"/>
      <c r="F14" s="31">
        <v>2443</v>
      </c>
      <c r="G14" s="27"/>
      <c r="H14" s="31">
        <v>14820</v>
      </c>
      <c r="I14" s="27"/>
      <c r="AH14" s="35">
        <v>-12307.2192116714</v>
      </c>
    </row>
    <row r="15" customHeight="1" spans="1:34">
      <c r="A15" s="28"/>
      <c r="B15" s="29" t="s">
        <v>8</v>
      </c>
      <c r="C15" s="30"/>
      <c r="D15" s="31">
        <v>15019</v>
      </c>
      <c r="E15" s="27"/>
      <c r="F15" s="31">
        <v>2142</v>
      </c>
      <c r="G15" s="27"/>
      <c r="H15" s="31">
        <v>12898</v>
      </c>
      <c r="I15" s="27"/>
      <c r="AH15" s="35">
        <v>-10713.9452419837</v>
      </c>
    </row>
    <row r="16" customHeight="1" spans="1:34">
      <c r="A16" s="28"/>
      <c r="B16" s="29" t="s">
        <v>9</v>
      </c>
      <c r="C16" s="30"/>
      <c r="D16" s="31">
        <v>14153</v>
      </c>
      <c r="E16" s="27"/>
      <c r="F16" s="31">
        <v>2040</v>
      </c>
      <c r="G16" s="27"/>
      <c r="H16" s="31">
        <v>12005</v>
      </c>
      <c r="I16" s="27"/>
      <c r="AH16" s="35">
        <v>-10040.1777023062</v>
      </c>
    </row>
    <row r="17" customHeight="1" spans="1:34">
      <c r="A17" s="28"/>
      <c r="B17" s="29" t="s">
        <v>10</v>
      </c>
      <c r="C17" s="30"/>
      <c r="D17" s="31">
        <v>12713</v>
      </c>
      <c r="E17" s="27"/>
      <c r="F17" s="31">
        <v>1917</v>
      </c>
      <c r="G17" s="27"/>
      <c r="H17" s="31">
        <v>10908</v>
      </c>
      <c r="I17" s="27"/>
      <c r="AH17" s="35">
        <v>-9027.65784403874</v>
      </c>
    </row>
    <row r="18" customHeight="1" spans="1:34">
      <c r="A18" s="28"/>
      <c r="B18" s="29"/>
      <c r="C18" s="30"/>
      <c r="D18" s="31"/>
      <c r="E18" s="27"/>
      <c r="F18" s="31"/>
      <c r="G18" s="27"/>
      <c r="H18" s="31"/>
      <c r="I18" s="27"/>
      <c r="AH18" s="35"/>
    </row>
    <row r="19" customHeight="1" spans="1:34">
      <c r="A19" s="28">
        <v>2011</v>
      </c>
      <c r="B19" s="29" t="s">
        <v>7</v>
      </c>
      <c r="C19" s="30"/>
      <c r="D19" s="31">
        <v>11966</v>
      </c>
      <c r="E19" s="27"/>
      <c r="F19" s="31">
        <v>1828</v>
      </c>
      <c r="G19" s="27"/>
      <c r="H19" s="31">
        <v>9992</v>
      </c>
      <c r="I19" s="27"/>
      <c r="AH19" s="35"/>
    </row>
    <row r="20" customHeight="1" spans="1:34">
      <c r="A20" s="28"/>
      <c r="B20" s="29" t="s">
        <v>8</v>
      </c>
      <c r="C20" s="30"/>
      <c r="D20" s="31">
        <v>11106</v>
      </c>
      <c r="E20" s="27"/>
      <c r="F20" s="31">
        <v>1913</v>
      </c>
      <c r="G20" s="27"/>
      <c r="H20" s="31">
        <v>9233</v>
      </c>
      <c r="I20" s="27"/>
      <c r="AH20" s="35">
        <v>-7294.49472562923</v>
      </c>
    </row>
    <row r="21" customHeight="1" spans="1:34">
      <c r="A21" s="28"/>
      <c r="B21" s="29" t="s">
        <v>9</v>
      </c>
      <c r="C21" s="30"/>
      <c r="D21" s="31">
        <v>9714</v>
      </c>
      <c r="E21" s="27"/>
      <c r="F21" s="31">
        <v>2103</v>
      </c>
      <c r="G21" s="27"/>
      <c r="H21" s="31">
        <v>7728</v>
      </c>
      <c r="I21" s="27"/>
      <c r="AH21" s="35">
        <v>-5723.70929489793</v>
      </c>
    </row>
    <row r="22" customHeight="1" spans="1:34">
      <c r="A22" s="28"/>
      <c r="B22" s="29" t="s">
        <v>10</v>
      </c>
      <c r="C22" s="30"/>
      <c r="D22" s="31">
        <v>9142</v>
      </c>
      <c r="E22" s="27"/>
      <c r="F22" s="31">
        <v>1979</v>
      </c>
      <c r="G22" s="27"/>
      <c r="H22" s="31">
        <v>7153</v>
      </c>
      <c r="I22" s="27"/>
      <c r="AH22" s="35">
        <v>-5147.57483967504</v>
      </c>
    </row>
    <row r="23" customHeight="1" spans="1:34">
      <c r="A23" s="28"/>
      <c r="B23" s="29"/>
      <c r="C23" s="30"/>
      <c r="D23" s="31"/>
      <c r="E23" s="27"/>
      <c r="F23" s="31"/>
      <c r="G23" s="27"/>
      <c r="H23" s="31"/>
      <c r="I23" s="27"/>
      <c r="AH23" s="35">
        <v>0</v>
      </c>
    </row>
    <row r="24" customHeight="1" spans="1:34">
      <c r="A24" s="28">
        <v>2012</v>
      </c>
      <c r="B24" s="29" t="s">
        <v>7</v>
      </c>
      <c r="C24" s="30"/>
      <c r="D24" s="31">
        <v>8686</v>
      </c>
      <c r="E24" s="27"/>
      <c r="F24" s="31">
        <v>1905</v>
      </c>
      <c r="G24" s="27"/>
      <c r="H24" s="31">
        <v>6833</v>
      </c>
      <c r="I24" s="27"/>
      <c r="AH24" s="35">
        <v>-4975.09641255082</v>
      </c>
    </row>
    <row r="25" customHeight="1" spans="1:34">
      <c r="A25" s="28"/>
      <c r="B25" s="29" t="s">
        <v>8</v>
      </c>
      <c r="C25" s="30"/>
      <c r="D25" s="31">
        <v>8075</v>
      </c>
      <c r="E25" s="27"/>
      <c r="F25" s="31">
        <v>1715</v>
      </c>
      <c r="G25" s="27"/>
      <c r="H25" s="31">
        <v>6398</v>
      </c>
      <c r="I25" s="27"/>
      <c r="AH25" s="35">
        <v>-4690.21375491312</v>
      </c>
    </row>
    <row r="26" customHeight="1" spans="1:34">
      <c r="A26" s="28"/>
      <c r="B26" s="29" t="s">
        <v>9</v>
      </c>
      <c r="C26" s="30"/>
      <c r="D26" s="31">
        <v>7718</v>
      </c>
      <c r="E26" s="27"/>
      <c r="F26" s="31">
        <v>1562</v>
      </c>
      <c r="G26" s="27"/>
      <c r="H26" s="31">
        <v>6157</v>
      </c>
      <c r="I26" s="27"/>
      <c r="AH26" s="35">
        <v>-4613.62882760438</v>
      </c>
    </row>
    <row r="27" customHeight="1" spans="1:34">
      <c r="A27" s="28"/>
      <c r="B27" s="29" t="s">
        <v>10</v>
      </c>
      <c r="C27" s="30"/>
      <c r="D27" s="31">
        <v>7296</v>
      </c>
      <c r="E27" s="27"/>
      <c r="F27" s="31">
        <v>1409</v>
      </c>
      <c r="G27" s="27"/>
      <c r="H27" s="31">
        <v>5796</v>
      </c>
      <c r="I27" s="27"/>
      <c r="AH27" s="35">
        <v>-4318.06100493167</v>
      </c>
    </row>
    <row r="28" customHeight="1" spans="1:34">
      <c r="A28" s="28"/>
      <c r="B28" s="29"/>
      <c r="C28" s="30"/>
      <c r="D28" s="31"/>
      <c r="E28" s="27"/>
      <c r="F28" s="31"/>
      <c r="G28" s="27"/>
      <c r="H28" s="31"/>
      <c r="I28" s="27"/>
      <c r="AH28" s="35">
        <v>0</v>
      </c>
    </row>
    <row r="29" customHeight="1" spans="1:34">
      <c r="A29" s="28">
        <v>2013</v>
      </c>
      <c r="B29" s="29" t="s">
        <v>7</v>
      </c>
      <c r="C29" s="30"/>
      <c r="D29" s="31">
        <v>6460</v>
      </c>
      <c r="E29" s="27"/>
      <c r="F29" s="31">
        <v>1416</v>
      </c>
      <c r="G29" s="27"/>
      <c r="H29" s="31">
        <v>5227</v>
      </c>
      <c r="I29" s="27"/>
      <c r="AH29" s="35">
        <v>-3858.51402408612</v>
      </c>
    </row>
    <row r="30" customHeight="1" spans="1:34">
      <c r="A30" s="28"/>
      <c r="B30" s="29" t="s">
        <v>8</v>
      </c>
      <c r="C30" s="30"/>
      <c r="D30" s="31">
        <v>6365</v>
      </c>
      <c r="E30" s="27"/>
      <c r="F30" s="31">
        <v>1410</v>
      </c>
      <c r="G30" s="27"/>
      <c r="H30" s="31">
        <v>4910</v>
      </c>
      <c r="I30" s="27"/>
      <c r="AH30" s="35">
        <v>-3527.18579446084</v>
      </c>
    </row>
    <row r="31" customHeight="1" spans="1:34">
      <c r="A31" s="28"/>
      <c r="B31" s="29" t="s">
        <v>9</v>
      </c>
      <c r="C31" s="30"/>
      <c r="D31" s="31">
        <v>6036</v>
      </c>
      <c r="E31" s="27"/>
      <c r="F31" s="31">
        <v>1281</v>
      </c>
      <c r="G31" s="27"/>
      <c r="H31" s="31">
        <v>4628</v>
      </c>
      <c r="I31" s="27"/>
      <c r="AH31" s="35">
        <v>-3302.33559626321</v>
      </c>
    </row>
    <row r="32" customHeight="1" spans="1:34">
      <c r="A32" s="28"/>
      <c r="B32" s="29" t="s">
        <v>10</v>
      </c>
      <c r="C32" s="30"/>
      <c r="D32" s="31">
        <v>5703</v>
      </c>
      <c r="E32" s="27"/>
      <c r="F32" s="31">
        <v>1270</v>
      </c>
      <c r="G32" s="27"/>
      <c r="H32" s="31">
        <v>4424</v>
      </c>
      <c r="I32" s="27"/>
      <c r="AH32" s="35">
        <v>-3128.96458518983</v>
      </c>
    </row>
    <row r="33" customHeight="1" spans="1:34">
      <c r="A33" s="28"/>
      <c r="B33" s="29"/>
      <c r="C33" s="30"/>
      <c r="D33" s="31"/>
      <c r="E33" s="27"/>
      <c r="F33" s="31"/>
      <c r="G33" s="27"/>
      <c r="H33" s="31"/>
      <c r="I33" s="27"/>
      <c r="AH33" s="35">
        <v>0</v>
      </c>
    </row>
    <row r="34" customHeight="1" spans="1:34">
      <c r="A34" s="28">
        <v>2014</v>
      </c>
      <c r="B34" s="29" t="s">
        <v>7</v>
      </c>
      <c r="C34" s="30"/>
      <c r="D34" s="31">
        <v>5432</v>
      </c>
      <c r="E34" s="27"/>
      <c r="F34" s="31">
        <v>1249</v>
      </c>
      <c r="G34" s="27"/>
      <c r="H34" s="31">
        <v>4207</v>
      </c>
      <c r="I34" s="27"/>
      <c r="AH34" s="35">
        <v>-2957.83979470069</v>
      </c>
    </row>
    <row r="35" customHeight="1" spans="1:34">
      <c r="A35" s="28"/>
      <c r="B35" s="29" t="s">
        <v>8</v>
      </c>
      <c r="C35" s="30"/>
      <c r="D35" s="31">
        <v>5472</v>
      </c>
      <c r="E35" s="27"/>
      <c r="F35" s="31">
        <v>1315</v>
      </c>
      <c r="G35" s="27"/>
      <c r="H35" s="31">
        <v>4114</v>
      </c>
      <c r="I35" s="27"/>
      <c r="AH35" s="35">
        <v>-2803.20390121772</v>
      </c>
    </row>
    <row r="36" customHeight="1" spans="1:34">
      <c r="A36" s="28"/>
      <c r="B36" s="29" t="s">
        <v>9</v>
      </c>
      <c r="C36" s="30"/>
      <c r="D36" s="31">
        <v>4906</v>
      </c>
      <c r="E36" s="27"/>
      <c r="F36" s="31">
        <v>1168</v>
      </c>
      <c r="G36" s="27"/>
      <c r="H36" s="31">
        <v>3717</v>
      </c>
      <c r="I36" s="27"/>
      <c r="AH36" s="35">
        <v>-2564.2391488888</v>
      </c>
    </row>
    <row r="37" customHeight="1" spans="1:34">
      <c r="A37" s="28"/>
      <c r="B37" s="29" t="s">
        <v>10</v>
      </c>
      <c r="C37" s="30"/>
      <c r="D37" s="31">
        <v>4529</v>
      </c>
      <c r="E37" s="27"/>
      <c r="F37" s="31">
        <v>1050</v>
      </c>
      <c r="G37" s="27"/>
      <c r="H37" s="31">
        <v>3518</v>
      </c>
      <c r="I37" s="27"/>
      <c r="AH37" s="35">
        <v>-2455.71715519278</v>
      </c>
    </row>
    <row r="38" customHeight="1" spans="1:34">
      <c r="A38" s="28"/>
      <c r="B38" s="29"/>
      <c r="C38" s="30"/>
      <c r="D38" s="31"/>
      <c r="E38" s="27"/>
      <c r="F38" s="31"/>
      <c r="G38" s="27"/>
      <c r="H38" s="31"/>
      <c r="I38" s="27"/>
      <c r="AH38" s="35">
        <v>0</v>
      </c>
    </row>
    <row r="39" customHeight="1" spans="1:34">
      <c r="A39" s="28">
        <v>2015</v>
      </c>
      <c r="B39" s="29" t="s">
        <v>7</v>
      </c>
      <c r="C39" s="30"/>
      <c r="D39" s="31">
        <v>4208</v>
      </c>
      <c r="E39" s="27"/>
      <c r="F39" s="31">
        <v>1035</v>
      </c>
      <c r="G39" s="27"/>
      <c r="H39" s="31">
        <v>3141</v>
      </c>
      <c r="I39" s="27"/>
      <c r="AH39" s="35">
        <v>-2078.00050442785</v>
      </c>
    </row>
    <row r="40" customHeight="1" spans="1:34">
      <c r="A40" s="28"/>
      <c r="B40" s="29" t="s">
        <v>8</v>
      </c>
      <c r="C40" s="30"/>
      <c r="D40" s="31">
        <v>3982</v>
      </c>
      <c r="E40" s="27"/>
      <c r="F40" s="31">
        <v>1049</v>
      </c>
      <c r="G40" s="27"/>
      <c r="H40" s="31">
        <v>2902</v>
      </c>
      <c r="I40" s="27"/>
      <c r="AH40" s="35">
        <v>-1854.20297613998</v>
      </c>
    </row>
    <row r="41" customHeight="1" spans="1:34">
      <c r="A41" s="28"/>
      <c r="B41" s="29" t="s">
        <v>9</v>
      </c>
      <c r="C41" s="30"/>
      <c r="D41" s="31">
        <v>3870</v>
      </c>
      <c r="E41" s="27"/>
      <c r="F41" s="31">
        <v>1148</v>
      </c>
      <c r="G41" s="27"/>
      <c r="H41" s="31">
        <v>2766</v>
      </c>
      <c r="I41" s="27"/>
      <c r="AH41" s="35">
        <v>-1632.64045306343</v>
      </c>
    </row>
    <row r="42" customHeight="1" spans="1:34">
      <c r="A42" s="28"/>
      <c r="B42" s="29" t="s">
        <v>10</v>
      </c>
      <c r="C42" s="30"/>
      <c r="D42" s="31">
        <v>3788</v>
      </c>
      <c r="E42" s="27"/>
      <c r="F42" s="31">
        <v>1171</v>
      </c>
      <c r="G42" s="27"/>
      <c r="H42" s="31">
        <v>2637</v>
      </c>
      <c r="I42" s="27"/>
      <c r="AH42" s="35">
        <v>-1470.15606636873</v>
      </c>
    </row>
    <row r="43" customHeight="1" spans="1:34">
      <c r="A43" s="28"/>
      <c r="B43" s="29"/>
      <c r="C43" s="30"/>
      <c r="D43" s="31"/>
      <c r="E43" s="27"/>
      <c r="F43" s="31"/>
      <c r="G43" s="27"/>
      <c r="H43" s="31"/>
      <c r="I43" s="27"/>
      <c r="AH43" s="35">
        <v>0</v>
      </c>
    </row>
    <row r="44" customHeight="1" spans="1:34">
      <c r="A44" s="28">
        <v>2016</v>
      </c>
      <c r="B44" s="29" t="s">
        <v>7</v>
      </c>
      <c r="C44" s="30"/>
      <c r="D44" s="31">
        <v>3637</v>
      </c>
      <c r="E44" s="27"/>
      <c r="F44" s="31">
        <v>1013</v>
      </c>
      <c r="G44" s="27"/>
      <c r="H44" s="31">
        <v>2585</v>
      </c>
      <c r="I44" s="27"/>
      <c r="AH44" s="35">
        <v>-1519.57430359781</v>
      </c>
    </row>
    <row r="45" customHeight="1" spans="1:34">
      <c r="A45" s="28"/>
      <c r="B45" s="29" t="s">
        <v>8</v>
      </c>
      <c r="C45" s="30"/>
      <c r="D45" s="31">
        <v>3656</v>
      </c>
      <c r="E45" s="27"/>
      <c r="F45" s="31">
        <v>938</v>
      </c>
      <c r="G45" s="27"/>
      <c r="H45" s="31">
        <v>2655</v>
      </c>
      <c r="I45" s="27"/>
      <c r="AH45" s="35">
        <v>-1751.00374188415</v>
      </c>
    </row>
    <row r="46" customHeight="1" spans="1:34">
      <c r="A46" s="28"/>
      <c r="B46" s="29" t="s">
        <v>9</v>
      </c>
      <c r="C46" s="30"/>
      <c r="D46" s="31">
        <v>3897</v>
      </c>
      <c r="E46" s="27"/>
      <c r="F46" s="31">
        <v>989</v>
      </c>
      <c r="G46" s="27"/>
      <c r="H46" s="31">
        <v>3008</v>
      </c>
      <c r="I46" s="27"/>
      <c r="AH46" s="35">
        <v>-2072.53386424475</v>
      </c>
    </row>
    <row r="47" customHeight="1" spans="1:34">
      <c r="A47" s="28"/>
      <c r="B47" s="29" t="s">
        <v>10</v>
      </c>
      <c r="C47" s="30"/>
      <c r="D47" s="31">
        <v>3859</v>
      </c>
      <c r="E47" s="27"/>
      <c r="F47" s="31">
        <v>961</v>
      </c>
      <c r="G47" s="27"/>
      <c r="H47" s="31">
        <v>2900</v>
      </c>
      <c r="I47" s="27"/>
      <c r="AH47" s="35">
        <v>-1906.88809027329</v>
      </c>
    </row>
    <row r="48" customHeight="1" spans="1:34">
      <c r="A48" s="28"/>
      <c r="B48" s="29"/>
      <c r="C48" s="30"/>
      <c r="D48" s="31"/>
      <c r="E48" s="27"/>
      <c r="F48" s="31"/>
      <c r="G48" s="27"/>
      <c r="H48" s="31"/>
      <c r="I48" s="27"/>
      <c r="AH48" s="35">
        <v>0</v>
      </c>
    </row>
    <row r="49" customHeight="1" spans="1:34">
      <c r="A49" s="28">
        <v>2017</v>
      </c>
      <c r="B49" s="29" t="s">
        <v>7</v>
      </c>
      <c r="C49" s="30"/>
      <c r="D49" s="31">
        <v>3852</v>
      </c>
      <c r="E49" s="27"/>
      <c r="F49" s="31">
        <v>819</v>
      </c>
      <c r="G49" s="27"/>
      <c r="H49" s="31">
        <v>2968</v>
      </c>
      <c r="I49" s="27"/>
      <c r="AH49" s="35">
        <v>-2111.48061366928</v>
      </c>
    </row>
    <row r="50" customHeight="1" spans="1:34">
      <c r="A50" s="28"/>
      <c r="B50" s="29" t="s">
        <v>8</v>
      </c>
      <c r="C50" s="30"/>
      <c r="D50" s="31">
        <v>3732</v>
      </c>
      <c r="E50" s="27"/>
      <c r="F50" s="31">
        <v>827</v>
      </c>
      <c r="G50" s="27"/>
      <c r="H50" s="31">
        <v>2884</v>
      </c>
      <c r="I50" s="27"/>
      <c r="AH50" s="35">
        <v>-2097.66471477503</v>
      </c>
    </row>
    <row r="51" customHeight="1" spans="1:34">
      <c r="A51" s="28"/>
      <c r="B51" s="29" t="s">
        <v>9</v>
      </c>
      <c r="C51" s="30"/>
      <c r="D51" s="31">
        <v>3706</v>
      </c>
      <c r="E51" s="27"/>
      <c r="F51" s="31">
        <v>822</v>
      </c>
      <c r="G51" s="27"/>
      <c r="H51" s="31">
        <v>2936</v>
      </c>
      <c r="I51" s="27"/>
      <c r="AH51" s="35">
        <v>-2149.58659438008</v>
      </c>
    </row>
    <row r="52" customHeight="1" spans="1:34">
      <c r="A52" s="28"/>
      <c r="B52" s="29" t="s">
        <v>10</v>
      </c>
      <c r="C52" s="30"/>
      <c r="D52" s="31">
        <v>3816</v>
      </c>
      <c r="E52" s="27"/>
      <c r="F52" s="31">
        <v>835</v>
      </c>
      <c r="G52" s="27"/>
      <c r="H52" s="31">
        <v>3016</v>
      </c>
      <c r="I52" s="27"/>
      <c r="AH52" s="35">
        <v>-2144.2680771756</v>
      </c>
    </row>
    <row r="53" customHeight="1" spans="1:34">
      <c r="A53" s="28"/>
      <c r="B53" s="29"/>
      <c r="C53" s="30"/>
      <c r="D53" s="31"/>
      <c r="E53" s="27"/>
      <c r="F53" s="31"/>
      <c r="G53" s="27"/>
      <c r="H53" s="31"/>
      <c r="I53" s="27"/>
      <c r="AH53" s="35">
        <v>0</v>
      </c>
    </row>
    <row r="54" customHeight="1" spans="1:34">
      <c r="A54" s="28">
        <v>2018</v>
      </c>
      <c r="B54" s="29" t="s">
        <v>7</v>
      </c>
      <c r="C54" s="30"/>
      <c r="D54" s="31">
        <v>4177</v>
      </c>
      <c r="E54" s="27"/>
      <c r="F54" s="31">
        <v>895</v>
      </c>
      <c r="G54" s="27"/>
      <c r="H54" s="31">
        <v>3196</v>
      </c>
      <c r="I54" s="27"/>
      <c r="AH54" s="35">
        <v>-2248.19581696277</v>
      </c>
    </row>
    <row r="55" customHeight="1" spans="1:34">
      <c r="A55" s="28"/>
      <c r="B55" s="29" t="s">
        <v>8</v>
      </c>
      <c r="C55" s="30"/>
      <c r="D55" s="31">
        <v>4052</v>
      </c>
      <c r="E55" s="27"/>
      <c r="F55" s="31">
        <v>960</v>
      </c>
      <c r="G55" s="27"/>
      <c r="H55" s="31">
        <v>3107</v>
      </c>
      <c r="I55" s="27"/>
      <c r="AH55" s="35">
        <v>-2247.78102943188</v>
      </c>
    </row>
    <row r="56" customHeight="1" spans="1:34">
      <c r="A56" s="28"/>
      <c r="B56" s="29" t="s">
        <v>9</v>
      </c>
      <c r="C56" s="30"/>
      <c r="D56" s="31">
        <v>4176</v>
      </c>
      <c r="E56" s="27"/>
      <c r="F56" s="31">
        <v>1001</v>
      </c>
      <c r="G56" s="27"/>
      <c r="H56" s="31">
        <v>3290</v>
      </c>
      <c r="I56" s="27"/>
      <c r="AH56" s="35">
        <v>-2352.904063051</v>
      </c>
    </row>
    <row r="57" customHeight="1" spans="1:34">
      <c r="A57" s="28"/>
      <c r="B57" s="29" t="s">
        <v>10</v>
      </c>
      <c r="C57" s="30"/>
      <c r="D57" s="31">
        <v>4234</v>
      </c>
      <c r="E57" s="27"/>
      <c r="F57" s="31">
        <v>802</v>
      </c>
      <c r="G57" s="27"/>
      <c r="H57" s="31">
        <v>3389</v>
      </c>
      <c r="I57" s="27"/>
      <c r="AH57" s="35">
        <v>-2511.11909055435</v>
      </c>
    </row>
    <row r="58" customHeight="1" spans="1:34">
      <c r="A58" s="28"/>
      <c r="B58" s="29"/>
      <c r="C58" s="30"/>
      <c r="D58" s="31"/>
      <c r="E58" s="27"/>
      <c r="F58" s="31"/>
      <c r="G58" s="27"/>
      <c r="H58" s="31"/>
      <c r="I58" s="27"/>
      <c r="AH58" s="35"/>
    </row>
    <row r="59" customHeight="1" spans="1:34">
      <c r="A59" s="28">
        <v>2019</v>
      </c>
      <c r="B59" s="29" t="s">
        <v>7</v>
      </c>
      <c r="C59" s="30"/>
      <c r="D59" s="31">
        <v>4182</v>
      </c>
      <c r="E59" s="27"/>
      <c r="F59" s="31">
        <v>753</v>
      </c>
      <c r="G59" s="27"/>
      <c r="H59" s="31">
        <v>3345</v>
      </c>
      <c r="I59" s="27"/>
      <c r="AH59" s="35"/>
    </row>
    <row r="60" customHeight="1" spans="1:34">
      <c r="A60" s="28"/>
      <c r="B60" s="29" t="s">
        <v>8</v>
      </c>
      <c r="C60" s="30"/>
      <c r="D60" s="31">
        <v>4236</v>
      </c>
      <c r="E60" s="27"/>
      <c r="F60" s="31">
        <v>914</v>
      </c>
      <c r="G60" s="27"/>
      <c r="H60" s="31">
        <v>3376</v>
      </c>
      <c r="I60" s="27"/>
      <c r="AH60" s="35"/>
    </row>
    <row r="61" customHeight="1" spans="1:34">
      <c r="A61" s="28"/>
      <c r="B61" s="29" t="s">
        <v>9</v>
      </c>
      <c r="C61" s="30"/>
      <c r="D61" s="31">
        <v>4161</v>
      </c>
      <c r="E61" s="27"/>
      <c r="F61" s="31">
        <v>786</v>
      </c>
      <c r="G61" s="27"/>
      <c r="H61" s="31">
        <v>3409</v>
      </c>
      <c r="I61" s="27"/>
      <c r="AH61" s="35"/>
    </row>
    <row r="62" customHeight="1" spans="1:34">
      <c r="A62" s="29"/>
      <c r="B62" s="29" t="s">
        <v>10</v>
      </c>
      <c r="C62" s="30"/>
      <c r="D62" s="31">
        <v>4162</v>
      </c>
      <c r="E62" s="27"/>
      <c r="F62" s="31">
        <v>673</v>
      </c>
      <c r="G62" s="27"/>
      <c r="H62" s="31">
        <v>3485</v>
      </c>
      <c r="I62" s="27"/>
      <c r="AH62" s="35"/>
    </row>
    <row r="63" customHeight="1" spans="1:34">
      <c r="A63" s="28"/>
      <c r="B63" s="29"/>
      <c r="C63" s="30"/>
      <c r="D63" s="31"/>
      <c r="E63" s="27"/>
      <c r="F63" s="31"/>
      <c r="G63" s="27"/>
      <c r="H63" s="31"/>
      <c r="I63" s="27"/>
      <c r="AH63" s="35">
        <v>0</v>
      </c>
    </row>
    <row r="64" customHeight="1" spans="1:34">
      <c r="A64" s="28">
        <v>2020</v>
      </c>
      <c r="B64" s="29" t="s">
        <v>7</v>
      </c>
      <c r="C64" s="30"/>
      <c r="D64" s="31">
        <v>4282</v>
      </c>
      <c r="E64" s="27"/>
      <c r="F64" s="31">
        <v>504</v>
      </c>
      <c r="G64" s="27"/>
      <c r="H64" s="31">
        <v>3651</v>
      </c>
      <c r="I64" s="27"/>
      <c r="AH64" s="35">
        <v>-2523.4850341658</v>
      </c>
    </row>
    <row r="65" customHeight="1" spans="1:34">
      <c r="A65" s="28"/>
      <c r="B65" s="29" t="s">
        <v>8</v>
      </c>
      <c r="C65" s="30" t="s">
        <v>11</v>
      </c>
      <c r="D65" s="31">
        <v>2415</v>
      </c>
      <c r="E65" s="27"/>
      <c r="F65" s="31">
        <v>172</v>
      </c>
      <c r="G65" s="27"/>
      <c r="H65" s="31">
        <v>2299</v>
      </c>
      <c r="I65" s="27"/>
      <c r="AH65" s="35">
        <v>-2552.50516742661</v>
      </c>
    </row>
    <row r="66" customHeight="1" spans="1:34">
      <c r="A66" s="29"/>
      <c r="B66" s="36"/>
      <c r="C66" s="37"/>
      <c r="D66" s="31"/>
      <c r="E66" s="27"/>
      <c r="F66" s="31"/>
      <c r="G66" s="27"/>
      <c r="H66" s="31"/>
      <c r="I66" s="27"/>
      <c r="AH66" s="35"/>
    </row>
    <row r="67" customHeight="1" spans="1:34">
      <c r="A67" s="38" t="s">
        <v>12</v>
      </c>
      <c r="B67" s="38"/>
      <c r="C67" s="39"/>
      <c r="D67" s="38"/>
      <c r="E67" s="39"/>
      <c r="F67" s="38"/>
      <c r="G67" s="39"/>
      <c r="H67" s="38"/>
      <c r="I67" s="39"/>
      <c r="J67" s="40"/>
      <c r="AH67" s="35"/>
    </row>
    <row r="68" customHeight="1" spans="1:34">
      <c r="A68" s="40"/>
      <c r="B68" s="40"/>
      <c r="C68" s="41"/>
      <c r="D68" s="40"/>
      <c r="E68" s="41"/>
      <c r="F68" s="40"/>
      <c r="G68" s="41"/>
      <c r="H68" s="40"/>
      <c r="I68" s="41"/>
      <c r="J68" s="40"/>
      <c r="AH68" s="35"/>
    </row>
    <row r="69" customHeight="1" spans="1:34">
      <c r="A69" s="42">
        <v>2020</v>
      </c>
      <c r="B69" s="42" t="s">
        <v>7</v>
      </c>
      <c r="C69" s="43"/>
      <c r="D69" s="44">
        <v>-0.436011209715086</v>
      </c>
      <c r="E69" s="41"/>
      <c r="F69" s="44">
        <v>-0.658730158730159</v>
      </c>
      <c r="G69" s="41"/>
      <c r="H69" s="44">
        <v>-0.370309504245412</v>
      </c>
      <c r="I69" s="41"/>
      <c r="J69" s="44"/>
      <c r="AH69" s="35"/>
    </row>
    <row r="70" customHeight="1" spans="1:34">
      <c r="A70" s="45"/>
      <c r="B70" s="46"/>
      <c r="C70" s="47"/>
      <c r="D70" s="48"/>
      <c r="E70" s="49"/>
      <c r="F70" s="48"/>
      <c r="G70" s="49"/>
      <c r="H70" s="48"/>
      <c r="I70" s="49"/>
      <c r="J70" s="48"/>
      <c r="AH70" s="35"/>
    </row>
    <row r="71" customHeight="1" spans="1:34">
      <c r="A71" s="50">
        <v>2019</v>
      </c>
      <c r="B71" s="50" t="s">
        <v>8</v>
      </c>
      <c r="C71" s="51"/>
      <c r="D71" s="52">
        <f t="shared" ref="D71:H71" si="0">D65/D60-1</f>
        <v>-0.429886685552408</v>
      </c>
      <c r="E71" s="53"/>
      <c r="F71" s="52">
        <f t="shared" si="0"/>
        <v>-0.811816192560175</v>
      </c>
      <c r="G71" s="53"/>
      <c r="H71" s="52">
        <f t="shared" si="0"/>
        <v>-0.319016587677725</v>
      </c>
      <c r="I71" s="53"/>
      <c r="J71" s="57"/>
      <c r="AH71" s="35"/>
    </row>
    <row r="72" s="3" customFormat="1" customHeight="1" spans="1:34">
      <c r="A72" s="54" t="s">
        <v>13</v>
      </c>
      <c r="B72" s="54"/>
      <c r="C72" s="54"/>
      <c r="D72" s="54"/>
      <c r="E72" s="54"/>
      <c r="F72" s="54"/>
      <c r="G72" s="54"/>
      <c r="H72" s="54"/>
      <c r="I72" s="54"/>
      <c r="AH72" s="35"/>
    </row>
    <row r="73" s="3" customFormat="1" customHeight="1" spans="1:34">
      <c r="A73" s="55" t="s">
        <v>14</v>
      </c>
      <c r="B73" s="55"/>
      <c r="C73" s="55"/>
      <c r="D73" s="55"/>
      <c r="E73" s="55"/>
      <c r="F73" s="55"/>
      <c r="G73" s="55"/>
      <c r="H73" s="55"/>
      <c r="I73" s="55"/>
      <c r="J73" s="56"/>
      <c r="K73" s="56"/>
      <c r="AH73" s="35"/>
    </row>
    <row r="74" s="3" customFormat="1" ht="27" customHeight="1" spans="1:34">
      <c r="A74" s="55" t="s">
        <v>15</v>
      </c>
      <c r="B74" s="55"/>
      <c r="C74" s="55"/>
      <c r="D74" s="55"/>
      <c r="E74" s="55"/>
      <c r="F74" s="55"/>
      <c r="G74" s="55"/>
      <c r="H74" s="55"/>
      <c r="I74" s="55"/>
      <c r="AH74" s="35"/>
    </row>
    <row r="75" s="3" customFormat="1" customHeight="1" spans="1:34">
      <c r="A75" s="55" t="s">
        <v>16</v>
      </c>
      <c r="B75" s="55"/>
      <c r="C75" s="55"/>
      <c r="D75" s="55"/>
      <c r="E75" s="55"/>
      <c r="F75" s="55"/>
      <c r="G75" s="55"/>
      <c r="H75" s="55"/>
      <c r="I75" s="55"/>
      <c r="AH75" s="35"/>
    </row>
    <row r="76" s="3" customFormat="1" customHeight="1" spans="1:34">
      <c r="A76" s="55" t="s">
        <v>17</v>
      </c>
      <c r="B76" s="55"/>
      <c r="C76" s="55"/>
      <c r="D76" s="55"/>
      <c r="E76" s="55"/>
      <c r="F76" s="55"/>
      <c r="G76" s="55"/>
      <c r="H76" s="55"/>
      <c r="I76" s="55"/>
      <c r="AH76" s="35"/>
    </row>
    <row r="77" s="4" customFormat="1" customHeight="1" spans="1:34">
      <c r="A77" s="56"/>
      <c r="B77" s="56"/>
      <c r="C77" s="56"/>
      <c r="D77" s="56"/>
      <c r="E77" s="56"/>
      <c r="F77" s="56"/>
      <c r="G77" s="56"/>
      <c r="H77" s="56"/>
      <c r="I77" s="56"/>
      <c r="AH77" s="35"/>
    </row>
    <row r="78" s="4" customFormat="1" customHeight="1" spans="1:34">
      <c r="A78" s="56"/>
      <c r="B78" s="56"/>
      <c r="C78" s="56"/>
      <c r="D78" s="56"/>
      <c r="E78" s="56"/>
      <c r="F78" s="56"/>
      <c r="G78" s="56"/>
      <c r="H78" s="56"/>
      <c r="I78" s="56"/>
      <c r="AH78" s="35"/>
    </row>
    <row r="79" customHeight="1" spans="1:34">
      <c r="A79" s="56"/>
      <c r="B79" s="56"/>
      <c r="C79" s="56"/>
      <c r="D79" s="56"/>
      <c r="E79" s="56"/>
      <c r="F79" s="56"/>
      <c r="G79" s="56"/>
      <c r="H79" s="56"/>
      <c r="I79" s="56"/>
      <c r="AH79" s="35"/>
    </row>
    <row r="80" customHeight="1" spans="1:34">
      <c r="A80" s="56"/>
      <c r="B80" s="56"/>
      <c r="C80" s="56"/>
      <c r="D80" s="56"/>
      <c r="E80" s="56"/>
      <c r="F80" s="56"/>
      <c r="G80" s="56"/>
      <c r="H80" s="56"/>
      <c r="I80" s="56"/>
      <c r="AH80" s="35"/>
    </row>
    <row r="81" customHeight="1" spans="1:34">
      <c r="A81" s="56"/>
      <c r="B81" s="56"/>
      <c r="C81" s="56"/>
      <c r="D81" s="56"/>
      <c r="E81" s="56"/>
      <c r="F81" s="56"/>
      <c r="G81" s="56"/>
      <c r="H81" s="56"/>
      <c r="I81" s="56"/>
      <c r="AH81" s="35"/>
    </row>
    <row r="82" customHeight="1" spans="1:34">
      <c r="A82" s="56"/>
      <c r="B82" s="56"/>
      <c r="C82" s="56"/>
      <c r="D82" s="56"/>
      <c r="E82" s="56"/>
      <c r="F82" s="56"/>
      <c r="G82" s="56"/>
      <c r="H82" s="56"/>
      <c r="I82" s="56"/>
      <c r="AH82" s="35"/>
    </row>
    <row r="83" customHeight="1" spans="1:34">
      <c r="A83" s="56"/>
      <c r="B83" s="56"/>
      <c r="C83" s="56"/>
      <c r="D83" s="56"/>
      <c r="E83" s="56"/>
      <c r="F83" s="56"/>
      <c r="G83" s="56"/>
      <c r="H83" s="56"/>
      <c r="I83" s="56"/>
      <c r="AH83" s="35"/>
    </row>
    <row r="84" customHeight="1" spans="1:34">
      <c r="A84" s="56"/>
      <c r="B84" s="56"/>
      <c r="C84" s="56"/>
      <c r="D84" s="56"/>
      <c r="E84" s="56"/>
      <c r="F84" s="56"/>
      <c r="G84" s="56"/>
      <c r="H84" s="56"/>
      <c r="I84" s="56"/>
      <c r="AH84" s="35"/>
    </row>
    <row r="85" customHeight="1" spans="34:34">
      <c r="AH85" s="35"/>
    </row>
    <row r="86" customHeight="1" spans="34:34">
      <c r="AH86" s="35"/>
    </row>
    <row r="87" customHeight="1" spans="34:34">
      <c r="AH87" s="35"/>
    </row>
    <row r="88" customHeight="1" spans="34:34">
      <c r="AH88" s="35"/>
    </row>
    <row r="89" customHeight="1" spans="34:34">
      <c r="AH89" s="35"/>
    </row>
    <row r="90" customHeight="1" spans="34:34">
      <c r="AH90" s="35"/>
    </row>
    <row r="91" customHeight="1" spans="34:34">
      <c r="AH91" s="35"/>
    </row>
    <row r="92" customHeight="1" spans="34:34">
      <c r="AH92" s="35"/>
    </row>
    <row r="93" customHeight="1" spans="34:34">
      <c r="AH93" s="35"/>
    </row>
    <row r="94" customHeight="1" spans="34:34">
      <c r="AH94" s="35"/>
    </row>
    <row r="95" customHeight="1" spans="34:34">
      <c r="AH95" s="35"/>
    </row>
    <row r="96" customHeight="1" spans="34:34">
      <c r="AH96" s="35"/>
    </row>
    <row r="97" customHeight="1" spans="34:34">
      <c r="AH97" s="35"/>
    </row>
    <row r="98" customHeight="1" spans="34:34">
      <c r="AH98" s="35"/>
    </row>
    <row r="99" customHeight="1" spans="34:34">
      <c r="AH99" s="35"/>
    </row>
    <row r="100" customHeight="1" spans="34:34">
      <c r="AH100" s="35"/>
    </row>
    <row r="101" customHeight="1" spans="34:34">
      <c r="AH101" s="35"/>
    </row>
    <row r="102" customHeight="1" spans="34:34">
      <c r="AH102" s="35"/>
    </row>
    <row r="103" customHeight="1" spans="34:34">
      <c r="AH103" s="35"/>
    </row>
    <row r="104" customHeight="1" spans="34:34">
      <c r="AH104" s="35"/>
    </row>
    <row r="105" customHeight="1" spans="34:34">
      <c r="AH105" s="35"/>
    </row>
    <row r="106" customHeight="1" spans="34:34">
      <c r="AH106" s="35"/>
    </row>
    <row r="107" customHeight="1" spans="34:34">
      <c r="AH107" s="35"/>
    </row>
    <row r="108" customHeight="1" spans="34:34">
      <c r="AH108" s="35"/>
    </row>
    <row r="109" customHeight="1" spans="34:34">
      <c r="AH109" s="35"/>
    </row>
    <row r="110" customHeight="1" spans="34:34">
      <c r="AH110" s="35"/>
    </row>
    <row r="111" customHeight="1" spans="34:34">
      <c r="AH111" s="35"/>
    </row>
    <row r="112" customHeight="1" spans="34:34">
      <c r="AH112" s="35"/>
    </row>
    <row r="113" customHeight="1" spans="34:34">
      <c r="AH113" s="35"/>
    </row>
    <row r="114" customHeight="1" spans="34:34">
      <c r="AH114" s="35"/>
    </row>
    <row r="115" customHeight="1" spans="34:34">
      <c r="AH115" s="35"/>
    </row>
    <row r="116" customHeight="1" spans="34:34">
      <c r="AH116" s="35"/>
    </row>
    <row r="117" customHeight="1" spans="34:34">
      <c r="AH117" s="35"/>
    </row>
    <row r="118" customHeight="1" spans="34:34">
      <c r="AH118" s="35"/>
    </row>
    <row r="119" customHeight="1" spans="34:34">
      <c r="AH119" s="35"/>
    </row>
    <row r="120" customHeight="1" spans="34:34">
      <c r="AH120" s="35"/>
    </row>
    <row r="121" customHeight="1" spans="34:34">
      <c r="AH121" s="35"/>
    </row>
    <row r="122" customHeight="1" spans="34:34">
      <c r="AH122" s="35"/>
    </row>
    <row r="123" customHeight="1" spans="34:34">
      <c r="AH123" s="35"/>
    </row>
    <row r="124" customHeight="1" spans="34:34">
      <c r="AH124" s="35"/>
    </row>
    <row r="125" customHeight="1" spans="34:34">
      <c r="AH125" s="35"/>
    </row>
    <row r="126" customHeight="1" spans="34:34">
      <c r="AH126" s="35"/>
    </row>
    <row r="127" customHeight="1" spans="34:34">
      <c r="AH127" s="35"/>
    </row>
    <row r="128" customHeight="1" spans="34:34">
      <c r="AH128" s="35"/>
    </row>
    <row r="129" customHeight="1" spans="34:34">
      <c r="AH129" s="35"/>
    </row>
    <row r="130" customHeight="1" spans="34:34">
      <c r="AH130" s="35"/>
    </row>
    <row r="131" customHeight="1" spans="34:34">
      <c r="AH131" s="35"/>
    </row>
    <row r="132" customHeight="1" spans="34:34">
      <c r="AH132" s="35"/>
    </row>
    <row r="133" customHeight="1" spans="34:34">
      <c r="AH133" s="35"/>
    </row>
    <row r="134" customHeight="1" spans="34:34">
      <c r="AH134" s="35"/>
    </row>
    <row r="135" customHeight="1" spans="34:34">
      <c r="AH135" s="35"/>
    </row>
    <row r="136" customHeight="1" spans="34:34">
      <c r="AH136" s="35"/>
    </row>
    <row r="137" customHeight="1" spans="34:34">
      <c r="AH137" s="35"/>
    </row>
    <row r="138" customHeight="1" spans="34:34">
      <c r="AH138" s="35"/>
    </row>
    <row r="139" customHeight="1" spans="34:34">
      <c r="AH139" s="35"/>
    </row>
    <row r="140" customHeight="1" spans="34:34">
      <c r="AH140" s="35"/>
    </row>
    <row r="141" customHeight="1" spans="34:34">
      <c r="AH141" s="35"/>
    </row>
    <row r="142" customHeight="1" spans="34:34">
      <c r="AH142" s="35"/>
    </row>
    <row r="143" customHeight="1" spans="34:34">
      <c r="AH143" s="35"/>
    </row>
    <row r="144" customHeight="1" spans="34:34">
      <c r="AH144" s="35"/>
    </row>
    <row r="145" customHeight="1" spans="34:34">
      <c r="AH145" s="35"/>
    </row>
    <row r="146" customHeight="1" spans="34:34">
      <c r="AH146" s="35"/>
    </row>
    <row r="147" customHeight="1" spans="34:34">
      <c r="AH147" s="35"/>
    </row>
    <row r="148" customHeight="1" spans="34:34">
      <c r="AH148" s="35"/>
    </row>
    <row r="149" customHeight="1" spans="34:34">
      <c r="AH149" s="35"/>
    </row>
    <row r="150" customHeight="1" spans="34:34">
      <c r="AH150" s="35"/>
    </row>
    <row r="151" customHeight="1" spans="34:34">
      <c r="AH151" s="35"/>
    </row>
    <row r="152" customHeight="1" spans="34:34">
      <c r="AH152" s="35"/>
    </row>
    <row r="153" customHeight="1" spans="34:34">
      <c r="AH153" s="35"/>
    </row>
    <row r="154" customHeight="1" spans="34:34">
      <c r="AH154" s="35"/>
    </row>
    <row r="155" customHeight="1" spans="34:34">
      <c r="AH155" s="35"/>
    </row>
    <row r="156" customHeight="1" spans="34:34">
      <c r="AH156" s="35"/>
    </row>
    <row r="157" customHeight="1" spans="34:34">
      <c r="AH157" s="35"/>
    </row>
    <row r="158" customHeight="1" spans="34:34">
      <c r="AH158" s="35"/>
    </row>
    <row r="159" customHeight="1" spans="34:34">
      <c r="AH159" s="35"/>
    </row>
    <row r="160" customHeight="1" spans="34:34">
      <c r="AH160" s="35"/>
    </row>
    <row r="161" customHeight="1" spans="34:34">
      <c r="AH161" s="35"/>
    </row>
    <row r="162" customHeight="1" spans="34:34">
      <c r="AH162" s="35"/>
    </row>
    <row r="163" customHeight="1" spans="34:34">
      <c r="AH163" s="35"/>
    </row>
    <row r="164" customHeight="1" spans="34:34">
      <c r="AH164" s="35"/>
    </row>
  </sheetData>
  <mergeCells count="19">
    <mergeCell ref="F1:I1"/>
    <mergeCell ref="F2:G2"/>
    <mergeCell ref="H2:I2"/>
    <mergeCell ref="A72:I72"/>
    <mergeCell ref="A73:I73"/>
    <mergeCell ref="J73:K73"/>
    <mergeCell ref="A74:I74"/>
    <mergeCell ref="A75:I75"/>
    <mergeCell ref="A76:I76"/>
    <mergeCell ref="A77:I77"/>
    <mergeCell ref="A78:I78"/>
    <mergeCell ref="A79:I79"/>
    <mergeCell ref="A80:I80"/>
    <mergeCell ref="A81:I81"/>
    <mergeCell ref="A82:I82"/>
    <mergeCell ref="A83:I83"/>
    <mergeCell ref="A84:I84"/>
    <mergeCell ref="AH4:AH5"/>
    <mergeCell ref="D1:E2"/>
  </mergeCells>
  <conditionalFormatting sqref="AH6 AH20:AH65 AH8:AH17">
    <cfRule type="cellIs" dxfId="0" priority="1" stopIfTrue="1" operator="notEqual">
      <formula>0</formula>
    </cfRule>
    <cfRule type="cellIs" dxfId="1" priority="2" stopIfTrue="1" operator="equal">
      <formula>0</formula>
    </cfRule>
  </conditionalFormatting>
  <printOptions horizontalCentered="1" verticalCentered="1"/>
  <pageMargins left="0.196850393700787" right="0.196850393700787" top="0.196850393700787" bottom="0.196850393700787" header="0.196850393700787" footer="0.196850393700787"/>
  <pageSetup paperSize="9" scale="6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Table_3a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吴鹏佐</cp:lastModifiedBy>
  <dcterms:created xsi:type="dcterms:W3CDTF">2025-01-16T20:03:00Z</dcterms:created>
  <dcterms:modified xsi:type="dcterms:W3CDTF">2025-01-18T02:14:10Z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C24FCD25319A926320EC88675AC08BBB_43</vt:lpwstr>
  </property>
  <property fmtid="{D5CDD505-2E9C-101B-9397-08002B2CF9AE}" pid="3" name="KSOProductBuildVer">
    <vt:lpwstr>2052-12.1.0.19302</vt:lpwstr>
  </property>
</Properties>
</file>