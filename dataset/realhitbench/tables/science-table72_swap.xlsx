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00" windowHeight="11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<sst xmlns="http://schemas.openxmlformats.org/spreadsheetml/2006/main" count="28" uniqueCount="22">
  <si>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Pr2</t>
  </si>
  <si>
    <t>Pr1</t>
  </si>
  <si>
    <t>Oct1 probe</t>
  </si>
  <si>
    <t>Pr1/Oct1</t>
  </si>
  <si>
    <t>Pr2/Oct1</t>
  </si>
  <si>
    <t>Area</t>
  </si>
  <si>
    <t>Intensity</t>
  </si>
  <si>
    <t>Intensity/Area</t>
  </si>
  <si>
    <t>Set 1</t>
  </si>
  <si>
    <t>LPS 0h</t>
  </si>
  <si>
    <t>Set 2</t>
  </si>
  <si>
    <t>LPS 0.5 h</t>
  </si>
  <si>
    <t>Set 3</t>
  </si>
  <si>
    <t>LPS 1h</t>
  </si>
  <si>
    <t>Set 4</t>
  </si>
  <si>
    <t>LPS 3h</t>
  </si>
  <si>
    <t>Set 5</t>
  </si>
  <si>
    <t>LPS 6h</t>
  </si>
  <si>
    <t>Set 6</t>
  </si>
  <si>
    <t>LPS 12h</t>
  </si>
  <si>
    <t>Set 7</t>
  </si>
  <si>
    <t>LPS 24h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</si>
</sst>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2" applyNumberFormat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3" xfId="0" applyFill="1" applyBorder="1" applyAlignment="1"/>
    <xf numFmtId="0" fontId="0" fillId="0" borderId="0" xfId="0" applyFill="1" applyBorder="1" applyAlignment="1"/>
    <xf numFmtId="0" fontId="0" fillId="0" borderId="3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4" xfId="0" applyFill="1" applyBorder="1" applyAlignment="1"/>
    <xf numFmtId="0" fontId="0" fillId="0" borderId="5" xfId="0" applyFill="1" applyBorder="1" applyAlignment="1"/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0" fillId="0" borderId="7" xfId="0" applyFill="1" applyBorder="1" applyAlignment="1"/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17" fontId="1" fillId="0" borderId="2" xfId="0" applyNumberFormat="1" applyFont="1" applyFill="1" applyBorder="1" applyAlignment="1">
      <alignment horizontal="center"/>
    </xf>
    <xf numFmtId="17" fontId="1" fillId="0" borderId="1" xfId="0" applyNumberFormat="1" applyFont="1" applyFill="1" applyBorder="1" applyAlignment="1">
      <alignment horizontal="center"/>
    </xf>
    <xf numFmtId="17" fontId="1" fillId="0" borderId="2" xfId="0" applyNumberFormat="1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17" fontId="1" fillId="0" borderId="6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tabSelected="1" workbookViewId="0">
      <selection activeCell="F12" sqref="F12"/>
    </sheetView>
  </sheetViews>
  <sheetFormatPr defaultColWidth="8.73076923076923" defaultRowHeight="16.8"/>
  <cols>
    <col min="1" max="1" width="6.54807692307692" customWidth="1"/>
    <col min="2" max="2" width="10.6346153846154" customWidth="1"/>
    <col min="3" max="3" width="5.54807692307692" customWidth="1"/>
    <col min="4" max="4" width="10.6346153846154" customWidth="1"/>
    <col min="5" max="5" width="16.2692307692308" customWidth="1"/>
    <col min="7" max="7" width="5.54807692307692" customWidth="1"/>
    <col min="8" max="8" width="10.6346153846154" customWidth="1"/>
    <col min="9" max="9" width="16.2692307692308" customWidth="1"/>
    <col min="10" max="11" width="5.54807692307692" customWidth="1"/>
    <col min="12" max="12" width="10.6346153846154" customWidth="1"/>
    <col min="13" max="13" width="16.2692307692308" customWidth="1"/>
    <col min="14" max="15" width="12.8173076923077" customWidth="1"/>
  </cols>
  <sheetData>
    <row r="1" spans="1:15">
      <c r="A1" s="1"/>
      <c r="B1" s="2"/>
      <c r="C1" s="3" t="s">
        <v>0</v>
      </c>
      <c r="D1" s="4"/>
      <c r="E1" s="13"/>
      <c r="F1" s="2"/>
      <c r="G1" s="3" t="s">
        <v>1</v>
      </c>
      <c r="H1" s="4"/>
      <c r="I1" s="13"/>
      <c r="J1" s="17"/>
      <c r="K1" s="18" t="s">
        <v>2</v>
      </c>
      <c r="L1" s="19"/>
      <c r="M1" s="23"/>
      <c r="N1" s="4" t="s">
        <v>3</v>
      </c>
      <c r="O1" s="13" t="s">
        <v>4</v>
      </c>
    </row>
    <row r="2" spans="1:15">
      <c r="A2" s="5"/>
      <c r="B2" s="6"/>
      <c r="C2" s="5" t="s">
        <v>5</v>
      </c>
      <c r="D2" s="6" t="s">
        <v>6</v>
      </c>
      <c r="E2" s="14" t="s">
        <v>7</v>
      </c>
      <c r="F2" s="6"/>
      <c r="G2" s="5" t="s">
        <v>5</v>
      </c>
      <c r="H2" s="6" t="s">
        <v>6</v>
      </c>
      <c r="I2" s="14" t="s">
        <v>7</v>
      </c>
      <c r="J2" s="20"/>
      <c r="K2" s="5" t="s">
        <v>5</v>
      </c>
      <c r="L2" s="6" t="s">
        <v>6</v>
      </c>
      <c r="M2" s="14" t="s">
        <v>7</v>
      </c>
      <c r="N2" s="6"/>
      <c r="O2" s="14"/>
    </row>
    <row r="3" spans="1:15">
      <c r="A3" s="5" t="s">
        <v>8</v>
      </c>
      <c r="B3" s="6" t="s">
        <v>9</v>
      </c>
      <c r="C3" s="7">
        <v>0.04</v>
      </c>
      <c r="D3" s="8">
        <v>71.04</v>
      </c>
      <c r="E3" s="15">
        <f t="shared" ref="E3:E9" si="0">(D3/C3)</f>
        <v>1776</v>
      </c>
      <c r="F3" s="8"/>
      <c r="G3" s="7">
        <v>0.05</v>
      </c>
      <c r="H3" s="8">
        <v>34.23</v>
      </c>
      <c r="I3" s="15">
        <f t="shared" ref="I3:I9" si="1">(H3/G3)</f>
        <v>684.6</v>
      </c>
      <c r="J3" s="21"/>
      <c r="K3" s="7">
        <v>0.03</v>
      </c>
      <c r="L3" s="8">
        <v>146.73</v>
      </c>
      <c r="M3" s="15">
        <f t="shared" ref="M3:M9" si="2">(L3/K3)</f>
        <v>4891</v>
      </c>
      <c r="N3" s="8">
        <f t="shared" ref="N3:N9" si="3">(I3/M3)</f>
        <v>0.139971375996729</v>
      </c>
      <c r="O3" s="15">
        <f t="shared" ref="O3:O9" si="4">(E3/M3)</f>
        <v>0.363115927213249</v>
      </c>
    </row>
    <row r="4" spans="1:15">
      <c r="A4" s="5" t="s">
        <v>10</v>
      </c>
      <c r="B4" s="6" t="s">
        <v>11</v>
      </c>
      <c r="C4" s="7">
        <v>0.04</v>
      </c>
      <c r="D4" s="8">
        <v>178.93</v>
      </c>
      <c r="E4" s="15">
        <f t="shared" si="0"/>
        <v>4473.25</v>
      </c>
      <c r="F4" s="8"/>
      <c r="G4" s="7">
        <v>0.05</v>
      </c>
      <c r="H4" s="8">
        <v>132.74</v>
      </c>
      <c r="I4" s="15">
        <f t="shared" si="1"/>
        <v>2654.8</v>
      </c>
      <c r="J4" s="21"/>
      <c r="K4" s="7">
        <v>0.03</v>
      </c>
      <c r="L4" s="8">
        <v>182.11</v>
      </c>
      <c r="M4" s="15">
        <f t="shared" si="2"/>
        <v>6070.33333333333</v>
      </c>
      <c r="N4" s="8">
        <f t="shared" si="3"/>
        <v>0.437340069188952</v>
      </c>
      <c r="O4" s="15">
        <f t="shared" si="4"/>
        <v>0.73690351985064</v>
      </c>
    </row>
    <row r="5" spans="1:15">
      <c r="A5" s="5" t="s">
        <v>12</v>
      </c>
      <c r="B5" s="6" t="s">
        <v>13</v>
      </c>
      <c r="C5" s="7">
        <v>0.04</v>
      </c>
      <c r="D5" s="8">
        <v>196.6</v>
      </c>
      <c r="E5" s="15">
        <f t="shared" si="0"/>
        <v>4915</v>
      </c>
      <c r="F5" s="8"/>
      <c r="G5" s="7">
        <v>0.05</v>
      </c>
      <c r="H5" s="8">
        <v>156.93</v>
      </c>
      <c r="I5" s="15">
        <f t="shared" si="1"/>
        <v>3138.6</v>
      </c>
      <c r="J5" s="21"/>
      <c r="K5" s="7">
        <v>0.03</v>
      </c>
      <c r="L5" s="8">
        <v>150.31</v>
      </c>
      <c r="M5" s="15">
        <f t="shared" si="2"/>
        <v>5010.33333333333</v>
      </c>
      <c r="N5" s="8">
        <f t="shared" si="3"/>
        <v>0.626425387532433</v>
      </c>
      <c r="O5" s="15">
        <f t="shared" si="4"/>
        <v>0.980972656509879</v>
      </c>
    </row>
    <row r="6" spans="1:15">
      <c r="A6" s="5" t="s">
        <v>14</v>
      </c>
      <c r="B6" s="6" t="s">
        <v>15</v>
      </c>
      <c r="C6" s="7">
        <v>0.04</v>
      </c>
      <c r="D6" s="8">
        <v>161.52</v>
      </c>
      <c r="E6" s="15">
        <f t="shared" si="0"/>
        <v>4038</v>
      </c>
      <c r="F6" s="8"/>
      <c r="G6" s="7">
        <v>0.05</v>
      </c>
      <c r="H6" s="8">
        <v>133.69</v>
      </c>
      <c r="I6" s="15">
        <f t="shared" si="1"/>
        <v>2673.8</v>
      </c>
      <c r="J6" s="21"/>
      <c r="K6" s="7">
        <v>0.03</v>
      </c>
      <c r="L6" s="8">
        <v>151.31</v>
      </c>
      <c r="M6" s="15">
        <f t="shared" si="2"/>
        <v>5043.66666666667</v>
      </c>
      <c r="N6" s="8">
        <f t="shared" si="3"/>
        <v>0.530130196285771</v>
      </c>
      <c r="O6" s="15">
        <f t="shared" si="4"/>
        <v>0.800608023263499</v>
      </c>
    </row>
    <row r="7" spans="1:15">
      <c r="A7" s="5" t="s">
        <v>16</v>
      </c>
      <c r="B7" s="6" t="s">
        <v>17</v>
      </c>
      <c r="C7" s="7">
        <v>0.04</v>
      </c>
      <c r="D7" s="8">
        <v>145.05</v>
      </c>
      <c r="E7" s="15">
        <f t="shared" si="0"/>
        <v>3626.25</v>
      </c>
      <c r="F7" s="8"/>
      <c r="G7" s="7">
        <v>0.05</v>
      </c>
      <c r="H7" s="8">
        <v>118.05</v>
      </c>
      <c r="I7" s="15">
        <f t="shared" si="1"/>
        <v>2361</v>
      </c>
      <c r="J7" s="21"/>
      <c r="K7" s="7">
        <v>0.03</v>
      </c>
      <c r="L7" s="8">
        <v>149.7</v>
      </c>
      <c r="M7" s="15">
        <f t="shared" si="2"/>
        <v>4990</v>
      </c>
      <c r="N7" s="8">
        <f t="shared" si="3"/>
        <v>0.47314629258517</v>
      </c>
      <c r="O7" s="15">
        <f t="shared" si="4"/>
        <v>0.726703406813627</v>
      </c>
    </row>
    <row r="8" spans="1:15">
      <c r="A8" s="5" t="s">
        <v>18</v>
      </c>
      <c r="B8" s="6" t="s">
        <v>19</v>
      </c>
      <c r="C8" s="7">
        <v>0.04</v>
      </c>
      <c r="D8" s="8">
        <v>116.8</v>
      </c>
      <c r="E8" s="15">
        <f t="shared" si="0"/>
        <v>2920</v>
      </c>
      <c r="F8" s="8"/>
      <c r="G8" s="7">
        <v>0.05</v>
      </c>
      <c r="H8" s="8">
        <v>83.34</v>
      </c>
      <c r="I8" s="15">
        <f t="shared" si="1"/>
        <v>1666.8</v>
      </c>
      <c r="J8" s="21"/>
      <c r="K8" s="7">
        <v>0.03</v>
      </c>
      <c r="L8" s="8">
        <v>145.86</v>
      </c>
      <c r="M8" s="15">
        <f t="shared" si="2"/>
        <v>4862</v>
      </c>
      <c r="N8" s="8">
        <f t="shared" si="3"/>
        <v>0.342821883998355</v>
      </c>
      <c r="O8" s="15">
        <f t="shared" si="4"/>
        <v>0.600575894693542</v>
      </c>
    </row>
    <row r="9" spans="1:15">
      <c r="A9" s="9" t="s">
        <v>20</v>
      </c>
      <c r="B9" s="10" t="s">
        <v>21</v>
      </c>
      <c r="C9" s="11">
        <v>0.04</v>
      </c>
      <c r="D9" s="12">
        <v>70.58</v>
      </c>
      <c r="E9" s="16">
        <f t="shared" si="0"/>
        <v>1764.5</v>
      </c>
      <c r="F9" s="12"/>
      <c r="G9" s="11">
        <v>0.05</v>
      </c>
      <c r="H9" s="12">
        <v>27.34</v>
      </c>
      <c r="I9" s="16">
        <f t="shared" si="1"/>
        <v>546.8</v>
      </c>
      <c r="J9" s="22"/>
      <c r="K9" s="11">
        <v>0.03</v>
      </c>
      <c r="L9" s="12">
        <v>152.02</v>
      </c>
      <c r="M9" s="16">
        <f t="shared" si="2"/>
        <v>5067.33333333333</v>
      </c>
      <c r="N9" s="12">
        <f t="shared" si="3"/>
        <v>0.107906854361268</v>
      </c>
      <c r="O9" s="16">
        <f t="shared" si="4"/>
        <v>0.348210761741876</v>
      </c>
    </row>
  </sheetData>
  <mergeCells count="3">
    <mergeCell ref="C1:E1"/>
    <mergeCell ref="G1:I1"/>
    <mergeCell ref="K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杨宇航</cp:lastModifiedBy>
  <dcterms:created xsi:type="dcterms:W3CDTF">2025-01-15T10:40:00Z</dcterms:created>
  <dcterms:modified xsi:type="dcterms:W3CDTF">2025-02-01T22:52:25Z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1D53AD0B669B4403957AD87BA36CC880_11</vt:lpwstr>
  </property>
  <property fmtid="{D5CDD505-2E9C-101B-9397-08002B2CF9AE}" pid="3" name="KSOProductBuildVer">
    <vt:lpwstr>2052-6.14.0.8924</vt:lpwstr>
  </property>
</Properties>
</file>