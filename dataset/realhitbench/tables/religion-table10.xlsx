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Zero hou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<sst xmlns="http://schemas.openxmlformats.org/spreadsheetml/2006/main" count="57" uniqueCount="35">
  <si>
    <t>AJ19 England and Wales</t>
  </si>
  <si>
    <t>zero</t>
  </si>
  <si>
    <t>ADJUSTMENT FACTOR</t>
  </si>
  <si>
    <t>Zero hours contract</t>
  </si>
  <si>
    <t>No</t>
  </si>
  <si>
    <t/>
  </si>
  <si>
    <t>Economic activity (reported) from MM05</t>
  </si>
  <si>
    <t>Count</t>
  </si>
  <si>
    <t>Unweighted Count</t>
  </si>
  <si>
    <t>Row N %</t>
  </si>
  <si>
    <t>In employment</t>
  </si>
  <si>
    <t>ILO unemployed</t>
  </si>
  <si>
    <t>Inactive</t>
  </si>
  <si>
    <t>Under 16</t>
  </si>
  <si>
    <t>Total</t>
  </si>
  <si>
    <t>Adj factor</t>
  </si>
  <si>
    <t>% zero hour</t>
  </si>
  <si>
    <t>religion</t>
  </si>
  <si>
    <t>.00</t>
  </si>
  <si>
    <t>No religion</t>
  </si>
  <si>
    <t>Individual outcome</t>
  </si>
  <si>
    <t>Personal response</t>
  </si>
  <si>
    <t>Christian</t>
  </si>
  <si>
    <t>Proxy response</t>
  </si>
  <si>
    <t>Buddhist</t>
  </si>
  <si>
    <t>Non-response</t>
  </si>
  <si>
    <t>Hindu</t>
  </si>
  <si>
    <t>Child under 16</t>
  </si>
  <si>
    <t>Jewish</t>
  </si>
  <si>
    <t>Data bf from previous quarter</t>
  </si>
  <si>
    <t>Muslim</t>
  </si>
  <si>
    <t>Economically inactive 70+</t>
  </si>
  <si>
    <t>Sikh</t>
  </si>
  <si>
    <t>Any other religion</t>
  </si>
  <si>
    <t>Not feasible due to poor sample sizes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</si>
</sst>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tabSelected="1" workbookViewId="0">
      <selection activeCell="A1" sqref="A1:B3"/>
    </sheetView>
  </sheetViews>
  <sheetFormatPr defaultColWidth="9" defaultRowHeight="14"/>
  <sheetData>
    <row r="1" spans="1:11">
      <c r="A1" t="s">
        <v>0</v>
      </c>
      <c r="C1" t="s">
        <v>1</v>
      </c>
      <c r="K1" t="s">
        <v>2</v>
      </c>
    </row>
    <row r="2" spans="3:13">
      <c r="C2" t="s">
        <v>3</v>
      </c>
      <c r="F2" t="s">
        <v>4</v>
      </c>
      <c r="K2" t="s">
        <v>5</v>
      </c>
      <c r="M2" t="s">
        <v>6</v>
      </c>
    </row>
    <row r="3" spans="3:25">
      <c r="C3" t="s">
        <v>7</v>
      </c>
      <c r="D3" t="s">
        <v>8</v>
      </c>
      <c r="E3" t="s">
        <v>9</v>
      </c>
      <c r="F3" t="s">
        <v>7</v>
      </c>
      <c r="G3" t="s">
        <v>8</v>
      </c>
      <c r="H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V3" t="s">
        <v>15</v>
      </c>
      <c r="X3" t="s">
        <v>14</v>
      </c>
      <c r="Y3" t="s">
        <v>16</v>
      </c>
    </row>
    <row r="4" spans="1:25">
      <c r="A4" t="s">
        <v>17</v>
      </c>
      <c r="B4" t="s">
        <v>18</v>
      </c>
      <c r="C4">
        <v>2004</v>
      </c>
      <c r="D4">
        <v>2</v>
      </c>
      <c r="E4">
        <v>0.0276307081403044</v>
      </c>
      <c r="F4">
        <v>70524</v>
      </c>
      <c r="G4">
        <v>70</v>
      </c>
      <c r="H4">
        <v>0.972369291859696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U4" t="s">
        <v>18</v>
      </c>
      <c r="V4">
        <f t="shared" ref="V4:V13" si="0">$S$10*C4</f>
        <v>2577.81073721566</v>
      </c>
      <c r="W4">
        <f t="shared" ref="W4:W13" si="1">D4</f>
        <v>2</v>
      </c>
      <c r="X4">
        <f>72528</f>
        <v>72528</v>
      </c>
      <c r="Y4">
        <f t="shared" ref="Y4:Y13" si="2">ROUND((100*V4/X4),1)</f>
        <v>3.6</v>
      </c>
    </row>
    <row r="5" spans="2:25">
      <c r="B5" t="s">
        <v>19</v>
      </c>
      <c r="C5">
        <v>254239</v>
      </c>
      <c r="D5">
        <v>299</v>
      </c>
      <c r="E5">
        <v>0.0199789899160084</v>
      </c>
      <c r="F5">
        <v>12471079</v>
      </c>
      <c r="G5">
        <v>15205</v>
      </c>
      <c r="H5">
        <v>0.980021010083992</v>
      </c>
      <c r="K5" t="s">
        <v>20</v>
      </c>
      <c r="L5" t="s">
        <v>21</v>
      </c>
      <c r="M5">
        <v>14196841</v>
      </c>
      <c r="N5">
        <v>545905</v>
      </c>
      <c r="O5">
        <v>3631463</v>
      </c>
      <c r="P5">
        <v>0</v>
      </c>
      <c r="Q5">
        <v>18374209</v>
      </c>
      <c r="U5" t="s">
        <v>19</v>
      </c>
      <c r="V5">
        <f t="shared" si="0"/>
        <v>327035.940129227</v>
      </c>
      <c r="W5">
        <f t="shared" si="1"/>
        <v>299</v>
      </c>
      <c r="X5">
        <v>12725318</v>
      </c>
      <c r="Y5">
        <f t="shared" si="2"/>
        <v>2.6</v>
      </c>
    </row>
    <row r="6" spans="2:25">
      <c r="B6" t="s">
        <v>22</v>
      </c>
      <c r="C6">
        <v>281010</v>
      </c>
      <c r="D6">
        <v>341</v>
      </c>
      <c r="E6">
        <v>0.022174376722941</v>
      </c>
      <c r="F6">
        <v>12391725</v>
      </c>
      <c r="G6">
        <v>15520</v>
      </c>
      <c r="H6">
        <v>0.977825623277059</v>
      </c>
      <c r="L6" t="s">
        <v>23</v>
      </c>
      <c r="M6">
        <v>7522421</v>
      </c>
      <c r="N6">
        <v>294852</v>
      </c>
      <c r="O6">
        <v>2379095</v>
      </c>
      <c r="P6">
        <v>0</v>
      </c>
      <c r="Q6">
        <v>10196368</v>
      </c>
      <c r="U6" t="s">
        <v>22</v>
      </c>
      <c r="V6">
        <f t="shared" si="0"/>
        <v>361472.352926633</v>
      </c>
      <c r="W6">
        <f t="shared" si="1"/>
        <v>341</v>
      </c>
      <c r="X6">
        <v>12672735</v>
      </c>
      <c r="Y6">
        <f t="shared" si="2"/>
        <v>2.9</v>
      </c>
    </row>
    <row r="7" spans="2:25">
      <c r="B7" t="s">
        <v>24</v>
      </c>
      <c r="C7">
        <v>2153</v>
      </c>
      <c r="D7">
        <v>3</v>
      </c>
      <c r="E7">
        <v>0.017690607462429</v>
      </c>
      <c r="F7">
        <v>119550</v>
      </c>
      <c r="G7">
        <v>131</v>
      </c>
      <c r="H7">
        <v>0.982309392537571</v>
      </c>
      <c r="L7" t="s">
        <v>25</v>
      </c>
      <c r="M7">
        <v>0</v>
      </c>
      <c r="N7">
        <v>0</v>
      </c>
      <c r="O7">
        <v>0</v>
      </c>
      <c r="P7">
        <v>0</v>
      </c>
      <c r="Q7">
        <v>0</v>
      </c>
      <c r="U7" t="s">
        <v>24</v>
      </c>
      <c r="V7">
        <f t="shared" si="0"/>
        <v>2769.47430999267</v>
      </c>
      <c r="W7">
        <f t="shared" si="1"/>
        <v>3</v>
      </c>
      <c r="X7">
        <v>121703</v>
      </c>
      <c r="Y7">
        <f t="shared" si="2"/>
        <v>2.3</v>
      </c>
    </row>
    <row r="8" spans="2:25">
      <c r="B8" t="s">
        <v>26</v>
      </c>
      <c r="C8">
        <v>8333</v>
      </c>
      <c r="D8">
        <v>10</v>
      </c>
      <c r="E8">
        <v>0.0162963339604414</v>
      </c>
      <c r="F8">
        <v>503009</v>
      </c>
      <c r="G8">
        <v>530</v>
      </c>
      <c r="H8">
        <v>0.983703666039559</v>
      </c>
      <c r="L8" t="s">
        <v>27</v>
      </c>
      <c r="M8">
        <v>0</v>
      </c>
      <c r="N8">
        <v>0</v>
      </c>
      <c r="O8">
        <v>0</v>
      </c>
      <c r="P8">
        <v>0</v>
      </c>
      <c r="Q8">
        <v>0</v>
      </c>
      <c r="U8" t="s">
        <v>26</v>
      </c>
      <c r="V8">
        <f t="shared" si="0"/>
        <v>10719.0104157775</v>
      </c>
      <c r="W8">
        <f t="shared" si="1"/>
        <v>10</v>
      </c>
      <c r="X8">
        <v>511342</v>
      </c>
      <c r="Y8">
        <f t="shared" si="2"/>
        <v>2.1</v>
      </c>
    </row>
    <row r="9" spans="2:25">
      <c r="B9" t="s">
        <v>28</v>
      </c>
      <c r="C9">
        <v>688</v>
      </c>
      <c r="D9">
        <v>1</v>
      </c>
      <c r="E9">
        <v>0.00513099703923572</v>
      </c>
      <c r="F9">
        <v>133399</v>
      </c>
      <c r="G9">
        <v>141</v>
      </c>
      <c r="H9">
        <v>0.994869002960764</v>
      </c>
      <c r="L9" t="s">
        <v>29</v>
      </c>
      <c r="M9">
        <v>6218935</v>
      </c>
      <c r="N9">
        <v>314967</v>
      </c>
      <c r="O9">
        <v>1609191</v>
      </c>
      <c r="P9">
        <v>0</v>
      </c>
      <c r="Q9">
        <v>8143093</v>
      </c>
      <c r="S9" t="s">
        <v>0</v>
      </c>
      <c r="U9" t="s">
        <v>28</v>
      </c>
      <c r="V9">
        <f t="shared" si="0"/>
        <v>884.996899802581</v>
      </c>
      <c r="W9">
        <f t="shared" si="1"/>
        <v>1</v>
      </c>
      <c r="X9">
        <v>134087</v>
      </c>
      <c r="Y9">
        <f t="shared" si="2"/>
        <v>0.7</v>
      </c>
    </row>
    <row r="10" spans="2:25">
      <c r="B10" t="s">
        <v>30</v>
      </c>
      <c r="C10">
        <v>34245</v>
      </c>
      <c r="D10">
        <v>38</v>
      </c>
      <c r="E10">
        <v>0.031835705633372</v>
      </c>
      <c r="F10">
        <v>1041434</v>
      </c>
      <c r="G10">
        <v>1112</v>
      </c>
      <c r="H10">
        <v>0.968164294366628</v>
      </c>
      <c r="L10" t="s">
        <v>31</v>
      </c>
      <c r="M10">
        <v>0</v>
      </c>
      <c r="N10">
        <v>0</v>
      </c>
      <c r="O10">
        <v>0</v>
      </c>
      <c r="P10">
        <v>0</v>
      </c>
      <c r="Q10">
        <v>0</v>
      </c>
      <c r="S10">
        <f>M11/(M11-M9)</f>
        <v>1.28633270320143</v>
      </c>
      <c r="U10" t="s">
        <v>30</v>
      </c>
      <c r="V10">
        <f t="shared" si="0"/>
        <v>44050.4634211328</v>
      </c>
      <c r="W10">
        <f t="shared" si="1"/>
        <v>38</v>
      </c>
      <c r="X10">
        <v>1075679</v>
      </c>
      <c r="Y10">
        <f t="shared" si="2"/>
        <v>4.1</v>
      </c>
    </row>
    <row r="11" spans="2:25">
      <c r="B11" t="s">
        <v>32</v>
      </c>
      <c r="C11">
        <v>2536</v>
      </c>
      <c r="D11">
        <v>4</v>
      </c>
      <c r="E11">
        <v>0.014845515319682</v>
      </c>
      <c r="F11">
        <v>168290</v>
      </c>
      <c r="G11">
        <v>184</v>
      </c>
      <c r="H11">
        <v>0.985154484680318</v>
      </c>
      <c r="L11" t="s">
        <v>14</v>
      </c>
      <c r="M11">
        <v>27938197</v>
      </c>
      <c r="N11">
        <v>1155724</v>
      </c>
      <c r="O11">
        <v>7619749</v>
      </c>
      <c r="P11">
        <v>0</v>
      </c>
      <c r="Q11">
        <v>36713670</v>
      </c>
      <c r="U11" t="s">
        <v>32</v>
      </c>
      <c r="V11">
        <f t="shared" si="0"/>
        <v>3262.13973531882</v>
      </c>
      <c r="W11">
        <f t="shared" si="1"/>
        <v>4</v>
      </c>
      <c r="X11">
        <v>170826</v>
      </c>
      <c r="Y11">
        <f t="shared" si="2"/>
        <v>1.9</v>
      </c>
    </row>
    <row r="12" spans="2:25">
      <c r="B12" t="s">
        <v>33</v>
      </c>
      <c r="C12">
        <v>9985</v>
      </c>
      <c r="D12">
        <v>12</v>
      </c>
      <c r="E12">
        <v>0.0219944094330355</v>
      </c>
      <c r="F12">
        <v>443994</v>
      </c>
      <c r="G12">
        <v>517</v>
      </c>
      <c r="H12">
        <v>0.978005590566965</v>
      </c>
      <c r="U12" t="s">
        <v>33</v>
      </c>
      <c r="V12">
        <f t="shared" si="0"/>
        <v>12844.0320414662</v>
      </c>
      <c r="W12">
        <f t="shared" si="1"/>
        <v>12</v>
      </c>
      <c r="X12">
        <v>453979</v>
      </c>
      <c r="Y12">
        <f t="shared" si="2"/>
        <v>2.8</v>
      </c>
    </row>
    <row r="13" spans="2:25">
      <c r="B13" t="s">
        <v>14</v>
      </c>
      <c r="C13">
        <v>595193</v>
      </c>
      <c r="D13">
        <v>710</v>
      </c>
      <c r="E13">
        <v>0.0213039159255696</v>
      </c>
      <c r="F13">
        <v>27343004</v>
      </c>
      <c r="G13">
        <v>33410</v>
      </c>
      <c r="H13">
        <v>0.97869608407443</v>
      </c>
      <c r="M13" t="s">
        <v>34</v>
      </c>
      <c r="U13" t="s">
        <v>14</v>
      </c>
      <c r="V13">
        <f t="shared" si="0"/>
        <v>765616.220616566</v>
      </c>
      <c r="W13">
        <f t="shared" si="1"/>
        <v>710</v>
      </c>
      <c r="X13">
        <v>27938197</v>
      </c>
      <c r="Y13">
        <f t="shared" si="2"/>
        <v>2.7</v>
      </c>
    </row>
  </sheetData>
  <mergeCells count="9">
    <mergeCell ref="C1:H1"/>
    <mergeCell ref="K1:Q1"/>
    <mergeCell ref="C2:E2"/>
    <mergeCell ref="F2:H2"/>
    <mergeCell ref="M2:Q2"/>
    <mergeCell ref="A4:A13"/>
    <mergeCell ref="K5:K11"/>
    <mergeCell ref="K2:L4"/>
    <mergeCell ref="A1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Zero hours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祈逝</cp:lastModifiedBy>
  <dcterms:created xsi:type="dcterms:W3CDTF">2025-01-13T09:45:00Z</dcterms:created>
  <dcterms:modified xsi:type="dcterms:W3CDTF">2025-01-16T04:15:55Z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D099924EB27D4D7DAA416F837A262FE4_12</vt:lpwstr>
  </property>
  <property fmtid="{D5CDD505-2E9C-101B-9397-08002B2CF9AE}" pid="3" name="KSOProductBuildVer">
    <vt:lpwstr>2052-12.1.0.19302</vt:lpwstr>
  </property>
</Properties>
</file>