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CASE - GV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<sst xmlns="http://schemas.openxmlformats.org/spreadsheetml/2006/main" count="51" uniqueCount="33">
  <si>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Number of tables on this sheet:</t>
  </si>
  <si>
    <t>GVA in the CASE sectors</t>
  </si>
  <si>
    <t>Data owner:</t>
  </si>
  <si>
    <t>Office of National Statistics</t>
  </si>
  <si>
    <t>Link to data owner:</t>
  </si>
  <si>
    <t>http://www.ons.gov.uk</t>
  </si>
  <si>
    <t>Data source:</t>
  </si>
  <si>
    <t>Annual Business Inquiry (ABI)</t>
  </si>
  <si>
    <t>Link to data source:</t>
  </si>
  <si>
    <t>http://www.statistics.gov.uk/abi/</t>
  </si>
  <si>
    <t>Date:</t>
  </si>
  <si>
    <t>2007/08, 2006/07, 2005/06</t>
  </si>
  <si>
    <t>Update cycle:</t>
  </si>
  <si>
    <t>Yearly</t>
  </si>
  <si>
    <t>GVA in the CASE sectors: sector by region in 2005/06 and 2007/08 (£ thousands)</t>
  </si>
  <si>
    <t>East Midlands</t>
  </si>
  <si>
    <t>London</t>
  </si>
  <si>
    <t>North East</t>
  </si>
  <si>
    <t>North West</t>
  </si>
  <si>
    <t>South East</t>
  </si>
  <si>
    <t>South West</t>
  </si>
  <si>
    <t>West Midlands</t>
  </si>
  <si>
    <t>Yorkshire and the Humber</t>
  </si>
  <si>
    <t>England</t>
  </si>
  <si>
    <t>East of England</t>
  </si>
  <si>
    <t>Sector</t>
  </si>
  <si>
    <t>2005/06</t>
  </si>
  <si>
    <t>2007/08</t>
  </si>
  <si>
    <t>Creative</t>
  </si>
  <si>
    <t>Heritage</t>
  </si>
  <si>
    <t>MLA</t>
  </si>
  <si>
    <t>Sport</t>
  </si>
  <si>
    <t xml:space="preserve">CASE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</si>
</sst>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-&quot;£&quot;* #,##0.00_-;\-&quot;£&quot;* #,##0.00_-;_-&quot;£&quot;* &quot;-&quot;??_-;_-@_-"/>
    <numFmt numFmtId="177" formatCode="&quot;£&quot;#,##0"/>
  </numFmts>
  <fonts count="26">
    <font>
      <sz val="10"/>
      <name val="Arial"/>
      <charset val="0"/>
    </font>
    <font>
      <b/>
      <sz val="10"/>
      <name val="Arial"/>
      <charset val="0"/>
    </font>
    <font>
      <i/>
      <sz val="10"/>
      <color indexed="8"/>
      <name val="Arial"/>
      <charset val="0"/>
    </font>
    <font>
      <sz val="10"/>
      <color indexed="8"/>
      <name val="Arial"/>
      <charset val="0"/>
    </font>
    <font>
      <b/>
      <sz val="12"/>
      <name val="Arial"/>
      <charset val="0"/>
    </font>
    <font>
      <i/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/>
  </cellStyleXfs>
  <cellXfs count="36">
    <xf numFmtId="0" fontId="0" fillId="0" borderId="0" xfId="0"/>
    <xf numFmtId="0" fontId="1" fillId="2" borderId="0" xfId="0" applyFont="1" applyFill="1"/>
    <xf numFmtId="0" fontId="1" fillId="2" borderId="0" xfId="0" applyFont="1" applyFill="1" applyBorder="1"/>
    <xf numFmtId="0" fontId="0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/>
    <xf numFmtId="0" fontId="1" fillId="2" borderId="0" xfId="0" applyFont="1" applyFill="1" applyAlignment="1"/>
    <xf numFmtId="0" fontId="5" fillId="2" borderId="0" xfId="0" applyFont="1" applyFill="1" applyAlignment="1"/>
    <xf numFmtId="0" fontId="0" fillId="2" borderId="0" xfId="50" applyFont="1" applyFill="1" applyAlignment="1"/>
    <xf numFmtId="0" fontId="5" fillId="2" borderId="0" xfId="50" applyFont="1" applyFill="1" applyAlignment="1">
      <alignment horizontal="left"/>
    </xf>
    <xf numFmtId="0" fontId="5" fillId="2" borderId="0" xfId="49" applyNumberFormat="1" applyFont="1" applyFill="1" applyAlignment="1"/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1" fillId="2" borderId="1" xfId="0" applyFont="1" applyFill="1" applyBorder="1"/>
    <xf numFmtId="0" fontId="1" fillId="2" borderId="2" xfId="50" applyFont="1" applyFill="1" applyBorder="1" applyAlignment="1">
      <alignment horizontal="center" vertical="center"/>
    </xf>
    <xf numFmtId="0" fontId="1" fillId="2" borderId="3" xfId="5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0" fillId="2" borderId="0" xfId="0" applyFont="1" applyFill="1" applyBorder="1"/>
    <xf numFmtId="177" fontId="0" fillId="2" borderId="7" xfId="2" applyNumberFormat="1" applyFont="1" applyFill="1" applyBorder="1"/>
    <xf numFmtId="177" fontId="0" fillId="2" borderId="8" xfId="2" applyNumberFormat="1" applyFont="1" applyFill="1" applyBorder="1"/>
    <xf numFmtId="0" fontId="0" fillId="2" borderId="0" xfId="0" applyFill="1" applyBorder="1"/>
    <xf numFmtId="0" fontId="1" fillId="2" borderId="9" xfId="0" applyFont="1" applyFill="1" applyBorder="1"/>
    <xf numFmtId="177" fontId="1" fillId="2" borderId="9" xfId="0" applyNumberFormat="1" applyFont="1" applyFill="1" applyBorder="1"/>
    <xf numFmtId="177" fontId="1" fillId="2" borderId="10" xfId="0" applyNumberFormat="1" applyFont="1" applyFill="1" applyBorder="1"/>
    <xf numFmtId="0" fontId="1" fillId="2" borderId="1" xfId="5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/>
    </xf>
    <xf numFmtId="177" fontId="0" fillId="2" borderId="7" xfId="0" applyNumberFormat="1" applyFill="1" applyBorder="1"/>
    <xf numFmtId="177" fontId="0" fillId="2" borderId="8" xfId="0" applyNumberFormat="1" applyFill="1" applyBorder="1"/>
    <xf numFmtId="177" fontId="0" fillId="2" borderId="0" xfId="0" applyNumberFormat="1" applyFill="1" applyBorder="1"/>
    <xf numFmtId="0" fontId="1" fillId="2" borderId="2" xfId="50" applyFont="1" applyFill="1" applyBorder="1" applyAlignment="1">
      <alignment horizontal="center" vertical="center" wrapText="1"/>
    </xf>
    <xf numFmtId="0" fontId="1" fillId="2" borderId="3" xfId="50" applyFont="1" applyFill="1" applyBorder="1" applyAlignment="1">
      <alignment horizontal="center" vertical="center" wrapText="1"/>
    </xf>
    <xf numFmtId="177" fontId="0" fillId="2" borderId="0" xfId="2" applyNumberFormat="1" applyFont="1" applyFill="1" applyBorder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Tab8a" xfId="49"/>
    <cellStyle name="Normal 2" xfId="50"/>
    <cellStyle name="Percent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5"/>
  <sheetViews>
    <sheetView tabSelected="1" zoomScale="78" zoomScaleNormal="78" zoomScaleSheetLayoutView="60" workbookViewId="0">
      <selection activeCell="D1" sqref="D$1:E$1048576"/>
    </sheetView>
  </sheetViews>
  <sheetFormatPr defaultColWidth="9.14285714285714" defaultRowHeight="14.4"/>
  <cols>
    <col min="1" max="9" width="10.8571428571429" style="4" customWidth="1"/>
    <col min="10" max="11" width="11.7142857142857" style="4"/>
    <col min="12" max="17" width="10.6428571428571" style="4"/>
    <col min="18" max="19" width="11.7142857142857" style="4"/>
    <col min="20" max="21" width="10.8571428571429" style="4" customWidth="1"/>
    <col min="22" max="16384" width="9.14285714285714" style="4"/>
  </cols>
  <sheetData>
    <row r="1" spans="1:20">
      <c r="A1" s="5" t="s">
        <v>0</v>
      </c>
      <c r="B1" s="5"/>
      <c r="T1" s="4">
        <v>3</v>
      </c>
    </row>
    <row r="2" spans="1:2">
      <c r="A2" s="6"/>
      <c r="B2" s="6"/>
    </row>
    <row r="3" ht="17.6" spans="1:2">
      <c r="A3" s="7" t="s">
        <v>1</v>
      </c>
      <c r="B3" s="8"/>
    </row>
    <row r="4" spans="1:3">
      <c r="A4" s="9" t="s">
        <v>2</v>
      </c>
      <c r="B4" s="10"/>
      <c r="C4" s="10" t="s">
        <v>3</v>
      </c>
    </row>
    <row r="5" spans="1:3">
      <c r="A5" s="9" t="s">
        <v>4</v>
      </c>
      <c r="C5" t="s">
        <v>5</v>
      </c>
    </row>
    <row r="6" spans="1:3">
      <c r="A6" s="9" t="s">
        <v>6</v>
      </c>
      <c r="B6" s="11"/>
      <c r="C6" s="11" t="s">
        <v>7</v>
      </c>
    </row>
    <row r="7" spans="1:3">
      <c r="A7" s="9" t="s">
        <v>8</v>
      </c>
      <c r="C7" t="s">
        <v>9</v>
      </c>
    </row>
    <row r="8" spans="1:3">
      <c r="A8" s="9" t="s">
        <v>10</v>
      </c>
      <c r="B8" s="12"/>
      <c r="C8" s="12" t="s">
        <v>11</v>
      </c>
    </row>
    <row r="9" spans="1:3">
      <c r="A9" s="9" t="s">
        <v>12</v>
      </c>
      <c r="B9" s="13"/>
      <c r="C9" s="13" t="s">
        <v>13</v>
      </c>
    </row>
    <row r="12" spans="1:1">
      <c r="A12" s="14" t="s">
        <v>14</v>
      </c>
    </row>
    <row r="13" s="1" customFormat="1" ht="30" customHeight="1" spans="1:21">
      <c r="A13" s="15"/>
      <c r="B13" s="16" t="s">
        <v>15</v>
      </c>
      <c r="C13" s="17"/>
      <c r="D13" s="16" t="s">
        <v>16</v>
      </c>
      <c r="E13" s="17"/>
      <c r="F13" s="16" t="s">
        <v>17</v>
      </c>
      <c r="G13" s="17"/>
      <c r="H13" s="28" t="s">
        <v>18</v>
      </c>
      <c r="I13" s="28"/>
      <c r="J13" s="16" t="s">
        <v>19</v>
      </c>
      <c r="K13" s="17"/>
      <c r="L13" s="33" t="s">
        <v>20</v>
      </c>
      <c r="M13" s="34"/>
      <c r="N13" s="16" t="s">
        <v>21</v>
      </c>
      <c r="O13" s="17"/>
      <c r="P13" s="16" t="s">
        <v>22</v>
      </c>
      <c r="Q13" s="17"/>
      <c r="R13" s="16" t="s">
        <v>23</v>
      </c>
      <c r="S13" s="17"/>
      <c r="T13" s="28" t="s">
        <v>24</v>
      </c>
      <c r="U13" s="28"/>
    </row>
    <row r="14" s="1" customFormat="1" spans="1:21">
      <c r="A14" s="18" t="s">
        <v>25</v>
      </c>
      <c r="B14" s="19" t="s">
        <v>26</v>
      </c>
      <c r="C14" s="20" t="s">
        <v>27</v>
      </c>
      <c r="D14" s="19" t="s">
        <v>26</v>
      </c>
      <c r="E14" s="20" t="s">
        <v>27</v>
      </c>
      <c r="F14" s="29" t="s">
        <v>26</v>
      </c>
      <c r="G14" s="29" t="s">
        <v>27</v>
      </c>
      <c r="H14" s="19" t="s">
        <v>26</v>
      </c>
      <c r="I14" s="20" t="s">
        <v>27</v>
      </c>
      <c r="J14" s="29" t="s">
        <v>26</v>
      </c>
      <c r="K14" s="29" t="s">
        <v>27</v>
      </c>
      <c r="L14" s="19" t="s">
        <v>26</v>
      </c>
      <c r="M14" s="20" t="s">
        <v>27</v>
      </c>
      <c r="N14" s="29" t="s">
        <v>26</v>
      </c>
      <c r="O14" s="29" t="s">
        <v>27</v>
      </c>
      <c r="P14" s="19" t="s">
        <v>26</v>
      </c>
      <c r="Q14" s="20" t="s">
        <v>27</v>
      </c>
      <c r="R14" s="19" t="s">
        <v>26</v>
      </c>
      <c r="S14" s="20" t="s">
        <v>27</v>
      </c>
      <c r="T14" s="29" t="s">
        <v>26</v>
      </c>
      <c r="U14" s="29" t="s">
        <v>27</v>
      </c>
    </row>
    <row r="15" s="2" customFormat="1" spans="1:21">
      <c r="A15" s="21" t="s">
        <v>28</v>
      </c>
      <c r="B15" s="22">
        <v>1427751.24186688</v>
      </c>
      <c r="C15" s="23">
        <v>1899270.7156851</v>
      </c>
      <c r="D15" s="22">
        <v>21794240.1053267</v>
      </c>
      <c r="E15" s="23">
        <v>24020715.761694</v>
      </c>
      <c r="F15" s="30">
        <v>815804.981286455</v>
      </c>
      <c r="G15" s="31">
        <v>930127.73558019</v>
      </c>
      <c r="H15" s="32">
        <v>3272904.88375806</v>
      </c>
      <c r="I15" s="32">
        <v>4349956.52096716</v>
      </c>
      <c r="J15" s="22">
        <v>10933427.6824387</v>
      </c>
      <c r="K15" s="23">
        <v>10882020.1397565</v>
      </c>
      <c r="L15" s="22">
        <v>2404205.3605103</v>
      </c>
      <c r="M15" s="23">
        <v>2561668.48330166</v>
      </c>
      <c r="N15" s="22">
        <v>2602535.09292718</v>
      </c>
      <c r="O15" s="23">
        <v>2775419.55557656</v>
      </c>
      <c r="P15" s="30">
        <v>2086978.91138893</v>
      </c>
      <c r="Q15" s="23">
        <v>2182638.09374523</v>
      </c>
      <c r="R15" s="22">
        <v>48614990.8461654</v>
      </c>
      <c r="S15" s="23">
        <v>53708762.9701517</v>
      </c>
      <c r="T15" s="35">
        <v>3173375.08085819</v>
      </c>
      <c r="U15" s="35">
        <v>3302667.10248098</v>
      </c>
    </row>
    <row r="16" spans="1:21">
      <c r="A16" s="24" t="s">
        <v>29</v>
      </c>
      <c r="B16" s="22">
        <v>3009.94536295448</v>
      </c>
      <c r="C16" s="23">
        <v>2938.6854095802</v>
      </c>
      <c r="D16" s="22">
        <v>14614.6528078021</v>
      </c>
      <c r="E16" s="23">
        <v>17287.0666695885</v>
      </c>
      <c r="F16" s="30">
        <v>1553.67049833885</v>
      </c>
      <c r="G16" s="31">
        <v>2833.1299887</v>
      </c>
      <c r="H16" s="32">
        <v>3711.10236195173</v>
      </c>
      <c r="I16" s="32">
        <v>2326.00287750895</v>
      </c>
      <c r="J16" s="22">
        <v>15449.8929533136</v>
      </c>
      <c r="K16" s="23">
        <v>18725.5246997168</v>
      </c>
      <c r="L16" s="22">
        <v>7652.83000123453</v>
      </c>
      <c r="M16" s="23">
        <v>9386.7864632743</v>
      </c>
      <c r="N16" s="22">
        <v>7400.84246064073</v>
      </c>
      <c r="O16" s="23">
        <v>7949.44429664465</v>
      </c>
      <c r="P16" s="30">
        <v>6845.12828017905</v>
      </c>
      <c r="Q16" s="23">
        <v>6705.45746634537</v>
      </c>
      <c r="R16" s="22">
        <v>43313.8949273293</v>
      </c>
      <c r="S16" s="23">
        <v>54797.051687349</v>
      </c>
      <c r="T16" s="35">
        <v>2987.8122816864</v>
      </c>
      <c r="U16" s="35">
        <v>2685.34946496015</v>
      </c>
    </row>
    <row r="17" spans="1:21">
      <c r="A17" s="24" t="s">
        <v>30</v>
      </c>
      <c r="B17" s="22">
        <v>19111.7083151214</v>
      </c>
      <c r="C17" s="23">
        <v>12044.6834503322</v>
      </c>
      <c r="D17" s="22">
        <v>62405.9658082213</v>
      </c>
      <c r="E17" s="23">
        <v>67347.7898703201</v>
      </c>
      <c r="F17" s="30">
        <v>7374.07451466725</v>
      </c>
      <c r="G17" s="31">
        <v>9596.8212344583</v>
      </c>
      <c r="H17" s="32">
        <v>22062.4611693086</v>
      </c>
      <c r="I17" s="32">
        <v>10869.696973497</v>
      </c>
      <c r="J17" s="22">
        <v>61307.24445648</v>
      </c>
      <c r="K17" s="23">
        <v>64709.669358285</v>
      </c>
      <c r="L17" s="22">
        <v>34412.6367299752</v>
      </c>
      <c r="M17" s="23">
        <v>31754.3289829444</v>
      </c>
      <c r="N17" s="22">
        <v>28371.1892214791</v>
      </c>
      <c r="O17" s="23">
        <v>29683.6397454714</v>
      </c>
      <c r="P17" s="30">
        <v>20535.3848405372</v>
      </c>
      <c r="Q17" s="23">
        <v>20116.3723990361</v>
      </c>
      <c r="R17" s="22">
        <v>250002.587336287</v>
      </c>
      <c r="S17" s="23">
        <v>207250.659487198</v>
      </c>
      <c r="T17" s="35">
        <v>17958.0968479146</v>
      </c>
      <c r="U17" s="35">
        <v>17128.2567854732</v>
      </c>
    </row>
    <row r="18" spans="1:21">
      <c r="A18" s="24" t="s">
        <v>31</v>
      </c>
      <c r="B18" s="22">
        <v>394168.147200373</v>
      </c>
      <c r="C18" s="23">
        <v>414753.40374137</v>
      </c>
      <c r="D18" s="22">
        <v>1368170.54973941</v>
      </c>
      <c r="E18" s="23">
        <v>1398080.08757722</v>
      </c>
      <c r="F18" s="30">
        <v>240293.055975383</v>
      </c>
      <c r="G18" s="31">
        <v>239400.104050491</v>
      </c>
      <c r="H18" s="32">
        <v>708197.977658432</v>
      </c>
      <c r="I18" s="32">
        <v>760919.301344964</v>
      </c>
      <c r="J18" s="22">
        <v>1140244.11287132</v>
      </c>
      <c r="K18" s="23">
        <v>1202476.34861193</v>
      </c>
      <c r="L18" s="22">
        <v>338839.379945364</v>
      </c>
      <c r="M18" s="23">
        <v>340770.665767324</v>
      </c>
      <c r="N18" s="22">
        <v>385015.842283389</v>
      </c>
      <c r="O18" s="23">
        <v>400853.059670448</v>
      </c>
      <c r="P18" s="30">
        <v>355184.617662965</v>
      </c>
      <c r="Q18" s="23">
        <v>367296.081231932</v>
      </c>
      <c r="R18" s="22">
        <v>5566505.42547882</v>
      </c>
      <c r="S18" s="23">
        <v>5691345.98919666</v>
      </c>
      <c r="T18" s="35">
        <v>636391.742142113</v>
      </c>
      <c r="U18" s="35">
        <v>566796.937201021</v>
      </c>
    </row>
    <row r="19" spans="1:21">
      <c r="A19" s="24"/>
      <c r="B19" s="22"/>
      <c r="C19" s="23"/>
      <c r="D19" s="22"/>
      <c r="E19" s="23"/>
      <c r="F19" s="30"/>
      <c r="G19" s="31"/>
      <c r="H19" s="32"/>
      <c r="I19" s="32"/>
      <c r="J19" s="22"/>
      <c r="K19" s="23"/>
      <c r="L19" s="22"/>
      <c r="M19" s="23"/>
      <c r="N19" s="22"/>
      <c r="O19" s="23"/>
      <c r="P19" s="30"/>
      <c r="Q19" s="23"/>
      <c r="R19" s="22"/>
      <c r="S19" s="23"/>
      <c r="T19" s="35"/>
      <c r="U19" s="35"/>
    </row>
    <row r="20" spans="1:21">
      <c r="A20" s="25" t="s">
        <v>32</v>
      </c>
      <c r="B20" s="26">
        <f>SUM(B15:B18)</f>
        <v>1844041.04274533</v>
      </c>
      <c r="C20" s="27">
        <f>SUM(C15:C18)</f>
        <v>2329007.48828638</v>
      </c>
      <c r="D20" s="26">
        <f t="shared" ref="D20:S20" si="0">SUM(D15:D18)</f>
        <v>23239431.2736821</v>
      </c>
      <c r="E20" s="27">
        <f t="shared" si="0"/>
        <v>25503430.7058111</v>
      </c>
      <c r="F20" s="26">
        <f t="shared" si="0"/>
        <v>1065025.78227484</v>
      </c>
      <c r="G20" s="27">
        <f t="shared" si="0"/>
        <v>1181957.79085384</v>
      </c>
      <c r="H20" s="26">
        <f t="shared" si="0"/>
        <v>4006876.42494775</v>
      </c>
      <c r="I20" s="27">
        <f t="shared" si="0"/>
        <v>5124071.52216313</v>
      </c>
      <c r="J20" s="26">
        <f t="shared" si="0"/>
        <v>12150428.9327198</v>
      </c>
      <c r="K20" s="27">
        <f t="shared" si="0"/>
        <v>12167931.6824264</v>
      </c>
      <c r="L20" s="26">
        <f t="shared" si="0"/>
        <v>2785110.20718687</v>
      </c>
      <c r="M20" s="27">
        <f t="shared" si="0"/>
        <v>2943580.2645152</v>
      </c>
      <c r="N20" s="26">
        <f t="shared" si="0"/>
        <v>3023322.96689269</v>
      </c>
      <c r="O20" s="27">
        <f t="shared" si="0"/>
        <v>3213905.69928912</v>
      </c>
      <c r="P20" s="26">
        <f t="shared" si="0"/>
        <v>2469544.04217261</v>
      </c>
      <c r="Q20" s="27">
        <f t="shared" si="0"/>
        <v>2576756.00484254</v>
      </c>
      <c r="R20" s="26">
        <f t="shared" si="0"/>
        <v>54474812.7539078</v>
      </c>
      <c r="S20" s="27">
        <f t="shared" si="0"/>
        <v>59662156.6705229</v>
      </c>
      <c r="T20" s="26">
        <f>SUM(T15:T18)</f>
        <v>3830712.7321299</v>
      </c>
      <c r="U20" s="27">
        <f>SUM(U15:U18)</f>
        <v>3889277.64593243</v>
      </c>
    </row>
    <row r="21" spans="1: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="3" customFormat="1" spans="1:2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="1" customFormat="1" ht="30" customHeight="1" spans="1:2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="1" customFormat="1" ht="29.25" hidden="1" customHeight="1" spans="1:2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="1" customFormat="1" ht="16.5" hidden="1" customHeight="1" spans="1:2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="3" customFormat="1" spans="1:2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="3" customFormat="1" spans="1:2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="3" customFormat="1" spans="1:2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="3" customFormat="1" spans="1:2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="3" customFormat="1" spans="1:2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="1" customFormat="1" spans="1:2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="3" customFormat="1" spans="1:2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ht="12.75" customHeight="1" spans="1:2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 spans="1:2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1:2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1:2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</sheetData>
  <mergeCells count="10"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 - GVA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杨宇航</cp:lastModifiedBy>
  <dcterms:created xsi:type="dcterms:W3CDTF">2024-12-07T17:04:00Z</dcterms:created>
  <dcterms:modified xsi:type="dcterms:W3CDTF">2025-01-31T21:40:27Z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AEE7BDC040D830A75DDD51673B5114B3_43</vt:lpwstr>
  </property>
  <property fmtid="{D5CDD505-2E9C-101B-9397-08002B2CF9AE}" pid="3" name="KSOProductBuildVer">
    <vt:lpwstr>2052-6.14.0.8924</vt:lpwstr>
  </property>
</Properties>
</file>