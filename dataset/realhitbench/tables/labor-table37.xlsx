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externalReferences>
    <externalReference r:id="rId2"/>
  </externalReferences>
  <definedNames>
    <definedName name="_xlnm._FilterDatabase" localSheetId="0" hidden="1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<sst xmlns="http://schemas.openxmlformats.org/spreadsheetml/2006/main" count="18" uniqueCount="18">
  <si>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EMPLOYEE DETAILS</t>
  </si>
  <si>
    <t>EARNINGS</t>
  </si>
  <si>
    <t>EMPID</t>
  </si>
  <si>
    <t>NAME</t>
  </si>
  <si>
    <t>DESIGNATION</t>
  </si>
  <si>
    <t>DEPARTMENT</t>
  </si>
  <si>
    <t>GPF/CPF NO</t>
  </si>
  <si>
    <t>QUARTERS</t>
  </si>
  <si>
    <t>OLD BASIC 
PAY</t>
  </si>
  <si>
    <t>GRADE PAY</t>
  </si>
  <si>
    <t>BASIC +GRADE PAY*2.57</t>
  </si>
  <si>
    <t>BASIC PAY
01.01.2016</t>
  </si>
  <si>
    <t>D.A</t>
  </si>
  <si>
    <t>H.R.A</t>
  </si>
  <si>
    <t>T.A</t>
  </si>
  <si>
    <t>WASHING 
ALLOWANCE</t>
  </si>
  <si>
    <t>OTHER</t>
  </si>
  <si>
    <t>GROSS PAY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</si>
</sst>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theme="1"/>
      <name val="Arial"/>
      <charset val="0"/>
    </font>
    <font>
      <sz val="12"/>
      <color theme="1"/>
      <name val="Arial"/>
      <charset val="0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ownloads/NEW%20SALARY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mployee"/>
      <sheetName val="Earnings"/>
      <sheetName val="OfficeRecoveries"/>
      <sheetName val="OutsideRecoveries"/>
      <sheetName val="Matrix"/>
    </sheetNames>
    <sheetDataSet>
      <sheetData sheetId="0">
        <row r="10">
          <cell r="A10" t="str">
            <v>PEC101</v>
          </cell>
          <cell r="B10" t="str">
            <v>S. MUTHUVEL</v>
          </cell>
          <cell r="C10" t="str">
            <v>HELPER</v>
          </cell>
          <cell r="D10" t="str">
            <v>ADMIN</v>
          </cell>
          <cell r="E10">
            <v>1145</v>
          </cell>
          <cell r="F10" t="str">
            <v>NO</v>
          </cell>
          <cell r="G10">
            <v>7360</v>
          </cell>
          <cell r="H10">
            <v>1800</v>
          </cell>
        </row>
        <row r="11">
          <cell r="A11" t="str">
            <v>PEC102</v>
          </cell>
          <cell r="B11" t="str">
            <v>P. GOVINDARADJOU</v>
          </cell>
          <cell r="C11" t="str">
            <v>LDC</v>
          </cell>
          <cell r="D11" t="str">
            <v>ADMIN</v>
          </cell>
          <cell r="E11">
            <v>1144</v>
          </cell>
          <cell r="F11" t="str">
            <v>NO</v>
          </cell>
          <cell r="G11">
            <v>8250</v>
          </cell>
          <cell r="H11">
            <v>1900</v>
          </cell>
        </row>
        <row r="12">
          <cell r="A12" t="str">
            <v>PEC103</v>
          </cell>
          <cell r="B12" t="str">
            <v>E. BHAVANANDHI</v>
          </cell>
          <cell r="C12" t="str">
            <v>MECHANIC</v>
          </cell>
          <cell r="D12" t="str">
            <v>CIVIL</v>
          </cell>
          <cell r="E12">
            <v>35</v>
          </cell>
          <cell r="F12" t="str">
            <v>YES</v>
          </cell>
          <cell r="G12">
            <v>12500</v>
          </cell>
          <cell r="H12">
            <v>4200</v>
          </cell>
        </row>
        <row r="13">
          <cell r="A13" t="str">
            <v>PEC104</v>
          </cell>
          <cell r="B13" t="str">
            <v>R. GANESAN</v>
          </cell>
          <cell r="C13" t="str">
            <v>UDC</v>
          </cell>
          <cell r="D13" t="str">
            <v>ADMIN</v>
          </cell>
          <cell r="E13">
            <v>350</v>
          </cell>
          <cell r="F13" t="str">
            <v>NO</v>
          </cell>
          <cell r="G13">
            <v>9500</v>
          </cell>
          <cell r="H13">
            <v>2000</v>
          </cell>
        </row>
        <row r="14">
          <cell r="A14" t="str">
            <v>PEC105</v>
          </cell>
          <cell r="B14" t="str">
            <v>S. DEVA</v>
          </cell>
          <cell r="C14" t="str">
            <v>ASSISTANT</v>
          </cell>
          <cell r="D14" t="str">
            <v>ADMIN</v>
          </cell>
          <cell r="E14">
            <v>250</v>
          </cell>
          <cell r="F14" t="str">
            <v>NO</v>
          </cell>
          <cell r="G14">
            <v>11500</v>
          </cell>
          <cell r="H14">
            <v>4000</v>
          </cell>
        </row>
        <row r="15">
          <cell r="A15" t="str">
            <v>PEC106</v>
          </cell>
          <cell r="B15" t="str">
            <v>R. VELUMANI</v>
          </cell>
          <cell r="C15" t="str">
            <v>HELPER</v>
          </cell>
          <cell r="D15" t="str">
            <v>ADMIN</v>
          </cell>
          <cell r="E15">
            <v>456</v>
          </cell>
          <cell r="F15" t="str">
            <v>NO</v>
          </cell>
          <cell r="G15">
            <v>8100</v>
          </cell>
          <cell r="H15">
            <v>1800</v>
          </cell>
        </row>
        <row r="16">
          <cell r="A16" t="str">
            <v>PEC107</v>
          </cell>
          <cell r="B16" t="str">
            <v>E. GEETHA</v>
          </cell>
          <cell r="C16" t="str">
            <v>MECHANIC</v>
          </cell>
          <cell r="D16" t="str">
            <v>CSE</v>
          </cell>
          <cell r="E16">
            <v>1132</v>
          </cell>
          <cell r="F16" t="str">
            <v>YES</v>
          </cell>
          <cell r="G16">
            <v>11250</v>
          </cell>
          <cell r="H16">
            <v>4200</v>
          </cell>
        </row>
        <row r="17">
          <cell r="A17" t="str">
            <v>PEC108</v>
          </cell>
          <cell r="B17" t="str">
            <v>V. VENGATARAMAN</v>
          </cell>
          <cell r="C17" t="str">
            <v>LDC</v>
          </cell>
          <cell r="D17" t="str">
            <v>ADMIN</v>
          </cell>
          <cell r="E17">
            <v>335</v>
          </cell>
          <cell r="F17" t="str">
            <v>NO</v>
          </cell>
          <cell r="G17">
            <v>8750</v>
          </cell>
          <cell r="H17">
            <v>1900</v>
          </cell>
        </row>
        <row r="18">
          <cell r="A18" t="str">
            <v>PEC109</v>
          </cell>
          <cell r="B18" t="str">
            <v>T. SIVAKUMAR</v>
          </cell>
          <cell r="C18" t="str">
            <v>ASSISTANT</v>
          </cell>
          <cell r="D18" t="str">
            <v>ADMIN</v>
          </cell>
          <cell r="E18">
            <v>1125</v>
          </cell>
          <cell r="F18" t="str">
            <v>NO</v>
          </cell>
          <cell r="G18">
            <v>10500</v>
          </cell>
          <cell r="H18">
            <v>4000</v>
          </cell>
        </row>
        <row r="19">
          <cell r="A19" t="str">
            <v>PEC110</v>
          </cell>
          <cell r="B19" t="str">
            <v>G. MOHAN</v>
          </cell>
          <cell r="C19" t="str">
            <v>UDC</v>
          </cell>
          <cell r="D19" t="str">
            <v>ADMIN</v>
          </cell>
          <cell r="E19">
            <v>210</v>
          </cell>
          <cell r="F19" t="str">
            <v>NO</v>
          </cell>
          <cell r="G19">
            <v>9750</v>
          </cell>
          <cell r="H19">
            <v>2000</v>
          </cell>
        </row>
        <row r="20">
          <cell r="A20" t="str">
            <v>PEC111</v>
          </cell>
          <cell r="B20" t="str">
            <v>R. PALANI</v>
          </cell>
          <cell r="C20" t="str">
            <v>HELPER</v>
          </cell>
          <cell r="D20" t="str">
            <v>ADMIN</v>
          </cell>
          <cell r="E20">
            <v>744</v>
          </cell>
          <cell r="F20" t="str">
            <v>NO</v>
          </cell>
          <cell r="G20">
            <v>7850</v>
          </cell>
          <cell r="H20">
            <v>1800</v>
          </cell>
        </row>
        <row r="21">
          <cell r="A21" t="str">
            <v>PEC112</v>
          </cell>
          <cell r="B21" t="str">
            <v>D. SARALA</v>
          </cell>
          <cell r="C21" t="str">
            <v>MECHANIC</v>
          </cell>
          <cell r="D21" t="str">
            <v>ECE</v>
          </cell>
          <cell r="E21">
            <v>88</v>
          </cell>
          <cell r="F21" t="str">
            <v>YES</v>
          </cell>
          <cell r="G21">
            <v>12250</v>
          </cell>
          <cell r="H21">
            <v>4200</v>
          </cell>
        </row>
        <row r="22">
          <cell r="A22" t="str">
            <v>PEC113</v>
          </cell>
          <cell r="B22" t="str">
            <v>V. MALA</v>
          </cell>
          <cell r="C22" t="str">
            <v>UDC</v>
          </cell>
          <cell r="D22" t="str">
            <v>ADMIN</v>
          </cell>
          <cell r="E22">
            <v>950</v>
          </cell>
          <cell r="F22" t="str">
            <v>NO</v>
          </cell>
          <cell r="G22">
            <v>11250</v>
          </cell>
          <cell r="H22">
            <v>2000</v>
          </cell>
        </row>
        <row r="23">
          <cell r="A23" t="str">
            <v>PEC114</v>
          </cell>
          <cell r="B23" t="str">
            <v>F. SAGAYARAJ</v>
          </cell>
          <cell r="C23" t="str">
            <v>ASSISTANT</v>
          </cell>
          <cell r="D23" t="str">
            <v>ADMIN</v>
          </cell>
          <cell r="E23">
            <v>750</v>
          </cell>
          <cell r="F23" t="str">
            <v>NO</v>
          </cell>
        </row>
        <row r="24">
          <cell r="A24" t="str">
            <v>PEC115</v>
          </cell>
          <cell r="B24" t="str">
            <v>K. AROUMOGAME</v>
          </cell>
          <cell r="C24" t="str">
            <v>HELPER</v>
          </cell>
          <cell r="D24" t="str">
            <v>ADMIN</v>
          </cell>
          <cell r="E24">
            <v>1143</v>
          </cell>
          <cell r="F24" t="str">
            <v>NO</v>
          </cell>
          <cell r="G24">
            <v>5860</v>
          </cell>
          <cell r="H24">
            <v>1800</v>
          </cell>
        </row>
        <row r="25">
          <cell r="A25" t="str">
            <v>PEC116</v>
          </cell>
          <cell r="B25" t="str">
            <v>S. KAMATCHI SUNDARAM</v>
          </cell>
          <cell r="C25" t="str">
            <v>MECHANIC</v>
          </cell>
          <cell r="D25" t="str">
            <v>MECHANICAL</v>
          </cell>
          <cell r="E25">
            <v>28</v>
          </cell>
          <cell r="F25" t="str">
            <v>NO</v>
          </cell>
          <cell r="G25">
            <v>10070</v>
          </cell>
          <cell r="H25">
            <v>4200</v>
          </cell>
        </row>
        <row r="26">
          <cell r="A26" t="str">
            <v>PEC117</v>
          </cell>
          <cell r="B26" t="str">
            <v>K. DEVANADHAN</v>
          </cell>
          <cell r="C26" t="str">
            <v>LAB ATTANDANT</v>
          </cell>
          <cell r="D26" t="str">
            <v>CSE</v>
          </cell>
          <cell r="E26">
            <v>1135</v>
          </cell>
          <cell r="F26" t="str">
            <v>NO</v>
          </cell>
          <cell r="G26">
            <v>7750</v>
          </cell>
          <cell r="H26">
            <v>1900</v>
          </cell>
        </row>
        <row r="27">
          <cell r="A27" t="str">
            <v>PEC118</v>
          </cell>
          <cell r="B27" t="str">
            <v>R. PAVITHRA</v>
          </cell>
          <cell r="C27" t="str">
            <v>UDC</v>
          </cell>
          <cell r="D27" t="str">
            <v>ADMIN</v>
          </cell>
          <cell r="E27">
            <v>450</v>
          </cell>
          <cell r="F27" t="str">
            <v>NO</v>
          </cell>
          <cell r="G27">
            <v>8900</v>
          </cell>
          <cell r="H27">
            <v>2400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workbookViewId="0">
      <selection activeCell="J24" sqref="J24"/>
    </sheetView>
  </sheetViews>
  <sheetFormatPr defaultColWidth="9.23076923076923" defaultRowHeight="16.8"/>
  <sheetData>
    <row r="1" spans="1:16">
      <c r="A1" s="1" t="s">
        <v>0</v>
      </c>
      <c r="B1" s="2"/>
      <c r="C1" s="2"/>
      <c r="D1" s="2"/>
      <c r="E1" s="2"/>
      <c r="F1" s="2"/>
      <c r="G1" s="2"/>
      <c r="H1" s="2"/>
      <c r="I1" s="8"/>
      <c r="J1" s="9" t="s">
        <v>1</v>
      </c>
      <c r="K1" s="10"/>
      <c r="L1" s="10"/>
      <c r="M1" s="10"/>
      <c r="N1" s="10"/>
      <c r="O1" s="10"/>
      <c r="P1" s="10"/>
    </row>
    <row r="2" spans="1:16">
      <c r="A2" s="2"/>
      <c r="B2" s="2"/>
      <c r="C2" s="2"/>
      <c r="D2" s="2"/>
      <c r="E2" s="2"/>
      <c r="F2" s="2"/>
      <c r="G2" s="2"/>
      <c r="H2" s="2"/>
      <c r="I2" s="8"/>
      <c r="J2" s="10"/>
      <c r="K2" s="10"/>
      <c r="L2" s="10"/>
      <c r="M2" s="10"/>
      <c r="N2" s="10"/>
      <c r="O2" s="10"/>
      <c r="P2" s="10"/>
    </row>
    <row r="3" spans="1:16">
      <c r="A3" s="2"/>
      <c r="B3" s="2"/>
      <c r="C3" s="2"/>
      <c r="D3" s="2"/>
      <c r="E3" s="2"/>
      <c r="F3" s="2"/>
      <c r="G3" s="2"/>
      <c r="H3" s="2"/>
      <c r="I3" s="8"/>
      <c r="J3" s="10"/>
      <c r="K3" s="10"/>
      <c r="L3" s="10"/>
      <c r="M3" s="10"/>
      <c r="N3" s="10"/>
      <c r="O3" s="10"/>
      <c r="P3" s="10"/>
    </row>
    <row r="4" ht="88" spans="1:1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7" t="s">
        <v>8</v>
      </c>
      <c r="H4" s="3" t="s">
        <v>9</v>
      </c>
      <c r="I4" s="7" t="s">
        <v>10</v>
      </c>
      <c r="J4" s="11" t="s">
        <v>11</v>
      </c>
      <c r="K4" s="12" t="s">
        <v>12</v>
      </c>
      <c r="L4" s="12" t="s">
        <v>13</v>
      </c>
      <c r="M4" s="12" t="s">
        <v>14</v>
      </c>
      <c r="N4" s="11" t="s">
        <v>15</v>
      </c>
      <c r="O4" s="12" t="s">
        <v>16</v>
      </c>
      <c r="P4" s="12" t="s">
        <v>17</v>
      </c>
    </row>
    <row r="5" ht="17.6" spans="1:16">
      <c r="A5" s="4" t="str">
        <f>([1]Employee!A10)</f>
        <v>PEC101</v>
      </c>
      <c r="B5" s="4" t="str">
        <f>([1]Employee!B10)</f>
        <v>S. MUTHUVEL</v>
      </c>
      <c r="C5" s="5" t="str">
        <f>([1]Employee!C10)</f>
        <v>HELPER</v>
      </c>
      <c r="D5" s="6" t="str">
        <f>([1]Employee!D10)</f>
        <v>ADMIN</v>
      </c>
      <c r="E5" s="6">
        <f>([1]Employee!E10)</f>
        <v>1145</v>
      </c>
      <c r="F5" s="6" t="str">
        <f>([1]Employee!F10)</f>
        <v>NO</v>
      </c>
      <c r="G5" s="4">
        <f>([1]Employee!G10)</f>
        <v>7360</v>
      </c>
      <c r="H5" s="4">
        <f>([1]Employee!H10)</f>
        <v>1800</v>
      </c>
      <c r="I5" s="4">
        <v>23541</v>
      </c>
      <c r="J5" s="4">
        <v>24200</v>
      </c>
      <c r="K5" s="4">
        <v>0</v>
      </c>
      <c r="L5" s="4">
        <v>3872</v>
      </c>
      <c r="M5" s="4">
        <v>900</v>
      </c>
      <c r="N5" s="4"/>
      <c r="O5" s="4"/>
      <c r="P5" s="4">
        <v>28972</v>
      </c>
    </row>
    <row r="6" ht="17.6" spans="1:16">
      <c r="A6" s="4" t="str">
        <f>([1]Employee!A11)</f>
        <v>PEC102</v>
      </c>
      <c r="B6" s="4" t="str">
        <f>([1]Employee!B11)</f>
        <v>P. GOVINDARADJOU</v>
      </c>
      <c r="C6" s="5" t="str">
        <f>([1]Employee!C11)</f>
        <v>LDC</v>
      </c>
      <c r="D6" s="6" t="str">
        <f>([1]Employee!D11)</f>
        <v>ADMIN</v>
      </c>
      <c r="E6" s="6">
        <f>([1]Employee!E11)</f>
        <v>1144</v>
      </c>
      <c r="F6" s="6" t="str">
        <f>([1]Employee!F11)</f>
        <v>NO</v>
      </c>
      <c r="G6" s="4">
        <f>([1]Employee!G11)</f>
        <v>8250</v>
      </c>
      <c r="H6" s="4">
        <f>([1]Employee!H11)</f>
        <v>1900</v>
      </c>
      <c r="I6" s="4">
        <v>26086</v>
      </c>
      <c r="J6" s="4">
        <v>26800</v>
      </c>
      <c r="K6" s="4">
        <v>0</v>
      </c>
      <c r="L6" s="4">
        <v>4288</v>
      </c>
      <c r="M6" s="4">
        <v>900</v>
      </c>
      <c r="N6" s="4"/>
      <c r="O6" s="4"/>
      <c r="P6" s="4">
        <v>31988</v>
      </c>
    </row>
    <row r="7" ht="17.6" spans="1:16">
      <c r="A7" s="4" t="str">
        <f>([1]Employee!A12)</f>
        <v>PEC103</v>
      </c>
      <c r="B7" s="4" t="str">
        <f>([1]Employee!B12)</f>
        <v>E. BHAVANANDHI</v>
      </c>
      <c r="C7" s="5" t="str">
        <f>([1]Employee!C12)</f>
        <v>MECHANIC</v>
      </c>
      <c r="D7" s="6" t="str">
        <f>([1]Employee!D12)</f>
        <v>CIVIL</v>
      </c>
      <c r="E7" s="6">
        <f>([1]Employee!E12)</f>
        <v>35</v>
      </c>
      <c r="F7" s="6" t="str">
        <f>([1]Employee!F12)</f>
        <v>YES</v>
      </c>
      <c r="G7" s="4">
        <f>([1]Employee!G12)</f>
        <v>12500</v>
      </c>
      <c r="H7" s="4">
        <f>([1]Employee!H12)</f>
        <v>4200</v>
      </c>
      <c r="I7" s="4">
        <v>42919</v>
      </c>
      <c r="J7" s="4">
        <v>43600</v>
      </c>
      <c r="K7" s="4">
        <v>0</v>
      </c>
      <c r="L7" s="4">
        <v>6976</v>
      </c>
      <c r="M7" s="4">
        <v>1800</v>
      </c>
      <c r="N7" s="4"/>
      <c r="O7" s="4"/>
      <c r="P7" s="4">
        <v>52376</v>
      </c>
    </row>
    <row r="8" ht="17.6" spans="1:16">
      <c r="A8" s="4" t="str">
        <f>([1]Employee!A13)</f>
        <v>PEC104</v>
      </c>
      <c r="B8" s="4" t="str">
        <f>([1]Employee!B13)</f>
        <v>R. GANESAN</v>
      </c>
      <c r="C8" s="5" t="str">
        <f>([1]Employee!C13)</f>
        <v>UDC</v>
      </c>
      <c r="D8" s="6" t="str">
        <f>([1]Employee!D13)</f>
        <v>ADMIN</v>
      </c>
      <c r="E8" s="6">
        <f>([1]Employee!E13)</f>
        <v>350</v>
      </c>
      <c r="F8" s="6" t="str">
        <f>([1]Employee!F13)</f>
        <v>NO</v>
      </c>
      <c r="G8" s="4">
        <f>([1]Employee!G13)</f>
        <v>9500</v>
      </c>
      <c r="H8" s="4">
        <f>([1]Employee!H13)</f>
        <v>2000</v>
      </c>
      <c r="I8" s="4">
        <v>29555</v>
      </c>
      <c r="J8" s="4">
        <v>30200</v>
      </c>
      <c r="K8" s="4">
        <v>0</v>
      </c>
      <c r="L8" s="4">
        <v>4832</v>
      </c>
      <c r="M8" s="4">
        <v>1800</v>
      </c>
      <c r="N8" s="4"/>
      <c r="O8" s="4"/>
      <c r="P8" s="4">
        <v>36832</v>
      </c>
    </row>
    <row r="9" ht="17.6" spans="1:16">
      <c r="A9" s="4" t="str">
        <f>([1]Employee!A14)</f>
        <v>PEC105</v>
      </c>
      <c r="B9" s="4" t="str">
        <f>([1]Employee!B14)</f>
        <v>S. DEVA</v>
      </c>
      <c r="C9" s="5" t="str">
        <f>([1]Employee!C14)</f>
        <v>ASSISTANT</v>
      </c>
      <c r="D9" s="6" t="str">
        <f>([1]Employee!D14)</f>
        <v>ADMIN</v>
      </c>
      <c r="E9" s="6">
        <f>([1]Employee!E14)</f>
        <v>250</v>
      </c>
      <c r="F9" s="6" t="str">
        <f>([1]Employee!F14)</f>
        <v>NO</v>
      </c>
      <c r="G9" s="4">
        <f>([1]Employee!G14)</f>
        <v>11500</v>
      </c>
      <c r="H9" s="4">
        <f>([1]Employee!H14)</f>
        <v>4000</v>
      </c>
      <c r="I9" s="4">
        <v>39835</v>
      </c>
      <c r="J9" s="4">
        <v>40600</v>
      </c>
      <c r="K9" s="4">
        <v>0</v>
      </c>
      <c r="L9" s="4">
        <v>6496</v>
      </c>
      <c r="M9" s="4">
        <v>1800</v>
      </c>
      <c r="N9" s="4"/>
      <c r="O9" s="4"/>
      <c r="P9" s="4">
        <v>48896</v>
      </c>
    </row>
    <row r="10" ht="17.6" spans="1:16">
      <c r="A10" s="4" t="str">
        <f>([1]Employee!A15)</f>
        <v>PEC106</v>
      </c>
      <c r="B10" s="4" t="str">
        <f>([1]Employee!B15)</f>
        <v>R. VELUMANI</v>
      </c>
      <c r="C10" s="5" t="str">
        <f>([1]Employee!C15)</f>
        <v>HELPER</v>
      </c>
      <c r="D10" s="6" t="str">
        <f>([1]Employee!D15)</f>
        <v>ADMIN</v>
      </c>
      <c r="E10" s="6">
        <f>([1]Employee!E15)</f>
        <v>456</v>
      </c>
      <c r="F10" s="6" t="str">
        <f>([1]Employee!F15)</f>
        <v>NO</v>
      </c>
      <c r="G10" s="4">
        <f>([1]Employee!G15)</f>
        <v>8100</v>
      </c>
      <c r="H10" s="4">
        <f>([1]Employee!H15)</f>
        <v>1800</v>
      </c>
      <c r="I10" s="4">
        <v>25443</v>
      </c>
      <c r="J10" s="4">
        <v>25600</v>
      </c>
      <c r="K10" s="4">
        <v>0</v>
      </c>
      <c r="L10" s="4">
        <v>4096</v>
      </c>
      <c r="M10" s="4">
        <v>900</v>
      </c>
      <c r="N10" s="4"/>
      <c r="O10" s="4"/>
      <c r="P10" s="4">
        <v>30596</v>
      </c>
    </row>
    <row r="11" ht="17.6" spans="1:16">
      <c r="A11" s="4" t="str">
        <f>([1]Employee!A16)</f>
        <v>PEC107</v>
      </c>
      <c r="B11" s="4" t="str">
        <f>([1]Employee!B16)</f>
        <v>E. GEETHA</v>
      </c>
      <c r="C11" s="5" t="str">
        <f>([1]Employee!C16)</f>
        <v>MECHANIC</v>
      </c>
      <c r="D11" s="6" t="str">
        <f>([1]Employee!D16)</f>
        <v>CSE</v>
      </c>
      <c r="E11" s="6">
        <f>([1]Employee!E16)</f>
        <v>1132</v>
      </c>
      <c r="F11" s="6" t="str">
        <f>([1]Employee!F16)</f>
        <v>YES</v>
      </c>
      <c r="G11" s="4">
        <f>([1]Employee!G16)</f>
        <v>11250</v>
      </c>
      <c r="H11" s="4">
        <f>([1]Employee!H16)</f>
        <v>4200</v>
      </c>
      <c r="I11" s="4">
        <v>39706</v>
      </c>
      <c r="J11" s="4">
        <v>39900</v>
      </c>
      <c r="K11" s="4">
        <v>0</v>
      </c>
      <c r="L11" s="4">
        <v>6384</v>
      </c>
      <c r="M11" s="4">
        <v>1800</v>
      </c>
      <c r="N11" s="4"/>
      <c r="O11" s="4"/>
      <c r="P11" s="4">
        <v>48084</v>
      </c>
    </row>
    <row r="12" ht="17.6" spans="1:16">
      <c r="A12" s="4" t="str">
        <f>([1]Employee!A17)</f>
        <v>PEC108</v>
      </c>
      <c r="B12" s="4" t="str">
        <f>([1]Employee!B17)</f>
        <v>V. VENGATARAMAN</v>
      </c>
      <c r="C12" s="5" t="str">
        <f>([1]Employee!C17)</f>
        <v>LDC</v>
      </c>
      <c r="D12" s="6" t="str">
        <f>([1]Employee!D17)</f>
        <v>ADMIN</v>
      </c>
      <c r="E12" s="6">
        <f>([1]Employee!E17)</f>
        <v>335</v>
      </c>
      <c r="F12" s="6" t="str">
        <f>([1]Employee!F17)</f>
        <v>NO</v>
      </c>
      <c r="G12" s="4">
        <f>([1]Employee!G17)</f>
        <v>8750</v>
      </c>
      <c r="H12" s="4">
        <f>([1]Employee!H17)</f>
        <v>1900</v>
      </c>
      <c r="I12" s="4">
        <v>27370</v>
      </c>
      <c r="J12" s="4">
        <v>27600</v>
      </c>
      <c r="K12" s="4">
        <v>0</v>
      </c>
      <c r="L12" s="4">
        <v>4416</v>
      </c>
      <c r="M12" s="4">
        <v>900</v>
      </c>
      <c r="N12" s="4"/>
      <c r="O12" s="4"/>
      <c r="P12" s="4">
        <v>32916</v>
      </c>
    </row>
    <row r="13" ht="17.6" spans="1:16">
      <c r="A13" s="4" t="str">
        <f>([1]Employee!A18)</f>
        <v>PEC109</v>
      </c>
      <c r="B13" s="4" t="str">
        <f>([1]Employee!B18)</f>
        <v>T. SIVAKUMAR</v>
      </c>
      <c r="C13" s="5" t="str">
        <f>([1]Employee!C18)</f>
        <v>ASSISTANT</v>
      </c>
      <c r="D13" s="6" t="str">
        <f>([1]Employee!D18)</f>
        <v>ADMIN</v>
      </c>
      <c r="E13" s="6">
        <f>([1]Employee!E18)</f>
        <v>1125</v>
      </c>
      <c r="F13" s="6" t="str">
        <f>([1]Employee!F18)</f>
        <v>NO</v>
      </c>
      <c r="G13" s="4">
        <f>([1]Employee!G18)</f>
        <v>10500</v>
      </c>
      <c r="H13" s="4">
        <f>([1]Employee!H18)</f>
        <v>4000</v>
      </c>
      <c r="I13" s="4">
        <v>37265</v>
      </c>
      <c r="J13" s="4">
        <v>38300</v>
      </c>
      <c r="K13" s="4">
        <v>0</v>
      </c>
      <c r="L13" s="4">
        <v>6128</v>
      </c>
      <c r="M13" s="4">
        <v>1800</v>
      </c>
      <c r="N13" s="4"/>
      <c r="O13" s="4"/>
      <c r="P13" s="4">
        <v>46228</v>
      </c>
    </row>
    <row r="14" ht="17.6" spans="1:16">
      <c r="A14" s="4" t="str">
        <f>([1]Employee!A19)</f>
        <v>PEC110</v>
      </c>
      <c r="B14" s="4" t="str">
        <f>([1]Employee!B19)</f>
        <v>G. MOHAN</v>
      </c>
      <c r="C14" s="5" t="str">
        <f>([1]Employee!C19)</f>
        <v>UDC</v>
      </c>
      <c r="D14" s="6" t="str">
        <f>([1]Employee!D19)</f>
        <v>ADMIN</v>
      </c>
      <c r="E14" s="6">
        <f>([1]Employee!E19)</f>
        <v>210</v>
      </c>
      <c r="F14" s="6" t="str">
        <f>([1]Employee!F19)</f>
        <v>NO</v>
      </c>
      <c r="G14" s="4">
        <f>([1]Employee!G19)</f>
        <v>9750</v>
      </c>
      <c r="H14" s="4">
        <f>([1]Employee!H19)</f>
        <v>2000</v>
      </c>
      <c r="I14" s="4">
        <v>30197</v>
      </c>
      <c r="J14" s="4">
        <v>30200</v>
      </c>
      <c r="K14" s="4">
        <v>0</v>
      </c>
      <c r="L14" s="4">
        <v>4832</v>
      </c>
      <c r="M14" s="4">
        <v>1800</v>
      </c>
      <c r="N14" s="4"/>
      <c r="O14" s="4"/>
      <c r="P14" s="4">
        <v>36832</v>
      </c>
    </row>
    <row r="15" ht="17.6" spans="1:16">
      <c r="A15" s="4" t="str">
        <f>([1]Employee!A20)</f>
        <v>PEC111</v>
      </c>
      <c r="B15" s="4" t="str">
        <f>([1]Employee!B20)</f>
        <v>R. PALANI</v>
      </c>
      <c r="C15" s="5" t="str">
        <f>([1]Employee!C20)</f>
        <v>HELPER</v>
      </c>
      <c r="D15" s="6" t="str">
        <f>([1]Employee!D20)</f>
        <v>ADMIN</v>
      </c>
      <c r="E15" s="6">
        <f>([1]Employee!E20)</f>
        <v>744</v>
      </c>
      <c r="F15" s="6" t="str">
        <f>([1]Employee!F20)</f>
        <v>NO</v>
      </c>
      <c r="G15" s="4">
        <f>([1]Employee!G20)</f>
        <v>7850</v>
      </c>
      <c r="H15" s="4">
        <f>([1]Employee!H20)</f>
        <v>1800</v>
      </c>
      <c r="I15" s="4">
        <v>24800</v>
      </c>
      <c r="J15" s="4">
        <v>24900</v>
      </c>
      <c r="K15" s="4">
        <v>0</v>
      </c>
      <c r="L15" s="4">
        <v>3984</v>
      </c>
      <c r="M15" s="4">
        <v>900</v>
      </c>
      <c r="N15" s="4"/>
      <c r="O15" s="4"/>
      <c r="P15" s="4">
        <v>29784</v>
      </c>
    </row>
    <row r="16" ht="17.6" spans="1:16">
      <c r="A16" s="4" t="str">
        <f>([1]Employee!A21)</f>
        <v>PEC112</v>
      </c>
      <c r="B16" s="4" t="str">
        <f>([1]Employee!B21)</f>
        <v>D. SARALA</v>
      </c>
      <c r="C16" s="5" t="str">
        <f>([1]Employee!C21)</f>
        <v>MECHANIC</v>
      </c>
      <c r="D16" s="6" t="str">
        <f>([1]Employee!D21)</f>
        <v>ECE</v>
      </c>
      <c r="E16" s="6">
        <f>([1]Employee!E21)</f>
        <v>88</v>
      </c>
      <c r="F16" s="6" t="str">
        <f>([1]Employee!F21)</f>
        <v>YES</v>
      </c>
      <c r="G16" s="4">
        <f>([1]Employee!G21)</f>
        <v>12250</v>
      </c>
      <c r="H16" s="4">
        <f>([1]Employee!H21)</f>
        <v>4200</v>
      </c>
      <c r="I16" s="4">
        <v>42276</v>
      </c>
      <c r="J16" s="4">
        <v>42300</v>
      </c>
      <c r="K16" s="4">
        <v>0</v>
      </c>
      <c r="L16" s="4">
        <v>6768</v>
      </c>
      <c r="M16" s="4">
        <v>1800</v>
      </c>
      <c r="N16" s="4"/>
      <c r="O16" s="4"/>
      <c r="P16" s="4">
        <v>50868</v>
      </c>
    </row>
    <row r="17" ht="17.6" spans="1:16">
      <c r="A17" s="4" t="str">
        <f>([1]Employee!A22)</f>
        <v>PEC113</v>
      </c>
      <c r="B17" s="4" t="str">
        <f>([1]Employee!B22)</f>
        <v>V. MALA</v>
      </c>
      <c r="C17" s="5" t="str">
        <f>([1]Employee!C22)</f>
        <v>UDC</v>
      </c>
      <c r="D17" s="6" t="str">
        <f>([1]Employee!D22)</f>
        <v>ADMIN</v>
      </c>
      <c r="E17" s="6">
        <f>([1]Employee!E22)</f>
        <v>950</v>
      </c>
      <c r="F17" s="6" t="str">
        <f>([1]Employee!F22)</f>
        <v>NO</v>
      </c>
      <c r="G17" s="4">
        <f>([1]Employee!G22)</f>
        <v>11250</v>
      </c>
      <c r="H17" s="4">
        <f>([1]Employee!H22)</f>
        <v>2000</v>
      </c>
      <c r="I17" s="4">
        <v>34052</v>
      </c>
      <c r="J17" s="4">
        <v>35000</v>
      </c>
      <c r="K17" s="4">
        <v>0</v>
      </c>
      <c r="L17" s="4">
        <v>5600</v>
      </c>
      <c r="M17" s="4">
        <v>1800</v>
      </c>
      <c r="N17" s="4"/>
      <c r="O17" s="4"/>
      <c r="P17" s="4">
        <v>42400</v>
      </c>
    </row>
    <row r="18" ht="17.6" spans="1:16">
      <c r="A18" s="4" t="str">
        <f>([1]Employee!A23)</f>
        <v>PEC114</v>
      </c>
      <c r="B18" s="4" t="str">
        <f>([1]Employee!B23)</f>
        <v>F. SAGAYARAJ</v>
      </c>
      <c r="C18" s="5" t="str">
        <f>([1]Employee!C23)</f>
        <v>ASSISTANT</v>
      </c>
      <c r="D18" s="6" t="str">
        <f>([1]Employee!D23)</f>
        <v>ADMIN</v>
      </c>
      <c r="E18" s="6">
        <f>([1]Employee!E23)</f>
        <v>750</v>
      </c>
      <c r="F18" s="6" t="str">
        <f>([1]Employee!F23)</f>
        <v>NO</v>
      </c>
      <c r="G18" s="4">
        <v>10000</v>
      </c>
      <c r="H18" s="4">
        <v>2000</v>
      </c>
      <c r="I18" s="4">
        <v>30840</v>
      </c>
      <c r="J18" s="4">
        <v>31100</v>
      </c>
      <c r="K18" s="4">
        <v>0</v>
      </c>
      <c r="L18" s="4">
        <v>4976</v>
      </c>
      <c r="M18" s="4">
        <v>1800</v>
      </c>
      <c r="N18" s="4"/>
      <c r="O18" s="4"/>
      <c r="P18" s="4">
        <v>37876</v>
      </c>
    </row>
    <row r="19" ht="17.6" spans="1:16">
      <c r="A19" s="4" t="str">
        <f>([1]Employee!A24)</f>
        <v>PEC115</v>
      </c>
      <c r="B19" s="4" t="str">
        <f>([1]Employee!B24)</f>
        <v>K. AROUMOGAME</v>
      </c>
      <c r="C19" s="5" t="str">
        <f>([1]Employee!C24)</f>
        <v>HELPER</v>
      </c>
      <c r="D19" s="6" t="str">
        <f>([1]Employee!D24)</f>
        <v>ADMIN</v>
      </c>
      <c r="E19" s="6">
        <f>([1]Employee!E24)</f>
        <v>1143</v>
      </c>
      <c r="F19" s="6" t="str">
        <f>([1]Employee!F24)</f>
        <v>NO</v>
      </c>
      <c r="G19" s="4">
        <f>([1]Employee!G24)</f>
        <v>5860</v>
      </c>
      <c r="H19" s="4">
        <f>([1]Employee!H24)</f>
        <v>1800</v>
      </c>
      <c r="I19" s="4">
        <v>19686</v>
      </c>
      <c r="J19" s="4">
        <v>19700</v>
      </c>
      <c r="K19" s="4">
        <v>0</v>
      </c>
      <c r="L19" s="4">
        <v>3152</v>
      </c>
      <c r="M19" s="4">
        <v>900</v>
      </c>
      <c r="N19" s="4"/>
      <c r="O19" s="4"/>
      <c r="P19" s="4">
        <v>23752</v>
      </c>
    </row>
    <row r="20" ht="17.6" spans="1:16">
      <c r="A20" s="4" t="str">
        <f>([1]Employee!A25)</f>
        <v>PEC116</v>
      </c>
      <c r="B20" s="4" t="str">
        <f>([1]Employee!B25)</f>
        <v>S. KAMATCHI SUNDARAM</v>
      </c>
      <c r="C20" s="5" t="str">
        <f>([1]Employee!C25)</f>
        <v>MECHANIC</v>
      </c>
      <c r="D20" s="6" t="str">
        <f>([1]Employee!D25)</f>
        <v>MECHANICAL</v>
      </c>
      <c r="E20" s="6">
        <f>([1]Employee!E25)</f>
        <v>28</v>
      </c>
      <c r="F20" s="6" t="str">
        <f>([1]Employee!F25)</f>
        <v>NO</v>
      </c>
      <c r="G20" s="4">
        <f>([1]Employee!G25)</f>
        <v>10070</v>
      </c>
      <c r="H20" s="4">
        <f>([1]Employee!H25)</f>
        <v>4200</v>
      </c>
      <c r="I20" s="4">
        <v>36674</v>
      </c>
      <c r="J20" s="4">
        <v>37600</v>
      </c>
      <c r="K20" s="4">
        <v>0</v>
      </c>
      <c r="L20" s="4">
        <v>6016</v>
      </c>
      <c r="M20" s="4">
        <v>1800</v>
      </c>
      <c r="N20" s="4"/>
      <c r="O20" s="4"/>
      <c r="P20" s="4">
        <v>45416</v>
      </c>
    </row>
    <row r="21" ht="17.6" spans="1:16">
      <c r="A21" s="4" t="str">
        <f>([1]Employee!A26)</f>
        <v>PEC117</v>
      </c>
      <c r="B21" s="4" t="str">
        <f>([1]Employee!B26)</f>
        <v>K. DEVANADHAN</v>
      </c>
      <c r="C21" s="5" t="str">
        <f>([1]Employee!C26)</f>
        <v>LAB ATTANDANT</v>
      </c>
      <c r="D21" s="6" t="str">
        <f>([1]Employee!D26)</f>
        <v>CSE</v>
      </c>
      <c r="E21" s="6">
        <f>([1]Employee!E26)</f>
        <v>1135</v>
      </c>
      <c r="F21" s="6" t="str">
        <f>([1]Employee!F26)</f>
        <v>NO</v>
      </c>
      <c r="G21" s="4">
        <f>([1]Employee!G26)</f>
        <v>7750</v>
      </c>
      <c r="H21" s="4">
        <f>([1]Employee!H26)</f>
        <v>1900</v>
      </c>
      <c r="I21" s="4">
        <v>24800</v>
      </c>
      <c r="J21" s="4">
        <v>25200</v>
      </c>
      <c r="K21" s="4">
        <v>0</v>
      </c>
      <c r="L21" s="4">
        <v>4032</v>
      </c>
      <c r="M21" s="4">
        <v>900</v>
      </c>
      <c r="N21" s="4"/>
      <c r="O21" s="4"/>
      <c r="P21" s="4">
        <v>30132</v>
      </c>
    </row>
    <row r="22" ht="17.6" spans="1:16">
      <c r="A22" s="4" t="str">
        <f>([1]Employee!A27)</f>
        <v>PEC118</v>
      </c>
      <c r="B22" s="4" t="str">
        <f>([1]Employee!B27)</f>
        <v>R. PAVITHRA</v>
      </c>
      <c r="C22" s="5" t="str">
        <f>([1]Employee!C27)</f>
        <v>UDC</v>
      </c>
      <c r="D22" s="6" t="str">
        <f>([1]Employee!D27)</f>
        <v>ADMIN</v>
      </c>
      <c r="E22" s="6">
        <f>([1]Employee!E27)</f>
        <v>450</v>
      </c>
      <c r="F22" s="6" t="str">
        <f>([1]Employee!F27)</f>
        <v>NO</v>
      </c>
      <c r="G22" s="4">
        <f>([1]Employee!G27)</f>
        <v>8900</v>
      </c>
      <c r="H22" s="4">
        <f>([1]Employee!H27)</f>
        <v>2400</v>
      </c>
      <c r="I22" s="4">
        <v>29041</v>
      </c>
      <c r="J22" s="4">
        <v>29600</v>
      </c>
      <c r="K22" s="4"/>
      <c r="L22" s="4"/>
      <c r="M22" s="4"/>
      <c r="N22" s="4"/>
      <c r="O22" s="4"/>
      <c r="P22" s="4"/>
    </row>
  </sheetData>
  <mergeCells count="2">
    <mergeCell ref="A1:I3"/>
    <mergeCell ref="J1:P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2024-12-16T23:05:00Z</dcterms:created>
  <dcterms:modified xsi:type="dcterms:W3CDTF">2024-12-28T23:00:25Z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E239B15A67D6D7D342D15F675DC8B1EB_41</vt:lpwstr>
  </property>
  <property fmtid="{D5CDD505-2E9C-101B-9397-08002B2CF9AE}" pid="3" name="KSOProductBuildVer">
    <vt:lpwstr>2052-6.8.2.8850</vt:lpwstr>
  </property>
</Properties>
</file>