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<sst xmlns="http://schemas.openxmlformats.org/spreadsheetml/2006/main" count="16" uniqueCount="10">
  <si>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EASTING</t>
  </si>
  <si>
    <t>NORTHING</t>
  </si>
  <si>
    <t>DEPTH</t>
  </si>
  <si>
    <t>MATERIAL</t>
  </si>
  <si>
    <t>TONNAGE (t)</t>
  </si>
  <si>
    <t>Menge(m³+t)</t>
  </si>
  <si>
    <t>SG (t/m3)</t>
  </si>
  <si>
    <t>MAX</t>
  </si>
  <si>
    <t>MIN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</si>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</sst>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workbookViewId="0">
      <selection activeCell="O75" sqref="O75"/>
    </sheetView>
  </sheetViews>
  <sheetFormatPr defaultColWidth="9.23076923076923" defaultRowHeight="16.8"/>
  <cols>
    <col min="1" max="1" width="14.7403846153846" customWidth="1"/>
    <col min="2" max="2" width="13.6153846153846" customWidth="1"/>
    <col min="3" max="3" width="17.7788461538462" customWidth="1"/>
  </cols>
  <sheetData>
    <row r="1" spans="1:13">
      <c r="A1" s="1"/>
      <c r="B1" s="2"/>
      <c r="C1" s="2"/>
      <c r="D1" s="2"/>
      <c r="E1" s="3" t="s">
        <v>0</v>
      </c>
      <c r="F1" s="3"/>
      <c r="G1" s="3"/>
      <c r="H1" s="4" t="s">
        <v>1</v>
      </c>
      <c r="I1" s="4"/>
      <c r="J1" s="4"/>
      <c r="K1" s="6" t="s">
        <v>2</v>
      </c>
      <c r="L1" s="6"/>
      <c r="M1" s="6"/>
    </row>
    <row r="2" spans="1:13">
      <c r="A2" s="1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3" t="s">
        <v>8</v>
      </c>
      <c r="G2" s="3" t="s">
        <v>9</v>
      </c>
      <c r="H2" s="4" t="s">
        <v>7</v>
      </c>
      <c r="I2" s="4" t="s">
        <v>8</v>
      </c>
      <c r="J2" s="4" t="s">
        <v>9</v>
      </c>
      <c r="K2" s="6" t="s">
        <v>7</v>
      </c>
      <c r="L2" s="6" t="s">
        <v>8</v>
      </c>
      <c r="M2" s="6" t="s">
        <v>9</v>
      </c>
    </row>
    <row r="3" spans="1:13">
      <c r="A3" s="1">
        <v>740</v>
      </c>
      <c r="B3" s="2">
        <v>4750</v>
      </c>
      <c r="C3" s="2">
        <v>2638</v>
      </c>
      <c r="D3" s="2">
        <v>1.80060652009098</v>
      </c>
      <c r="E3" s="5">
        <v>33566.385</v>
      </c>
      <c r="F3" s="5">
        <v>32111.518</v>
      </c>
      <c r="G3" s="5">
        <f t="shared" ref="G3:G66" si="0">E3-F3</f>
        <v>1454.867</v>
      </c>
      <c r="H3" s="5">
        <v>61426.352</v>
      </c>
      <c r="I3" s="5">
        <v>60125.619</v>
      </c>
      <c r="J3" s="5">
        <v>1300.733</v>
      </c>
      <c r="K3" s="5">
        <v>79.595</v>
      </c>
      <c r="L3" s="5">
        <v>-40.897</v>
      </c>
      <c r="M3" s="5">
        <v>120.492</v>
      </c>
    </row>
    <row r="4" spans="1:13">
      <c r="A4" s="1">
        <v>982</v>
      </c>
      <c r="B4" s="2">
        <v>15730</v>
      </c>
      <c r="C4" s="2">
        <v>15730</v>
      </c>
      <c r="D4" s="2">
        <v>1</v>
      </c>
      <c r="E4" s="5">
        <v>33555.681</v>
      </c>
      <c r="F4" s="5">
        <v>32114.226</v>
      </c>
      <c r="G4" s="5">
        <f t="shared" si="0"/>
        <v>1441.455</v>
      </c>
      <c r="H4" s="5">
        <v>61158.016</v>
      </c>
      <c r="I4" s="5">
        <v>59910.116</v>
      </c>
      <c r="J4" s="5">
        <v>1247.9</v>
      </c>
      <c r="K4" s="5">
        <v>81.947</v>
      </c>
      <c r="L4" s="5">
        <v>-44.909</v>
      </c>
      <c r="M4" s="5">
        <v>126.856</v>
      </c>
    </row>
    <row r="5" spans="1:13">
      <c r="A5" s="1">
        <v>410</v>
      </c>
      <c r="B5" s="2">
        <v>35430</v>
      </c>
      <c r="C5" s="2">
        <v>20841</v>
      </c>
      <c r="D5" s="2">
        <v>1.70001439470275</v>
      </c>
      <c r="E5" s="5">
        <v>34040.797</v>
      </c>
      <c r="F5" s="5">
        <v>32224.673</v>
      </c>
      <c r="G5" s="5">
        <f t="shared" si="0"/>
        <v>1816.124</v>
      </c>
      <c r="H5" s="5">
        <v>61841.062</v>
      </c>
      <c r="I5" s="5">
        <v>60515.282</v>
      </c>
      <c r="J5" s="5">
        <v>1325.78</v>
      </c>
      <c r="K5" s="5">
        <v>58.356</v>
      </c>
      <c r="L5" s="5">
        <v>-45.215</v>
      </c>
      <c r="M5" s="5">
        <v>103.571</v>
      </c>
    </row>
    <row r="6" spans="1:13">
      <c r="A6" s="1">
        <v>982</v>
      </c>
      <c r="B6" s="2">
        <v>6790</v>
      </c>
      <c r="C6" s="2">
        <v>6790</v>
      </c>
      <c r="D6" s="2">
        <v>1</v>
      </c>
      <c r="E6" s="5">
        <v>33590.195</v>
      </c>
      <c r="F6" s="5">
        <v>32236.041</v>
      </c>
      <c r="G6" s="5">
        <f t="shared" si="0"/>
        <v>1354.154</v>
      </c>
      <c r="H6" s="5">
        <v>60296.817</v>
      </c>
      <c r="I6" s="5">
        <v>59838.268</v>
      </c>
      <c r="J6" s="5">
        <v>458.549000000006</v>
      </c>
      <c r="K6" s="5">
        <v>69.624</v>
      </c>
      <c r="L6" s="5">
        <v>-38.684</v>
      </c>
      <c r="M6" s="5">
        <v>108.308</v>
      </c>
    </row>
    <row r="7" spans="1:13">
      <c r="A7" s="1">
        <v>740</v>
      </c>
      <c r="B7" s="2">
        <v>3720</v>
      </c>
      <c r="C7" s="2">
        <v>2066</v>
      </c>
      <c r="D7" s="2">
        <v>1.80058083252662</v>
      </c>
      <c r="E7" s="5">
        <v>33697.612</v>
      </c>
      <c r="F7" s="5">
        <v>32348.405</v>
      </c>
      <c r="G7" s="5">
        <f t="shared" si="0"/>
        <v>1349.207</v>
      </c>
      <c r="H7" s="5">
        <v>61146.545</v>
      </c>
      <c r="I7" s="5">
        <v>60474.732</v>
      </c>
      <c r="J7" s="5">
        <v>671.812999999995</v>
      </c>
      <c r="K7" s="5">
        <v>83.303</v>
      </c>
      <c r="L7" s="5">
        <v>-45.355</v>
      </c>
      <c r="M7" s="5">
        <v>128.658</v>
      </c>
    </row>
    <row r="8" spans="1:13">
      <c r="A8" s="1">
        <v>410</v>
      </c>
      <c r="B8" s="2">
        <v>32720</v>
      </c>
      <c r="C8" s="2">
        <v>19247</v>
      </c>
      <c r="D8" s="2">
        <v>1.7000051956149</v>
      </c>
      <c r="E8" s="5">
        <v>33802.234</v>
      </c>
      <c r="F8" s="5">
        <v>32452.977</v>
      </c>
      <c r="G8" s="5">
        <f t="shared" si="0"/>
        <v>1349.257</v>
      </c>
      <c r="H8" s="5">
        <v>61395.594</v>
      </c>
      <c r="I8" s="5">
        <v>60900.335</v>
      </c>
      <c r="J8" s="5">
        <v>495.258999999998</v>
      </c>
      <c r="K8" s="5">
        <v>79.177</v>
      </c>
      <c r="L8" s="5">
        <v>-54.854</v>
      </c>
      <c r="M8" s="5">
        <v>134.031</v>
      </c>
    </row>
    <row r="9" spans="1:13">
      <c r="A9" s="1">
        <v>980</v>
      </c>
      <c r="B9" s="2">
        <v>14430</v>
      </c>
      <c r="C9" s="2">
        <v>14430</v>
      </c>
      <c r="D9" s="2">
        <v>1</v>
      </c>
      <c r="E9" s="5">
        <v>33656.247</v>
      </c>
      <c r="F9" s="5">
        <v>32455.562</v>
      </c>
      <c r="G9" s="5">
        <f t="shared" si="0"/>
        <v>1200.685</v>
      </c>
      <c r="H9" s="5">
        <v>61005.929</v>
      </c>
      <c r="I9" s="5">
        <v>57450.218</v>
      </c>
      <c r="J9" s="5">
        <v>3555.711</v>
      </c>
      <c r="K9" s="5">
        <v>78.054</v>
      </c>
      <c r="L9" s="5">
        <v>-51.405</v>
      </c>
      <c r="M9" s="5">
        <v>129.459</v>
      </c>
    </row>
    <row r="10" spans="1:13">
      <c r="A10" s="1">
        <v>410</v>
      </c>
      <c r="B10" s="2">
        <v>56900</v>
      </c>
      <c r="C10" s="2">
        <v>33470</v>
      </c>
      <c r="D10" s="2">
        <v>1.70002987750224</v>
      </c>
      <c r="E10" s="5">
        <v>33752.124</v>
      </c>
      <c r="F10" s="5">
        <v>32493.753</v>
      </c>
      <c r="G10" s="5">
        <f t="shared" si="0"/>
        <v>1258.371</v>
      </c>
      <c r="H10" s="5">
        <v>60243.313</v>
      </c>
      <c r="I10" s="5">
        <v>57270.909</v>
      </c>
      <c r="J10" s="5">
        <v>2972.404</v>
      </c>
      <c r="K10" s="5">
        <v>68.002</v>
      </c>
      <c r="L10" s="5">
        <v>-53.22</v>
      </c>
      <c r="M10" s="5">
        <v>121.222</v>
      </c>
    </row>
    <row r="11" spans="1:13">
      <c r="A11" s="1">
        <v>410</v>
      </c>
      <c r="B11" s="2">
        <v>44040</v>
      </c>
      <c r="C11" s="2">
        <v>25905</v>
      </c>
      <c r="D11" s="2">
        <v>1.70005790387956</v>
      </c>
      <c r="E11" s="5">
        <v>33903.132</v>
      </c>
      <c r="F11" s="5">
        <v>32513.729</v>
      </c>
      <c r="G11" s="5">
        <f t="shared" si="0"/>
        <v>1389.403</v>
      </c>
      <c r="H11" s="5">
        <v>61106.833</v>
      </c>
      <c r="I11" s="5">
        <v>57648.546</v>
      </c>
      <c r="J11" s="5">
        <v>3458.287</v>
      </c>
      <c r="K11" s="5">
        <v>67.546</v>
      </c>
      <c r="L11" s="5">
        <v>-52.555</v>
      </c>
      <c r="M11" s="5">
        <v>120.101</v>
      </c>
    </row>
    <row r="12" spans="1:13">
      <c r="A12" s="1">
        <v>982</v>
      </c>
      <c r="B12" s="2">
        <v>13480</v>
      </c>
      <c r="C12" s="2">
        <v>13480</v>
      </c>
      <c r="D12" s="2">
        <v>1</v>
      </c>
      <c r="E12" s="5">
        <v>33808.338</v>
      </c>
      <c r="F12" s="5">
        <v>32527.282</v>
      </c>
      <c r="G12" s="5">
        <f t="shared" si="0"/>
        <v>1281.056</v>
      </c>
      <c r="H12" s="5">
        <v>60479.602</v>
      </c>
      <c r="I12" s="5">
        <v>57685.207</v>
      </c>
      <c r="J12" s="5">
        <v>2794.395</v>
      </c>
      <c r="K12" s="5">
        <v>64.378</v>
      </c>
      <c r="L12" s="5">
        <v>-42.782</v>
      </c>
      <c r="M12" s="5">
        <v>107.16</v>
      </c>
    </row>
    <row r="13" spans="1:13">
      <c r="A13" s="1">
        <v>410</v>
      </c>
      <c r="B13" s="2">
        <v>55400</v>
      </c>
      <c r="C13" s="2">
        <v>32588</v>
      </c>
      <c r="D13" s="2">
        <v>1.70001227445686</v>
      </c>
      <c r="E13" s="5">
        <v>34088.419</v>
      </c>
      <c r="F13" s="5">
        <v>32532.479</v>
      </c>
      <c r="G13" s="5">
        <f t="shared" si="0"/>
        <v>1555.94</v>
      </c>
      <c r="H13" s="5">
        <v>61402.36</v>
      </c>
      <c r="I13" s="5">
        <v>57689.618</v>
      </c>
      <c r="J13" s="5">
        <v>3712.742</v>
      </c>
      <c r="K13" s="5">
        <v>63.089</v>
      </c>
      <c r="L13" s="5">
        <v>-50.232</v>
      </c>
      <c r="M13" s="5">
        <v>113.321</v>
      </c>
    </row>
    <row r="14" spans="1:13">
      <c r="A14" s="1">
        <v>410</v>
      </c>
      <c r="B14" s="2">
        <v>21990</v>
      </c>
      <c r="C14" s="2">
        <v>12935</v>
      </c>
      <c r="D14" s="2">
        <v>1.70003865481252</v>
      </c>
      <c r="E14" s="5">
        <v>34197.488</v>
      </c>
      <c r="F14" s="5">
        <v>32567.285</v>
      </c>
      <c r="G14" s="5">
        <f t="shared" si="0"/>
        <v>1630.203</v>
      </c>
      <c r="H14" s="5">
        <v>61869.522</v>
      </c>
      <c r="I14" s="5">
        <v>57225.118</v>
      </c>
      <c r="J14" s="5">
        <v>4644.40399999999</v>
      </c>
      <c r="K14" s="5">
        <v>64.773</v>
      </c>
      <c r="L14" s="5">
        <v>-29.706</v>
      </c>
      <c r="M14" s="5">
        <v>94.479</v>
      </c>
    </row>
    <row r="15" spans="1:13">
      <c r="A15" s="1">
        <v>410</v>
      </c>
      <c r="B15" s="2">
        <v>33280</v>
      </c>
      <c r="C15" s="2">
        <v>19576</v>
      </c>
      <c r="D15" s="2">
        <v>1.70004086636698</v>
      </c>
      <c r="E15" s="5">
        <v>33415.035</v>
      </c>
      <c r="F15" s="5">
        <v>32667.089</v>
      </c>
      <c r="G15" s="5">
        <f t="shared" si="0"/>
        <v>747.946000000004</v>
      </c>
      <c r="H15" s="5">
        <v>58540.351</v>
      </c>
      <c r="I15" s="5">
        <v>57777.041</v>
      </c>
      <c r="J15" s="5">
        <v>763.310000000005</v>
      </c>
      <c r="K15" s="5">
        <v>58.411</v>
      </c>
      <c r="L15" s="5">
        <v>-48.976</v>
      </c>
      <c r="M15" s="5">
        <v>107.387</v>
      </c>
    </row>
    <row r="16" spans="1:13">
      <c r="A16" s="1">
        <v>410</v>
      </c>
      <c r="B16" s="2">
        <v>33740</v>
      </c>
      <c r="C16" s="2">
        <v>19847</v>
      </c>
      <c r="D16" s="2">
        <v>1.70000503854487</v>
      </c>
      <c r="E16" s="5">
        <v>33548.533</v>
      </c>
      <c r="F16" s="5">
        <v>32856.358</v>
      </c>
      <c r="G16" s="5">
        <f t="shared" si="0"/>
        <v>692.175000000003</v>
      </c>
      <c r="H16" s="5">
        <v>61672.351</v>
      </c>
      <c r="I16" s="5">
        <v>60527.347</v>
      </c>
      <c r="J16" s="5">
        <v>1145.004</v>
      </c>
      <c r="K16" s="5">
        <v>37.069</v>
      </c>
      <c r="L16" s="5">
        <v>-57.104</v>
      </c>
      <c r="M16" s="5">
        <v>94.173</v>
      </c>
    </row>
    <row r="17" spans="1:13">
      <c r="A17" s="1">
        <v>982</v>
      </c>
      <c r="B17" s="2">
        <v>14600</v>
      </c>
      <c r="C17" s="2">
        <v>14600</v>
      </c>
      <c r="D17" s="2">
        <v>1</v>
      </c>
      <c r="E17" s="5">
        <v>33816.521</v>
      </c>
      <c r="F17" s="5">
        <v>32886.693</v>
      </c>
      <c r="G17" s="5">
        <f t="shared" si="0"/>
        <v>929.828000000001</v>
      </c>
      <c r="H17" s="5">
        <v>60594.94</v>
      </c>
      <c r="I17" s="5">
        <v>58622.145</v>
      </c>
      <c r="J17" s="5">
        <v>1972.79500000001</v>
      </c>
      <c r="K17" s="5">
        <v>60.744</v>
      </c>
      <c r="L17" s="5">
        <v>-37.778</v>
      </c>
      <c r="M17" s="5">
        <v>98.522</v>
      </c>
    </row>
    <row r="18" spans="1:13">
      <c r="A18" s="1">
        <v>410</v>
      </c>
      <c r="B18" s="2">
        <v>135350</v>
      </c>
      <c r="C18" s="2">
        <v>79617</v>
      </c>
      <c r="D18" s="2">
        <v>1.70001381614479</v>
      </c>
      <c r="E18" s="5">
        <v>34092.521</v>
      </c>
      <c r="F18" s="5">
        <v>32945.849</v>
      </c>
      <c r="G18" s="5">
        <f t="shared" si="0"/>
        <v>1146.672</v>
      </c>
      <c r="H18" s="5">
        <v>60676.594</v>
      </c>
      <c r="I18" s="5">
        <v>58544.471</v>
      </c>
      <c r="J18" s="5">
        <v>2132.123</v>
      </c>
      <c r="K18" s="5">
        <v>37.616</v>
      </c>
      <c r="L18" s="5">
        <v>-58.33</v>
      </c>
      <c r="M18" s="5">
        <v>95.946</v>
      </c>
    </row>
    <row r="19" spans="1:13">
      <c r="A19" s="1">
        <v>982</v>
      </c>
      <c r="B19" s="2">
        <v>11560</v>
      </c>
      <c r="C19" s="2">
        <v>11560</v>
      </c>
      <c r="D19" s="2">
        <v>1</v>
      </c>
      <c r="E19" s="5">
        <v>33731.477</v>
      </c>
      <c r="F19" s="5">
        <v>32953.048</v>
      </c>
      <c r="G19" s="5">
        <f t="shared" si="0"/>
        <v>778.428999999996</v>
      </c>
      <c r="H19" s="5">
        <v>60222.504</v>
      </c>
      <c r="I19" s="5">
        <v>59012.389</v>
      </c>
      <c r="J19" s="5">
        <v>1210.115</v>
      </c>
      <c r="K19" s="5">
        <v>56.251</v>
      </c>
      <c r="L19" s="5">
        <v>-49.018</v>
      </c>
      <c r="M19" s="5">
        <v>105.269</v>
      </c>
    </row>
    <row r="20" spans="1:13">
      <c r="A20" s="1">
        <v>982</v>
      </c>
      <c r="B20" s="2">
        <v>5020</v>
      </c>
      <c r="C20" s="2">
        <v>5020</v>
      </c>
      <c r="D20" s="2">
        <v>1</v>
      </c>
      <c r="E20" s="5">
        <v>33749.771</v>
      </c>
      <c r="F20" s="5">
        <v>32992.968</v>
      </c>
      <c r="G20" s="5">
        <f t="shared" si="0"/>
        <v>756.803</v>
      </c>
      <c r="H20" s="5">
        <v>61432.442</v>
      </c>
      <c r="I20" s="5">
        <v>60244.165</v>
      </c>
      <c r="J20" s="5">
        <v>1188.277</v>
      </c>
      <c r="K20" s="5">
        <v>42.418</v>
      </c>
      <c r="L20" s="5">
        <v>-48.632</v>
      </c>
      <c r="M20" s="5">
        <v>91.05</v>
      </c>
    </row>
    <row r="21" spans="1:13">
      <c r="A21" s="1">
        <v>410</v>
      </c>
      <c r="B21" s="2">
        <v>67220</v>
      </c>
      <c r="C21" s="2">
        <v>39541</v>
      </c>
      <c r="D21" s="2">
        <v>1.70000758706153</v>
      </c>
      <c r="E21" s="5">
        <v>33558.839</v>
      </c>
      <c r="F21" s="5">
        <v>33004.556</v>
      </c>
      <c r="G21" s="5">
        <f t="shared" si="0"/>
        <v>554.283000000003</v>
      </c>
      <c r="H21" s="5">
        <v>60226.431</v>
      </c>
      <c r="I21" s="5">
        <v>59648.235</v>
      </c>
      <c r="J21" s="5">
        <v>578.195999999996</v>
      </c>
      <c r="K21" s="5">
        <v>41.852</v>
      </c>
      <c r="L21" s="5">
        <v>-50.223</v>
      </c>
      <c r="M21" s="5">
        <v>92.075</v>
      </c>
    </row>
    <row r="22" spans="1:13">
      <c r="A22" s="1">
        <v>410</v>
      </c>
      <c r="B22" s="2">
        <v>26988</v>
      </c>
      <c r="C22" s="2">
        <v>15875</v>
      </c>
      <c r="D22" s="2">
        <v>1.70003149606299</v>
      </c>
      <c r="E22" s="5">
        <v>33496.454</v>
      </c>
      <c r="F22" s="5">
        <v>33019.472</v>
      </c>
      <c r="G22" s="5">
        <f t="shared" si="0"/>
        <v>476.981999999996</v>
      </c>
      <c r="H22" s="5">
        <v>60576.253</v>
      </c>
      <c r="I22" s="5">
        <v>59852.204</v>
      </c>
      <c r="J22" s="5">
        <v>724.048999999999</v>
      </c>
      <c r="K22" s="5">
        <v>23.503</v>
      </c>
      <c r="L22" s="5">
        <v>-50.734</v>
      </c>
      <c r="M22" s="5">
        <v>74.237</v>
      </c>
    </row>
    <row r="23" spans="1:13">
      <c r="A23" s="1">
        <v>410</v>
      </c>
      <c r="B23" s="2">
        <v>21350</v>
      </c>
      <c r="C23" s="2">
        <v>12558</v>
      </c>
      <c r="D23" s="2">
        <v>1.70011148272018</v>
      </c>
      <c r="E23" s="5">
        <v>33959.145</v>
      </c>
      <c r="F23" s="5">
        <v>33104.575</v>
      </c>
      <c r="G23" s="5">
        <f t="shared" si="0"/>
        <v>854.57</v>
      </c>
      <c r="H23" s="5">
        <v>60794.417</v>
      </c>
      <c r="I23" s="5">
        <v>60245.286</v>
      </c>
      <c r="J23" s="5">
        <v>549.131000000001</v>
      </c>
      <c r="K23" s="5">
        <v>47.42</v>
      </c>
      <c r="L23" s="5">
        <v>-52.029</v>
      </c>
      <c r="M23" s="5">
        <v>99.449</v>
      </c>
    </row>
    <row r="24" spans="1:13">
      <c r="A24" s="1">
        <v>410</v>
      </c>
      <c r="B24" s="2">
        <v>20910</v>
      </c>
      <c r="C24" s="2">
        <v>12300</v>
      </c>
      <c r="D24" s="2">
        <v>1.7</v>
      </c>
      <c r="E24" s="5">
        <v>33139.0958210633</v>
      </c>
      <c r="F24" s="5">
        <v>33110.4601789367</v>
      </c>
      <c r="G24" s="5">
        <f t="shared" si="0"/>
        <v>28.6356421265518</v>
      </c>
      <c r="H24" s="5">
        <v>57164.1958210633</v>
      </c>
      <c r="I24" s="5">
        <v>57135.5601789367</v>
      </c>
      <c r="J24" s="5">
        <v>28.6356421265518</v>
      </c>
      <c r="K24" s="5">
        <v>-3.836</v>
      </c>
      <c r="L24" s="5">
        <v>-18.836</v>
      </c>
      <c r="M24" s="5">
        <v>15</v>
      </c>
    </row>
    <row r="25" spans="1:13">
      <c r="A25" s="1">
        <v>980</v>
      </c>
      <c r="B25" s="2">
        <v>9200</v>
      </c>
      <c r="C25" s="2">
        <v>9200</v>
      </c>
      <c r="D25" s="2">
        <v>1</v>
      </c>
      <c r="E25" s="5">
        <v>33137.1607837473</v>
      </c>
      <c r="F25" s="5">
        <v>33112.3952162527</v>
      </c>
      <c r="G25" s="5">
        <f t="shared" si="0"/>
        <v>24.7655674946727</v>
      </c>
      <c r="H25" s="5">
        <v>57162.2607837473</v>
      </c>
      <c r="I25" s="5">
        <v>57137.4952162527</v>
      </c>
      <c r="J25" s="5">
        <v>24.7655674946727</v>
      </c>
      <c r="K25" s="5">
        <v>-3.836</v>
      </c>
      <c r="L25" s="5">
        <v>-18.836</v>
      </c>
      <c r="M25" s="5">
        <v>15</v>
      </c>
    </row>
    <row r="26" spans="1:13">
      <c r="A26" s="1">
        <v>410</v>
      </c>
      <c r="B26" s="2">
        <v>38280</v>
      </c>
      <c r="C26" s="2">
        <v>22517</v>
      </c>
      <c r="D26" s="2">
        <v>1.70004885197851</v>
      </c>
      <c r="E26" s="5">
        <v>33749.141</v>
      </c>
      <c r="F26" s="5">
        <v>33113.992</v>
      </c>
      <c r="G26" s="5">
        <f t="shared" si="0"/>
        <v>635.149000000005</v>
      </c>
      <c r="H26" s="5">
        <v>60575.308</v>
      </c>
      <c r="I26" s="5">
        <v>60043.983</v>
      </c>
      <c r="J26" s="5">
        <v>531.324999999997</v>
      </c>
      <c r="K26" s="5">
        <v>61.19</v>
      </c>
      <c r="L26" s="5">
        <v>-36.651</v>
      </c>
      <c r="M26" s="5">
        <v>97.841</v>
      </c>
    </row>
    <row r="27" spans="1:13">
      <c r="A27" s="1">
        <v>410</v>
      </c>
      <c r="B27" s="2">
        <v>11490</v>
      </c>
      <c r="C27" s="2">
        <v>6758</v>
      </c>
      <c r="D27" s="2">
        <v>1.70020716188221</v>
      </c>
      <c r="E27" s="5">
        <v>33135.3908852502</v>
      </c>
      <c r="F27" s="5">
        <v>33114.1651147498</v>
      </c>
      <c r="G27" s="5">
        <f t="shared" si="0"/>
        <v>21.2257705003431</v>
      </c>
      <c r="H27" s="5">
        <v>57160.4908852502</v>
      </c>
      <c r="I27" s="5">
        <v>57139.2651147498</v>
      </c>
      <c r="J27" s="5">
        <v>21.2257705003431</v>
      </c>
      <c r="K27" s="5">
        <v>-3.836</v>
      </c>
      <c r="L27" s="5">
        <v>-18.836</v>
      </c>
      <c r="M27" s="5">
        <v>15</v>
      </c>
    </row>
    <row r="28" spans="1:13">
      <c r="A28" s="1">
        <v>982</v>
      </c>
      <c r="B28" s="2">
        <v>6230</v>
      </c>
      <c r="C28" s="2">
        <v>6230</v>
      </c>
      <c r="D28" s="2">
        <v>1</v>
      </c>
      <c r="E28" s="5">
        <v>33134.9678642451</v>
      </c>
      <c r="F28" s="5">
        <v>33114.5881357549</v>
      </c>
      <c r="G28" s="5">
        <f t="shared" si="0"/>
        <v>20.3797284901812</v>
      </c>
      <c r="H28" s="5">
        <v>57160.0678642451</v>
      </c>
      <c r="I28" s="5">
        <v>57139.6881357549</v>
      </c>
      <c r="J28" s="5">
        <v>20.3797284901812</v>
      </c>
      <c r="K28" s="5">
        <v>-3.836</v>
      </c>
      <c r="L28" s="5">
        <v>-18.836</v>
      </c>
      <c r="M28" s="5">
        <v>15</v>
      </c>
    </row>
    <row r="29" spans="1:13">
      <c r="A29" s="1">
        <v>410</v>
      </c>
      <c r="B29" s="2">
        <v>5690</v>
      </c>
      <c r="C29" s="2">
        <v>3347</v>
      </c>
      <c r="D29" s="2">
        <v>1.70002987750224</v>
      </c>
      <c r="E29" s="5">
        <v>33132.2468240931</v>
      </c>
      <c r="F29" s="5">
        <v>33117.3091759069</v>
      </c>
      <c r="G29" s="5">
        <f t="shared" si="0"/>
        <v>14.9376481861545</v>
      </c>
      <c r="H29" s="5">
        <v>57157.3468240931</v>
      </c>
      <c r="I29" s="5">
        <v>57142.4091759069</v>
      </c>
      <c r="J29" s="5">
        <v>14.9376481861545</v>
      </c>
      <c r="K29" s="5">
        <v>-3.836</v>
      </c>
      <c r="L29" s="5">
        <v>-18.836</v>
      </c>
      <c r="M29" s="5">
        <v>15</v>
      </c>
    </row>
    <row r="30" spans="1:13">
      <c r="A30" s="1">
        <v>982</v>
      </c>
      <c r="B30" s="2">
        <v>2680</v>
      </c>
      <c r="C30" s="2">
        <v>2680</v>
      </c>
      <c r="D30" s="2">
        <v>1</v>
      </c>
      <c r="E30" s="5">
        <v>33131.4613125519</v>
      </c>
      <c r="F30" s="5">
        <v>33118.0946874481</v>
      </c>
      <c r="G30" s="5">
        <f t="shared" si="0"/>
        <v>13.3666251038376</v>
      </c>
      <c r="H30" s="5">
        <v>57156.5613125519</v>
      </c>
      <c r="I30" s="5">
        <v>57143.1946874481</v>
      </c>
      <c r="J30" s="5">
        <v>13.3666251038376</v>
      </c>
      <c r="K30" s="5">
        <v>-3.836</v>
      </c>
      <c r="L30" s="5">
        <v>-18.836</v>
      </c>
      <c r="M30" s="5">
        <v>15</v>
      </c>
    </row>
    <row r="31" spans="1:13">
      <c r="A31" s="1">
        <v>410</v>
      </c>
      <c r="B31" s="2">
        <v>4070</v>
      </c>
      <c r="C31" s="2">
        <v>2394</v>
      </c>
      <c r="D31" s="2">
        <v>1.70008354218881</v>
      </c>
      <c r="E31" s="5">
        <v>33131.0946446789</v>
      </c>
      <c r="F31" s="5">
        <v>33118.4613553211</v>
      </c>
      <c r="G31" s="5">
        <f t="shared" si="0"/>
        <v>12.6332893578801</v>
      </c>
      <c r="H31" s="5">
        <v>57156.1946446789</v>
      </c>
      <c r="I31" s="5">
        <v>57143.5613553211</v>
      </c>
      <c r="J31" s="5">
        <v>12.6332893578801</v>
      </c>
      <c r="K31" s="5">
        <v>-3.836</v>
      </c>
      <c r="L31" s="5">
        <v>-18.836</v>
      </c>
      <c r="M31" s="5">
        <v>15</v>
      </c>
    </row>
    <row r="32" spans="1:13">
      <c r="A32" s="1">
        <v>980</v>
      </c>
      <c r="B32" s="2">
        <v>1370</v>
      </c>
      <c r="C32" s="2">
        <v>1370</v>
      </c>
      <c r="D32" s="2">
        <v>1</v>
      </c>
      <c r="E32" s="5">
        <v>33129.5564237289</v>
      </c>
      <c r="F32" s="5">
        <v>33119.9995762711</v>
      </c>
      <c r="G32" s="5">
        <f t="shared" si="0"/>
        <v>9.5568474578904</v>
      </c>
      <c r="H32" s="5">
        <v>57154.6564237289</v>
      </c>
      <c r="I32" s="5">
        <v>57145.0995762711</v>
      </c>
      <c r="J32" s="5">
        <v>9.5568474578904</v>
      </c>
      <c r="K32" s="5">
        <v>-3.836</v>
      </c>
      <c r="L32" s="5">
        <v>-18.836</v>
      </c>
      <c r="M32" s="5">
        <v>15</v>
      </c>
    </row>
    <row r="33" spans="1:13">
      <c r="A33" s="1">
        <v>410</v>
      </c>
      <c r="B33" s="2">
        <v>12920</v>
      </c>
      <c r="C33" s="2">
        <v>7600</v>
      </c>
      <c r="D33" s="2">
        <v>1.7</v>
      </c>
      <c r="E33" s="5">
        <v>33137.082</v>
      </c>
      <c r="F33" s="5">
        <v>33124.776</v>
      </c>
      <c r="G33" s="5">
        <f t="shared" si="0"/>
        <v>12.3060000000041</v>
      </c>
      <c r="H33" s="5">
        <v>57172.714</v>
      </c>
      <c r="I33" s="5">
        <v>57147.186</v>
      </c>
      <c r="J33" s="5">
        <v>25.5279999999984</v>
      </c>
      <c r="K33" s="5">
        <v>-11.189</v>
      </c>
      <c r="L33" s="5">
        <v>-12.663</v>
      </c>
      <c r="M33" s="5">
        <v>1.474</v>
      </c>
    </row>
    <row r="34" spans="1:13">
      <c r="A34" s="1">
        <v>982</v>
      </c>
      <c r="B34" s="2">
        <v>10660</v>
      </c>
      <c r="C34" s="2">
        <v>10660</v>
      </c>
      <c r="D34" s="2">
        <v>1</v>
      </c>
      <c r="E34" s="5">
        <v>33175.817</v>
      </c>
      <c r="F34" s="5">
        <v>33127.337</v>
      </c>
      <c r="G34" s="5">
        <f t="shared" si="0"/>
        <v>48.4800000000032</v>
      </c>
      <c r="H34" s="5">
        <v>57228.706</v>
      </c>
      <c r="I34" s="5">
        <v>57178.994</v>
      </c>
      <c r="J34" s="5">
        <v>49.7119999999995</v>
      </c>
      <c r="K34" s="5">
        <v>-10.339</v>
      </c>
      <c r="L34" s="5">
        <v>-33.232</v>
      </c>
      <c r="M34" s="5">
        <v>22.893</v>
      </c>
    </row>
    <row r="35" spans="1:13">
      <c r="A35" s="1">
        <v>410</v>
      </c>
      <c r="B35" s="2">
        <v>13650</v>
      </c>
      <c r="C35" s="2">
        <v>8029</v>
      </c>
      <c r="D35" s="2">
        <v>1.70008718395815</v>
      </c>
      <c r="E35" s="5">
        <v>33154.181</v>
      </c>
      <c r="F35" s="5">
        <v>33128.841</v>
      </c>
      <c r="G35" s="5">
        <f t="shared" si="0"/>
        <v>25.3399999999965</v>
      </c>
      <c r="H35" s="5">
        <v>57233.104</v>
      </c>
      <c r="I35" s="5">
        <v>57176.924</v>
      </c>
      <c r="J35" s="5">
        <v>56.1800000000003</v>
      </c>
      <c r="K35" s="5">
        <v>-10.372</v>
      </c>
      <c r="L35" s="5">
        <v>-26.701</v>
      </c>
      <c r="M35" s="5">
        <v>16.329</v>
      </c>
    </row>
    <row r="36" spans="1:13">
      <c r="A36" s="1">
        <v>610</v>
      </c>
      <c r="B36" s="2">
        <v>31380</v>
      </c>
      <c r="C36" s="2">
        <v>18458</v>
      </c>
      <c r="D36" s="2">
        <v>1.70007584787084</v>
      </c>
      <c r="E36" s="5">
        <v>34084.553</v>
      </c>
      <c r="F36" s="5">
        <v>33136.05</v>
      </c>
      <c r="G36" s="5">
        <f t="shared" si="0"/>
        <v>948.502999999997</v>
      </c>
      <c r="H36" s="5">
        <v>61452.8</v>
      </c>
      <c r="I36" s="5">
        <v>60639.348</v>
      </c>
      <c r="J36" s="5">
        <v>813.452000000005</v>
      </c>
      <c r="K36" s="5">
        <v>50.839</v>
      </c>
      <c r="L36" s="5">
        <v>-50.159</v>
      </c>
      <c r="M36" s="5">
        <v>100.998</v>
      </c>
    </row>
    <row r="37" spans="1:13">
      <c r="A37" s="1">
        <v>982</v>
      </c>
      <c r="B37" s="2">
        <v>4740</v>
      </c>
      <c r="C37" s="2">
        <v>4740</v>
      </c>
      <c r="D37" s="2">
        <v>1</v>
      </c>
      <c r="E37" s="5">
        <v>33145.763</v>
      </c>
      <c r="F37" s="5">
        <v>33137.062</v>
      </c>
      <c r="G37" s="5">
        <f t="shared" si="0"/>
        <v>8.70100000000093</v>
      </c>
      <c r="H37" s="5">
        <v>57181.821</v>
      </c>
      <c r="I37" s="5">
        <v>57172.08</v>
      </c>
      <c r="J37" s="5">
        <v>9.7410000000018</v>
      </c>
      <c r="K37" s="5">
        <v>-12.584</v>
      </c>
      <c r="L37" s="5">
        <v>-32.389</v>
      </c>
      <c r="M37" s="5">
        <v>19.805</v>
      </c>
    </row>
    <row r="38" spans="1:13">
      <c r="A38" s="1">
        <v>982</v>
      </c>
      <c r="B38" s="2">
        <v>10230</v>
      </c>
      <c r="C38" s="2">
        <v>10230</v>
      </c>
      <c r="D38" s="2">
        <v>1</v>
      </c>
      <c r="E38" s="5">
        <v>33193.33</v>
      </c>
      <c r="F38" s="5">
        <v>33137.936</v>
      </c>
      <c r="G38" s="5">
        <f t="shared" si="0"/>
        <v>55.3940000000002</v>
      </c>
      <c r="H38" s="5">
        <v>57284.399</v>
      </c>
      <c r="I38" s="5">
        <v>57209.715</v>
      </c>
      <c r="J38" s="5">
        <v>74.6840000000011</v>
      </c>
      <c r="K38" s="5">
        <v>-10.499</v>
      </c>
      <c r="L38" s="5">
        <v>-33.712</v>
      </c>
      <c r="M38" s="5">
        <v>23.213</v>
      </c>
    </row>
    <row r="39" spans="1:13">
      <c r="A39" s="1">
        <v>410</v>
      </c>
      <c r="B39" s="2">
        <v>950</v>
      </c>
      <c r="C39" s="2">
        <v>558</v>
      </c>
      <c r="D39" s="2">
        <v>1.70250896057348</v>
      </c>
      <c r="E39" s="5">
        <v>33157.083</v>
      </c>
      <c r="F39" s="5">
        <v>33138.718</v>
      </c>
      <c r="G39" s="5">
        <f t="shared" si="0"/>
        <v>18.364999999998</v>
      </c>
      <c r="H39" s="5">
        <v>57208.059</v>
      </c>
      <c r="I39" s="5">
        <v>57187.454</v>
      </c>
      <c r="J39" s="5">
        <v>20.6050000000032</v>
      </c>
      <c r="K39" s="5">
        <v>-25.724</v>
      </c>
      <c r="L39" s="5">
        <v>-26.537</v>
      </c>
      <c r="M39" s="5">
        <v>0.812999999999999</v>
      </c>
    </row>
    <row r="40" spans="1:13">
      <c r="A40" s="1">
        <v>740</v>
      </c>
      <c r="B40" s="2">
        <v>2040</v>
      </c>
      <c r="C40" s="2">
        <v>1133</v>
      </c>
      <c r="D40" s="2">
        <v>1.80052956751986</v>
      </c>
      <c r="E40" s="5">
        <v>33193.001</v>
      </c>
      <c r="F40" s="5">
        <v>33138.718</v>
      </c>
      <c r="G40" s="5">
        <f t="shared" si="0"/>
        <v>54.2829999999958</v>
      </c>
      <c r="H40" s="5">
        <v>57211.903</v>
      </c>
      <c r="I40" s="5">
        <v>57187.454</v>
      </c>
      <c r="J40" s="5">
        <v>24.4490000000005</v>
      </c>
      <c r="K40" s="5">
        <v>-25.994</v>
      </c>
      <c r="L40" s="5">
        <v>-32.742</v>
      </c>
      <c r="M40" s="5">
        <v>6.748</v>
      </c>
    </row>
    <row r="41" spans="1:13">
      <c r="A41" s="1">
        <v>740</v>
      </c>
      <c r="B41" s="2">
        <v>9530</v>
      </c>
      <c r="C41" s="2">
        <v>5294</v>
      </c>
      <c r="D41" s="2">
        <v>1.80015111446921</v>
      </c>
      <c r="E41" s="5">
        <v>33220.933</v>
      </c>
      <c r="F41" s="5">
        <v>33139.997</v>
      </c>
      <c r="G41" s="5">
        <f t="shared" si="0"/>
        <v>80.9359999999942</v>
      </c>
      <c r="H41" s="5">
        <v>57312.7</v>
      </c>
      <c r="I41" s="5">
        <v>57254.385</v>
      </c>
      <c r="J41" s="5">
        <v>58.3149999999951</v>
      </c>
      <c r="K41" s="5">
        <v>-10.537</v>
      </c>
      <c r="L41" s="5">
        <v>-34.667</v>
      </c>
      <c r="M41" s="5">
        <v>24.13</v>
      </c>
    </row>
    <row r="42" spans="1:13">
      <c r="A42" s="1">
        <v>984</v>
      </c>
      <c r="B42" s="2">
        <v>7420</v>
      </c>
      <c r="C42" s="2">
        <v>7420</v>
      </c>
      <c r="D42" s="2">
        <v>1</v>
      </c>
      <c r="E42" s="5">
        <v>33207.402</v>
      </c>
      <c r="F42" s="5">
        <v>33140.339</v>
      </c>
      <c r="G42" s="5">
        <f t="shared" si="0"/>
        <v>67.0630000000019</v>
      </c>
      <c r="H42" s="5">
        <v>57384.188</v>
      </c>
      <c r="I42" s="5">
        <v>57238.124</v>
      </c>
      <c r="J42" s="5">
        <v>146.063999999998</v>
      </c>
      <c r="K42" s="5">
        <v>-10.534</v>
      </c>
      <c r="L42" s="5">
        <v>-20.041</v>
      </c>
      <c r="M42" s="5">
        <v>9.507</v>
      </c>
    </row>
    <row r="43" spans="1:13">
      <c r="A43" s="1">
        <v>740</v>
      </c>
      <c r="B43" s="2">
        <v>1540</v>
      </c>
      <c r="C43" s="2">
        <v>855</v>
      </c>
      <c r="D43" s="2">
        <v>1.80116959064327</v>
      </c>
      <c r="E43" s="5">
        <v>33212.689</v>
      </c>
      <c r="F43" s="5">
        <v>33140.906</v>
      </c>
      <c r="G43" s="5">
        <f t="shared" si="0"/>
        <v>71.7829999999958</v>
      </c>
      <c r="H43" s="5">
        <v>57270.479</v>
      </c>
      <c r="I43" s="5">
        <v>57231.362</v>
      </c>
      <c r="J43" s="5">
        <v>39.1169999999984</v>
      </c>
      <c r="K43" s="5">
        <v>-10.449</v>
      </c>
      <c r="L43" s="5">
        <v>-33.673</v>
      </c>
      <c r="M43" s="5">
        <v>23.224</v>
      </c>
    </row>
    <row r="44" spans="1:13">
      <c r="A44" s="1">
        <v>410</v>
      </c>
      <c r="B44" s="2">
        <v>19580</v>
      </c>
      <c r="C44" s="2">
        <v>11517</v>
      </c>
      <c r="D44" s="2">
        <v>1.70009551098376</v>
      </c>
      <c r="E44" s="5">
        <v>33183.284</v>
      </c>
      <c r="F44" s="5">
        <v>33141.285</v>
      </c>
      <c r="G44" s="5">
        <f t="shared" si="0"/>
        <v>41.9989999999962</v>
      </c>
      <c r="H44" s="5">
        <v>57256.202</v>
      </c>
      <c r="I44" s="5">
        <v>57208.041</v>
      </c>
      <c r="J44" s="5">
        <v>48.1610000000001</v>
      </c>
      <c r="K44" s="5">
        <v>-12.367</v>
      </c>
      <c r="L44" s="5">
        <v>-33.523</v>
      </c>
      <c r="M44" s="5">
        <v>21.156</v>
      </c>
    </row>
    <row r="45" spans="1:13">
      <c r="A45" s="1">
        <v>410</v>
      </c>
      <c r="B45" s="2">
        <v>50890</v>
      </c>
      <c r="C45" s="2">
        <v>29935</v>
      </c>
      <c r="D45" s="2">
        <v>1.70001670285619</v>
      </c>
      <c r="E45" s="5">
        <v>33232.993</v>
      </c>
      <c r="F45" s="5">
        <v>33146.558</v>
      </c>
      <c r="G45" s="5">
        <f t="shared" si="0"/>
        <v>86.4350000000049</v>
      </c>
      <c r="H45" s="5">
        <v>57356.464</v>
      </c>
      <c r="I45" s="5">
        <v>57295.207</v>
      </c>
      <c r="J45" s="5">
        <v>61.2569999999978</v>
      </c>
      <c r="K45" s="5">
        <v>-11.129</v>
      </c>
      <c r="L45" s="5">
        <v>-35.397</v>
      </c>
      <c r="M45" s="5">
        <v>24.268</v>
      </c>
    </row>
    <row r="46" spans="1:13">
      <c r="A46" s="1">
        <v>982</v>
      </c>
      <c r="B46" s="2">
        <v>4680</v>
      </c>
      <c r="C46" s="2">
        <v>4680</v>
      </c>
      <c r="D46" s="2">
        <v>1</v>
      </c>
      <c r="E46" s="5">
        <v>33192.154</v>
      </c>
      <c r="F46" s="5">
        <v>33147.466</v>
      </c>
      <c r="G46" s="5">
        <f t="shared" si="0"/>
        <v>44.6880000000019</v>
      </c>
      <c r="H46" s="5">
        <v>57209.925</v>
      </c>
      <c r="I46" s="5">
        <v>57187.2</v>
      </c>
      <c r="J46" s="5">
        <v>22.7250000000058</v>
      </c>
      <c r="K46" s="5">
        <v>-32.242</v>
      </c>
      <c r="L46" s="5">
        <v>-32.8</v>
      </c>
      <c r="M46" s="5">
        <v>0.558</v>
      </c>
    </row>
    <row r="47" spans="1:13">
      <c r="A47" s="1">
        <v>410</v>
      </c>
      <c r="B47" s="2">
        <v>19640</v>
      </c>
      <c r="C47" s="2">
        <v>11552</v>
      </c>
      <c r="D47" s="2">
        <v>1.70013850415512</v>
      </c>
      <c r="E47" s="5">
        <v>33209.184</v>
      </c>
      <c r="F47" s="5">
        <v>33149.197</v>
      </c>
      <c r="G47" s="5">
        <f t="shared" si="0"/>
        <v>59.987000000001</v>
      </c>
      <c r="H47" s="5">
        <v>57376.795</v>
      </c>
      <c r="I47" s="5">
        <v>57322.969</v>
      </c>
      <c r="J47" s="5">
        <v>53.8260000000009</v>
      </c>
      <c r="K47" s="5">
        <v>-11.688</v>
      </c>
      <c r="L47" s="5">
        <v>-35.664</v>
      </c>
      <c r="M47" s="5">
        <v>23.976</v>
      </c>
    </row>
    <row r="48" spans="1:13">
      <c r="A48" s="1">
        <v>410</v>
      </c>
      <c r="B48" s="2">
        <v>35810</v>
      </c>
      <c r="C48" s="2">
        <v>21064</v>
      </c>
      <c r="D48" s="2">
        <v>1.70005696923661</v>
      </c>
      <c r="E48" s="5">
        <v>34104.252</v>
      </c>
      <c r="F48" s="5">
        <v>33149.264</v>
      </c>
      <c r="G48" s="5">
        <f t="shared" si="0"/>
        <v>954.987999999998</v>
      </c>
      <c r="H48" s="5">
        <v>61829.189</v>
      </c>
      <c r="I48" s="5">
        <v>60726.313</v>
      </c>
      <c r="J48" s="5">
        <v>1102.876</v>
      </c>
      <c r="K48" s="5">
        <v>25.183</v>
      </c>
      <c r="L48" s="5">
        <v>-45.488</v>
      </c>
      <c r="M48" s="5">
        <v>70.671</v>
      </c>
    </row>
    <row r="49" spans="1:13">
      <c r="A49" s="1">
        <v>410</v>
      </c>
      <c r="B49" s="2">
        <v>5950</v>
      </c>
      <c r="C49" s="2">
        <v>3500</v>
      </c>
      <c r="D49" s="2">
        <v>1.7</v>
      </c>
      <c r="E49" s="5">
        <v>33173.932</v>
      </c>
      <c r="F49" s="5">
        <v>33149.999</v>
      </c>
      <c r="G49" s="5">
        <f t="shared" si="0"/>
        <v>23.9329999999973</v>
      </c>
      <c r="H49" s="5">
        <v>57290.713</v>
      </c>
      <c r="I49" s="5">
        <v>57267.463</v>
      </c>
      <c r="J49" s="5">
        <v>23.25</v>
      </c>
      <c r="K49" s="5">
        <v>-20.795</v>
      </c>
      <c r="L49" s="5">
        <v>-21.488</v>
      </c>
      <c r="M49" s="5">
        <v>0.692999999999998</v>
      </c>
    </row>
    <row r="50" spans="1:13">
      <c r="A50" s="1">
        <v>410</v>
      </c>
      <c r="B50" s="2">
        <v>46820</v>
      </c>
      <c r="C50" s="2">
        <v>27541</v>
      </c>
      <c r="D50" s="2">
        <v>1.70001089285066</v>
      </c>
      <c r="E50" s="5">
        <v>33234.433</v>
      </c>
      <c r="F50" s="5">
        <v>33153.354</v>
      </c>
      <c r="G50" s="5">
        <f t="shared" si="0"/>
        <v>81.0789999999979</v>
      </c>
      <c r="H50" s="5">
        <v>57407.608</v>
      </c>
      <c r="I50" s="5">
        <v>57348.903</v>
      </c>
      <c r="J50" s="5">
        <v>58.7050000000017</v>
      </c>
      <c r="K50" s="5">
        <v>-9.564</v>
      </c>
      <c r="L50" s="5">
        <v>-33.197</v>
      </c>
      <c r="M50" s="5">
        <v>23.633</v>
      </c>
    </row>
    <row r="51" spans="1:13">
      <c r="A51" s="1">
        <v>410</v>
      </c>
      <c r="B51" s="2">
        <v>18570</v>
      </c>
      <c r="C51" s="2">
        <v>10923</v>
      </c>
      <c r="D51" s="2">
        <v>1.70008239494644</v>
      </c>
      <c r="E51" s="5">
        <v>33189.732</v>
      </c>
      <c r="F51" s="5">
        <v>33155.028</v>
      </c>
      <c r="G51" s="5">
        <f t="shared" si="0"/>
        <v>34.7040000000052</v>
      </c>
      <c r="H51" s="5">
        <v>57295.133</v>
      </c>
      <c r="I51" s="5">
        <v>57258.321</v>
      </c>
      <c r="J51" s="5">
        <v>36.8119999999981</v>
      </c>
      <c r="K51" s="5">
        <v>-20.871</v>
      </c>
      <c r="L51" s="5">
        <v>-26.747</v>
      </c>
      <c r="M51" s="5">
        <v>5.876</v>
      </c>
    </row>
    <row r="52" spans="1:13">
      <c r="A52" s="1">
        <v>410</v>
      </c>
      <c r="B52" s="2">
        <v>30010</v>
      </c>
      <c r="C52" s="2">
        <v>17652</v>
      </c>
      <c r="D52" s="2">
        <v>1.70009064128711</v>
      </c>
      <c r="E52" s="5">
        <v>33213.61</v>
      </c>
      <c r="F52" s="5">
        <v>33155.78</v>
      </c>
      <c r="G52" s="5">
        <f t="shared" si="0"/>
        <v>57.8300000000017</v>
      </c>
      <c r="H52" s="5">
        <v>57375.59</v>
      </c>
      <c r="I52" s="5">
        <v>57331.65</v>
      </c>
      <c r="J52" s="5">
        <v>43.9399999999951</v>
      </c>
      <c r="K52" s="5">
        <v>-20.43</v>
      </c>
      <c r="L52" s="5">
        <v>-32.597</v>
      </c>
      <c r="M52" s="5">
        <v>12.167</v>
      </c>
    </row>
    <row r="53" spans="1:13">
      <c r="A53" s="1">
        <v>982</v>
      </c>
      <c r="B53" s="2">
        <v>7080</v>
      </c>
      <c r="C53" s="2">
        <v>7077.8</v>
      </c>
      <c r="D53" s="2">
        <v>1.0003108310492</v>
      </c>
      <c r="E53" s="5">
        <v>33215.973</v>
      </c>
      <c r="F53" s="5">
        <v>33155.994</v>
      </c>
      <c r="G53" s="5">
        <f t="shared" si="0"/>
        <v>59.9789999999994</v>
      </c>
      <c r="H53" s="5">
        <v>57347.125</v>
      </c>
      <c r="I53" s="5">
        <v>57294.362</v>
      </c>
      <c r="J53" s="5">
        <v>52.762999999999</v>
      </c>
      <c r="K53" s="5">
        <v>-26.973</v>
      </c>
      <c r="L53" s="5">
        <v>-35.243</v>
      </c>
      <c r="M53" s="5">
        <v>8.27</v>
      </c>
    </row>
    <row r="54" spans="1:13">
      <c r="A54" s="1">
        <v>984</v>
      </c>
      <c r="B54" s="2">
        <v>10620</v>
      </c>
      <c r="C54" s="2">
        <v>10620</v>
      </c>
      <c r="D54" s="2">
        <v>1</v>
      </c>
      <c r="E54" s="5">
        <v>33216.138</v>
      </c>
      <c r="F54" s="5">
        <v>33156.607</v>
      </c>
      <c r="G54" s="5">
        <f t="shared" si="0"/>
        <v>59.5309999999954</v>
      </c>
      <c r="H54" s="5">
        <v>57299.828</v>
      </c>
      <c r="I54" s="5">
        <v>57257.808</v>
      </c>
      <c r="J54" s="5">
        <v>42.0200000000041</v>
      </c>
      <c r="K54" s="5">
        <v>-25.705</v>
      </c>
      <c r="L54" s="5">
        <v>-34.369</v>
      </c>
      <c r="M54" s="5">
        <v>8.664</v>
      </c>
    </row>
    <row r="55" spans="1:13">
      <c r="A55" s="1">
        <v>410</v>
      </c>
      <c r="B55" s="2">
        <v>35260</v>
      </c>
      <c r="C55" s="2">
        <v>20741</v>
      </c>
      <c r="D55" s="2">
        <v>1.70001446410491</v>
      </c>
      <c r="E55" s="5">
        <v>33985.598</v>
      </c>
      <c r="F55" s="5">
        <v>33156.737</v>
      </c>
      <c r="G55" s="5">
        <f t="shared" si="0"/>
        <v>828.860999999997</v>
      </c>
      <c r="H55" s="5">
        <v>61776.362</v>
      </c>
      <c r="I55" s="5">
        <v>60475.48</v>
      </c>
      <c r="J55" s="5">
        <v>1300.882</v>
      </c>
      <c r="K55" s="5">
        <v>17.763</v>
      </c>
      <c r="L55" s="5">
        <v>-45.1</v>
      </c>
      <c r="M55" s="5">
        <v>62.863</v>
      </c>
    </row>
    <row r="56" spans="1:13">
      <c r="A56" s="1">
        <v>410</v>
      </c>
      <c r="B56" s="2">
        <v>28300</v>
      </c>
      <c r="C56" s="2">
        <v>16647</v>
      </c>
      <c r="D56" s="2">
        <v>1.70000600708836</v>
      </c>
      <c r="E56" s="5">
        <v>33267.892</v>
      </c>
      <c r="F56" s="5">
        <v>33157.216</v>
      </c>
      <c r="G56" s="5">
        <f t="shared" si="0"/>
        <v>110.675999999999</v>
      </c>
      <c r="H56" s="5">
        <v>57493.809</v>
      </c>
      <c r="I56" s="5">
        <v>57396.437</v>
      </c>
      <c r="J56" s="5">
        <v>97.372000000003</v>
      </c>
      <c r="K56" s="5">
        <v>-10.919</v>
      </c>
      <c r="L56" s="5">
        <v>-37.789</v>
      </c>
      <c r="M56" s="5">
        <v>26.87</v>
      </c>
    </row>
    <row r="57" spans="1:13">
      <c r="A57" s="1">
        <v>740</v>
      </c>
      <c r="B57" s="2">
        <v>3010</v>
      </c>
      <c r="C57" s="2">
        <v>1672</v>
      </c>
      <c r="D57" s="2">
        <v>1.80023923444976</v>
      </c>
      <c r="E57" s="5">
        <v>33198.715</v>
      </c>
      <c r="F57" s="5">
        <v>33157.411</v>
      </c>
      <c r="G57" s="5">
        <f t="shared" si="0"/>
        <v>41.3039999999964</v>
      </c>
      <c r="H57" s="5">
        <v>57346.528</v>
      </c>
      <c r="I57" s="5">
        <v>57287.537</v>
      </c>
      <c r="J57" s="5">
        <v>58.9910000000018</v>
      </c>
      <c r="K57" s="5">
        <v>-20.916</v>
      </c>
      <c r="L57" s="5">
        <v>-28.069</v>
      </c>
      <c r="M57" s="5">
        <v>7.153</v>
      </c>
    </row>
    <row r="58" spans="1:13">
      <c r="A58" s="1">
        <v>410</v>
      </c>
      <c r="B58" s="2">
        <v>20040</v>
      </c>
      <c r="C58" s="2">
        <v>11788</v>
      </c>
      <c r="D58" s="2">
        <v>1.70003393281303</v>
      </c>
      <c r="E58" s="5">
        <v>33250.773</v>
      </c>
      <c r="F58" s="5">
        <v>33162.55</v>
      </c>
      <c r="G58" s="5">
        <f t="shared" si="0"/>
        <v>88.2229999999981</v>
      </c>
      <c r="H58" s="5">
        <v>57467.928</v>
      </c>
      <c r="I58" s="5">
        <v>57375.334</v>
      </c>
      <c r="J58" s="5">
        <v>92.5939999999973</v>
      </c>
      <c r="K58" s="5">
        <v>-11.45</v>
      </c>
      <c r="L58" s="5">
        <v>-37.03</v>
      </c>
      <c r="M58" s="5">
        <v>25.58</v>
      </c>
    </row>
    <row r="59" spans="1:13">
      <c r="A59" s="1">
        <v>410</v>
      </c>
      <c r="B59" s="2">
        <v>22340</v>
      </c>
      <c r="C59" s="2">
        <v>13141</v>
      </c>
      <c r="D59" s="2">
        <v>1.70002282931284</v>
      </c>
      <c r="E59" s="5">
        <v>33235.899</v>
      </c>
      <c r="F59" s="5">
        <v>33164.504</v>
      </c>
      <c r="G59" s="5">
        <f t="shared" si="0"/>
        <v>71.3949999999968</v>
      </c>
      <c r="H59" s="5">
        <v>57498.388</v>
      </c>
      <c r="I59" s="5">
        <v>57433.935</v>
      </c>
      <c r="J59" s="5">
        <v>64.4530000000013</v>
      </c>
      <c r="K59" s="5">
        <v>-11.786</v>
      </c>
      <c r="L59" s="5">
        <v>-24.483</v>
      </c>
      <c r="M59" s="5">
        <v>12.697</v>
      </c>
    </row>
    <row r="60" spans="1:13">
      <c r="A60" s="1">
        <v>982</v>
      </c>
      <c r="B60" s="2">
        <v>4130</v>
      </c>
      <c r="C60" s="2">
        <v>4130</v>
      </c>
      <c r="D60" s="2">
        <v>1</v>
      </c>
      <c r="E60" s="5">
        <v>33184.602</v>
      </c>
      <c r="F60" s="5">
        <v>33165.047</v>
      </c>
      <c r="G60" s="5">
        <f t="shared" si="0"/>
        <v>19.5550000000003</v>
      </c>
      <c r="H60" s="5">
        <v>57314.706</v>
      </c>
      <c r="I60" s="5">
        <v>57300.328</v>
      </c>
      <c r="J60" s="5">
        <v>14.377999999997</v>
      </c>
      <c r="K60" s="5">
        <v>-20.617</v>
      </c>
      <c r="L60" s="5">
        <v>-25.658</v>
      </c>
      <c r="M60" s="5">
        <v>5.041</v>
      </c>
    </row>
    <row r="61" spans="1:13">
      <c r="A61" s="1">
        <v>410</v>
      </c>
      <c r="B61" s="2">
        <v>23980</v>
      </c>
      <c r="C61" s="2">
        <v>14105</v>
      </c>
      <c r="D61" s="2">
        <v>1.70010634526764</v>
      </c>
      <c r="E61" s="5">
        <v>33227.746</v>
      </c>
      <c r="F61" s="5">
        <v>33166.816</v>
      </c>
      <c r="G61" s="5">
        <f t="shared" si="0"/>
        <v>60.9300000000003</v>
      </c>
      <c r="H61" s="5">
        <v>57463.877</v>
      </c>
      <c r="I61" s="5">
        <v>57407.977</v>
      </c>
      <c r="J61" s="5">
        <v>55.9000000000015</v>
      </c>
      <c r="K61" s="5">
        <v>-20.129</v>
      </c>
      <c r="L61" s="5">
        <v>-27.389</v>
      </c>
      <c r="M61" s="5">
        <v>7.26</v>
      </c>
    </row>
    <row r="62" spans="1:13">
      <c r="A62" s="1">
        <v>980</v>
      </c>
      <c r="B62" s="2">
        <v>1840</v>
      </c>
      <c r="C62" s="2">
        <v>1840</v>
      </c>
      <c r="D62" s="2">
        <v>1</v>
      </c>
      <c r="E62" s="5">
        <v>33261.11</v>
      </c>
      <c r="F62" s="5">
        <v>33168.706</v>
      </c>
      <c r="G62" s="5">
        <f t="shared" si="0"/>
        <v>92.4040000000023</v>
      </c>
      <c r="H62" s="5">
        <v>57762.849</v>
      </c>
      <c r="I62" s="5">
        <v>57272.079</v>
      </c>
      <c r="J62" s="5">
        <v>490.770000000004</v>
      </c>
      <c r="K62" s="5">
        <v>-3.715</v>
      </c>
      <c r="L62" s="5">
        <v>-22.239</v>
      </c>
      <c r="M62" s="5">
        <v>18.524</v>
      </c>
    </row>
    <row r="63" spans="1:13">
      <c r="A63" s="1">
        <v>410</v>
      </c>
      <c r="B63" s="2">
        <v>13960</v>
      </c>
      <c r="C63" s="2">
        <v>8211</v>
      </c>
      <c r="D63" s="2">
        <v>1.70015832419924</v>
      </c>
      <c r="E63" s="5">
        <v>33206.482</v>
      </c>
      <c r="F63" s="5">
        <v>33168.937</v>
      </c>
      <c r="G63" s="5">
        <f t="shared" si="0"/>
        <v>37.5450000000055</v>
      </c>
      <c r="H63" s="5">
        <v>57480.354</v>
      </c>
      <c r="I63" s="5">
        <v>57442.07</v>
      </c>
      <c r="J63" s="5">
        <v>38.2839999999997</v>
      </c>
      <c r="K63" s="5">
        <v>-11.524</v>
      </c>
      <c r="L63" s="5">
        <v>-16.459</v>
      </c>
      <c r="M63" s="5">
        <v>4.935</v>
      </c>
    </row>
    <row r="64" spans="1:13">
      <c r="A64" s="1">
        <v>410</v>
      </c>
      <c r="B64" s="2">
        <v>32590</v>
      </c>
      <c r="C64" s="2">
        <v>19170</v>
      </c>
      <c r="D64" s="2">
        <v>1.7000521648409</v>
      </c>
      <c r="E64" s="5">
        <v>33261.2</v>
      </c>
      <c r="F64" s="5">
        <v>33170.305</v>
      </c>
      <c r="G64" s="5">
        <f t="shared" si="0"/>
        <v>90.8949999999968</v>
      </c>
      <c r="H64" s="5">
        <v>57569.392</v>
      </c>
      <c r="I64" s="5">
        <v>57475.062</v>
      </c>
      <c r="J64" s="5">
        <v>94.3300000000017</v>
      </c>
      <c r="K64" s="5">
        <v>-10.481</v>
      </c>
      <c r="L64" s="5">
        <v>-38.108</v>
      </c>
      <c r="M64" s="5">
        <v>27.627</v>
      </c>
    </row>
    <row r="65" spans="1:13">
      <c r="A65" s="1">
        <v>982</v>
      </c>
      <c r="B65" s="2">
        <v>19130</v>
      </c>
      <c r="C65" s="2">
        <v>19132.2</v>
      </c>
      <c r="D65" s="2">
        <v>0.999885010610385</v>
      </c>
      <c r="E65" s="5">
        <v>33245.782</v>
      </c>
      <c r="F65" s="5">
        <v>33170.602</v>
      </c>
      <c r="G65" s="5">
        <f t="shared" si="0"/>
        <v>75.1800000000003</v>
      </c>
      <c r="H65" s="5">
        <v>57466.612</v>
      </c>
      <c r="I65" s="5">
        <v>57402.148</v>
      </c>
      <c r="J65" s="5">
        <v>64.4639999999999</v>
      </c>
      <c r="K65" s="5">
        <v>-26.378</v>
      </c>
      <c r="L65" s="5">
        <v>-32.417</v>
      </c>
      <c r="M65" s="5">
        <v>6.039</v>
      </c>
    </row>
    <row r="66" spans="1:13">
      <c r="A66" s="1">
        <v>410</v>
      </c>
      <c r="B66" s="2">
        <v>66910</v>
      </c>
      <c r="C66" s="2">
        <v>39358</v>
      </c>
      <c r="D66" s="2">
        <v>1.70003557091316</v>
      </c>
      <c r="E66" s="5">
        <v>33232.825</v>
      </c>
      <c r="F66" s="5">
        <v>33170.622</v>
      </c>
      <c r="G66" s="5">
        <f t="shared" si="0"/>
        <v>62.2029999999941</v>
      </c>
      <c r="H66" s="5">
        <v>57569.392</v>
      </c>
      <c r="I66" s="5">
        <v>57475.062</v>
      </c>
      <c r="J66" s="5">
        <v>94.3300000000017</v>
      </c>
      <c r="K66" s="5">
        <v>-10.681</v>
      </c>
      <c r="L66" s="5">
        <v>-26.361</v>
      </c>
      <c r="M66" s="5">
        <v>15.68</v>
      </c>
    </row>
    <row r="67" spans="1:13">
      <c r="A67" s="1">
        <v>410</v>
      </c>
      <c r="B67" s="2">
        <v>35030</v>
      </c>
      <c r="C67" s="2">
        <v>20605</v>
      </c>
      <c r="D67" s="2">
        <v>1.7000727978646</v>
      </c>
      <c r="E67" s="5">
        <v>33259.439</v>
      </c>
      <c r="F67" s="5">
        <v>33172.23</v>
      </c>
      <c r="G67" s="5">
        <f t="shared" ref="G67:G130" si="1">E67-F67</f>
        <v>87.2089999999953</v>
      </c>
      <c r="H67" s="5">
        <v>57544.181</v>
      </c>
      <c r="I67" s="5">
        <v>57458.717</v>
      </c>
      <c r="J67" s="5">
        <v>85.4639999999999</v>
      </c>
      <c r="K67" s="5">
        <v>-11.464</v>
      </c>
      <c r="L67" s="5">
        <v>-38.489</v>
      </c>
      <c r="M67" s="5">
        <v>27.025</v>
      </c>
    </row>
    <row r="68" spans="1:13">
      <c r="A68" s="1">
        <v>984</v>
      </c>
      <c r="B68" s="2">
        <v>7730</v>
      </c>
      <c r="C68" s="2">
        <v>7730</v>
      </c>
      <c r="D68" s="2">
        <v>1</v>
      </c>
      <c r="E68" s="5">
        <v>33219.311</v>
      </c>
      <c r="F68" s="5">
        <v>33172.257</v>
      </c>
      <c r="G68" s="5">
        <f t="shared" si="1"/>
        <v>47.0540000000037</v>
      </c>
      <c r="H68" s="5">
        <v>57375.674</v>
      </c>
      <c r="I68" s="5">
        <v>57315.576</v>
      </c>
      <c r="J68" s="5">
        <v>60.0979999999981</v>
      </c>
      <c r="K68" s="5">
        <v>-29.495</v>
      </c>
      <c r="L68" s="5">
        <v>-35.653</v>
      </c>
      <c r="M68" s="5">
        <v>6.158</v>
      </c>
    </row>
    <row r="69" spans="1:13">
      <c r="A69" s="1">
        <v>410</v>
      </c>
      <c r="B69" s="2">
        <v>15670</v>
      </c>
      <c r="C69" s="2">
        <v>9217</v>
      </c>
      <c r="D69" s="2">
        <v>1.70011934468916</v>
      </c>
      <c r="E69" s="5">
        <v>33264.248</v>
      </c>
      <c r="F69" s="5">
        <v>33172.476</v>
      </c>
      <c r="G69" s="5">
        <f t="shared" si="1"/>
        <v>91.7719999999972</v>
      </c>
      <c r="H69" s="5">
        <v>57486.66</v>
      </c>
      <c r="I69" s="5">
        <v>57449.931</v>
      </c>
      <c r="J69" s="5">
        <v>36.7290000000066</v>
      </c>
      <c r="K69" s="5">
        <v>-12.037</v>
      </c>
      <c r="L69" s="5">
        <v>-37.779</v>
      </c>
      <c r="M69" s="5">
        <v>25.742</v>
      </c>
    </row>
    <row r="70" spans="1:13">
      <c r="A70" s="1">
        <v>410</v>
      </c>
      <c r="B70" s="2">
        <v>19250</v>
      </c>
      <c r="C70" s="2">
        <v>11323</v>
      </c>
      <c r="D70" s="2">
        <v>1.70007948423563</v>
      </c>
      <c r="E70" s="5">
        <v>33242.893</v>
      </c>
      <c r="F70" s="5">
        <v>33174.553</v>
      </c>
      <c r="G70" s="5">
        <f t="shared" si="1"/>
        <v>68.3399999999965</v>
      </c>
      <c r="H70" s="5">
        <v>57511.52</v>
      </c>
      <c r="I70" s="5">
        <v>57456.232</v>
      </c>
      <c r="J70" s="5">
        <v>55.2879999999932</v>
      </c>
      <c r="K70" s="5">
        <v>-19.626</v>
      </c>
      <c r="L70" s="5">
        <v>-32.606</v>
      </c>
      <c r="M70" s="5">
        <v>12.98</v>
      </c>
    </row>
    <row r="71" spans="1:13">
      <c r="A71" s="1">
        <v>982</v>
      </c>
      <c r="B71" s="2">
        <v>7860</v>
      </c>
      <c r="C71" s="2">
        <v>7860</v>
      </c>
      <c r="D71" s="2">
        <v>1</v>
      </c>
      <c r="E71" s="5">
        <v>33237.81</v>
      </c>
      <c r="F71" s="5">
        <v>33176.492</v>
      </c>
      <c r="G71" s="5">
        <f t="shared" si="1"/>
        <v>61.3179999999993</v>
      </c>
      <c r="H71" s="5">
        <v>57604.364</v>
      </c>
      <c r="I71" s="5">
        <v>57550.237</v>
      </c>
      <c r="J71" s="5">
        <v>54.1270000000004</v>
      </c>
      <c r="K71" s="5">
        <v>-10.334</v>
      </c>
      <c r="L71" s="5">
        <v>-39.509</v>
      </c>
      <c r="M71" s="5">
        <v>29.175</v>
      </c>
    </row>
    <row r="72" spans="1:13">
      <c r="A72" s="1">
        <v>982</v>
      </c>
      <c r="B72" s="2">
        <v>13750</v>
      </c>
      <c r="C72" s="2">
        <v>13750</v>
      </c>
      <c r="D72" s="2">
        <v>1</v>
      </c>
      <c r="E72" s="5">
        <v>33242.133</v>
      </c>
      <c r="F72" s="5">
        <v>33176.503</v>
      </c>
      <c r="G72" s="5">
        <f t="shared" si="1"/>
        <v>65.6300000000047</v>
      </c>
      <c r="H72" s="5">
        <v>57405.88</v>
      </c>
      <c r="I72" s="5">
        <v>57365.626</v>
      </c>
      <c r="J72" s="5">
        <v>40.2540000000008</v>
      </c>
      <c r="K72" s="5">
        <v>-30.599</v>
      </c>
      <c r="L72" s="5">
        <v>-36.273</v>
      </c>
      <c r="M72" s="5">
        <v>5.674</v>
      </c>
    </row>
    <row r="73" spans="1:13">
      <c r="A73" s="1">
        <v>410</v>
      </c>
      <c r="B73" s="2">
        <v>18100</v>
      </c>
      <c r="C73" s="2">
        <v>10647</v>
      </c>
      <c r="D73" s="2">
        <v>1.70000939231708</v>
      </c>
      <c r="E73" s="5">
        <v>33209.169</v>
      </c>
      <c r="F73" s="5">
        <v>33176.529</v>
      </c>
      <c r="G73" s="5">
        <f t="shared" si="1"/>
        <v>32.6399999999994</v>
      </c>
      <c r="H73" s="5">
        <v>57586.153</v>
      </c>
      <c r="I73" s="5">
        <v>57512.538</v>
      </c>
      <c r="J73" s="5">
        <v>73.614999999998</v>
      </c>
      <c r="K73" s="5">
        <v>-10.102</v>
      </c>
      <c r="L73" s="5">
        <v>-25.316</v>
      </c>
      <c r="M73" s="5">
        <v>15.214</v>
      </c>
    </row>
    <row r="74" spans="1:13">
      <c r="A74" s="1">
        <v>410</v>
      </c>
      <c r="B74" s="2">
        <v>18090</v>
      </c>
      <c r="C74" s="2">
        <v>10641</v>
      </c>
      <c r="D74" s="2">
        <v>1.70002819283902</v>
      </c>
      <c r="E74" s="5">
        <v>33204.512</v>
      </c>
      <c r="F74" s="5">
        <v>33178.06</v>
      </c>
      <c r="G74" s="5">
        <f t="shared" si="1"/>
        <v>26.4520000000048</v>
      </c>
      <c r="H74" s="5">
        <v>57597.416</v>
      </c>
      <c r="I74" s="5">
        <v>57555.107</v>
      </c>
      <c r="J74" s="5">
        <v>42.3089999999938</v>
      </c>
      <c r="K74" s="5">
        <v>-12.383</v>
      </c>
      <c r="L74" s="5">
        <v>-24.765</v>
      </c>
      <c r="M74" s="5">
        <v>12.382</v>
      </c>
    </row>
    <row r="75" spans="1:13">
      <c r="A75" s="1">
        <v>740</v>
      </c>
      <c r="B75" s="2">
        <v>3750</v>
      </c>
      <c r="C75" s="2">
        <v>2083</v>
      </c>
      <c r="D75" s="2">
        <v>1.80028804608737</v>
      </c>
      <c r="E75" s="5">
        <v>33229.977</v>
      </c>
      <c r="F75" s="5">
        <v>33178.461</v>
      </c>
      <c r="G75" s="5">
        <f t="shared" si="1"/>
        <v>51.515999999996</v>
      </c>
      <c r="H75" s="5">
        <v>57583.568</v>
      </c>
      <c r="I75" s="5">
        <v>57537.745</v>
      </c>
      <c r="J75" s="5">
        <v>45.8229999999967</v>
      </c>
      <c r="K75" s="5">
        <v>-10.851</v>
      </c>
      <c r="L75" s="5">
        <v>-39.101</v>
      </c>
      <c r="M75" s="5">
        <v>28.25</v>
      </c>
    </row>
    <row r="76" spans="1:13">
      <c r="A76" s="1">
        <v>984</v>
      </c>
      <c r="B76" s="2">
        <v>4160</v>
      </c>
      <c r="C76" s="2">
        <v>4160</v>
      </c>
      <c r="D76" s="2">
        <v>1</v>
      </c>
      <c r="E76" s="5">
        <v>33228.013</v>
      </c>
      <c r="F76" s="5">
        <v>33179.385</v>
      </c>
      <c r="G76" s="5">
        <f t="shared" si="1"/>
        <v>48.627999999997</v>
      </c>
      <c r="H76" s="5">
        <v>57365.678</v>
      </c>
      <c r="I76" s="5">
        <v>57352.861</v>
      </c>
      <c r="J76" s="5">
        <v>12.8170000000027</v>
      </c>
      <c r="K76" s="5">
        <v>-35.108</v>
      </c>
      <c r="L76" s="5">
        <v>-35.544</v>
      </c>
      <c r="M76" s="5">
        <v>0.436</v>
      </c>
    </row>
    <row r="77" spans="1:13">
      <c r="A77" s="1">
        <v>982</v>
      </c>
      <c r="B77" s="2">
        <v>5900</v>
      </c>
      <c r="C77" s="2">
        <v>5900</v>
      </c>
      <c r="D77" s="2">
        <v>1</v>
      </c>
      <c r="E77" s="5">
        <v>33234.433</v>
      </c>
      <c r="F77" s="5">
        <v>33180.415</v>
      </c>
      <c r="G77" s="5">
        <f t="shared" si="1"/>
        <v>54.0179999999964</v>
      </c>
      <c r="H77" s="5">
        <v>57409.446</v>
      </c>
      <c r="I77" s="5">
        <v>57383.909</v>
      </c>
      <c r="J77" s="5">
        <v>25.5370000000039</v>
      </c>
      <c r="K77" s="5">
        <v>-33.197</v>
      </c>
      <c r="L77" s="5">
        <v>-36.149</v>
      </c>
      <c r="M77" s="5">
        <v>2.952</v>
      </c>
    </row>
  </sheetData>
  <mergeCells count="3">
    <mergeCell ref="E1:G1"/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yyuhhhh13</cp:lastModifiedBy>
  <dcterms:created xsi:type="dcterms:W3CDTF">2024-12-16T23:34:00Z</dcterms:created>
  <dcterms:modified xsi:type="dcterms:W3CDTF">2025-01-22T17:07:04Z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8AEE55D7A4617E3715D85F6748774761_41</vt:lpwstr>
  </property>
  <property fmtid="{D5CDD505-2E9C-101B-9397-08002B2CF9AE}" pid="3" name="KSOProductBuildVer">
    <vt:lpwstr>2052-6.14.0.8924</vt:lpwstr>
  </property>
</Properties>
</file>