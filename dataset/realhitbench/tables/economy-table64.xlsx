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<sst xmlns="http://schemas.openxmlformats.org/spreadsheetml/2006/main" count="157" uniqueCount="28">
  <si>
    <t>60507 - Fitness Memberships</t>
  </si>
  <si>
    <t>FEB2014</t>
  </si>
  <si>
    <t>Membership Type</t>
  </si>
  <si>
    <t>Month Sold</t>
  </si>
  <si>
    <t>Proration</t>
  </si>
  <si>
    <t>GL Code</t>
  </si>
  <si>
    <t>Opening Balance</t>
  </si>
  <si>
    <t>Sold</t>
  </si>
  <si>
    <t>Revenue</t>
  </si>
  <si>
    <t>Closing Balance</t>
  </si>
  <si>
    <t>2013</t>
  </si>
  <si>
    <t>3month</t>
  </si>
  <si>
    <t>JAN</t>
  </si>
  <si>
    <t>114003-40</t>
  </si>
  <si>
    <t>12 month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</si>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</sst>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#\ ??/12"/>
    <numFmt numFmtId="178" formatCode="_(* #,##0.00_);_(* \(#,##0.00\);_(* &quot;-&quot;??_);_(@_)"/>
  </numFmts>
  <fonts count="27">
    <font>
      <sz val="11"/>
      <color theme="1"/>
      <name val="宋体"/>
      <charset val="134"/>
      <scheme val="minor"/>
    </font>
    <font>
      <sz val="14"/>
      <name val="Arial"/>
      <charset val="134"/>
    </font>
    <font>
      <sz val="10"/>
      <color theme="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5"/>
      <name val="Arial"/>
      <charset val="134"/>
    </font>
    <font>
      <sz val="10"/>
      <color indexed="12"/>
      <name val="Arial"/>
      <charset val="134"/>
    </font>
    <font>
      <b/>
      <sz val="10"/>
      <color indexed="1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34"/>
        <bgColor indexed="8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theme="1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theme="1"/>
      </left>
      <right style="thin">
        <color theme="1"/>
      </right>
      <top style="thin">
        <color auto="1"/>
      </top>
      <bottom style="medium">
        <color indexed="8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indexed="8"/>
      </bottom>
      <diagonal/>
    </border>
    <border>
      <left style="double">
        <color theme="1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double">
        <color theme="1"/>
      </left>
      <right style="thin">
        <color theme="1"/>
      </right>
      <top style="thick">
        <color theme="6" tint="-0.249946592608417"/>
      </top>
      <bottom/>
      <diagonal/>
    </border>
    <border>
      <left style="thin">
        <color theme="1"/>
      </left>
      <right style="thin">
        <color theme="1"/>
      </right>
      <top style="thick">
        <color theme="6" tint="-0.249946592608417"/>
      </top>
      <bottom/>
      <diagonal/>
    </border>
    <border>
      <left style="double">
        <color theme="1"/>
      </left>
      <right style="thin">
        <color theme="1"/>
      </right>
      <top/>
      <bottom style="thick">
        <color theme="6" tint="-0.249946592608417"/>
      </bottom>
      <diagonal/>
    </border>
    <border>
      <left style="thin">
        <color theme="1"/>
      </left>
      <right style="thin">
        <color theme="1"/>
      </right>
      <top/>
      <bottom style="thick">
        <color theme="6" tint="-0.249946592608417"/>
      </bottom>
      <diagonal/>
    </border>
    <border>
      <left style="double">
        <color theme="1"/>
      </left>
      <right/>
      <top/>
      <bottom/>
      <diagonal/>
    </border>
    <border>
      <left style="double">
        <color theme="1"/>
      </left>
      <right style="thin">
        <color theme="1"/>
      </right>
      <top style="thick">
        <color rgb="FFFFFF00"/>
      </top>
      <bottom/>
      <diagonal/>
    </border>
    <border>
      <left style="thin">
        <color theme="1"/>
      </left>
      <right style="thin">
        <color theme="1"/>
      </right>
      <top style="thick">
        <color rgb="FFFFFF00"/>
      </top>
      <bottom/>
      <diagonal/>
    </border>
    <border>
      <left style="double">
        <color theme="1"/>
      </left>
      <right style="thin">
        <color theme="1"/>
      </right>
      <top/>
      <bottom style="thick">
        <color rgb="FFFFFF00"/>
      </bottom>
      <diagonal/>
    </border>
    <border>
      <left style="thin">
        <color theme="1"/>
      </left>
      <right style="thin">
        <color theme="1"/>
      </right>
      <top/>
      <bottom style="thick">
        <color rgb="FFFFFF00"/>
      </bottom>
      <diagonal/>
    </border>
    <border>
      <left style="double">
        <color theme="1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theme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theme="1"/>
      </right>
      <top style="thin">
        <color indexed="8"/>
      </top>
      <bottom/>
      <diagonal/>
    </border>
    <border>
      <left style="thin">
        <color theme="1"/>
      </left>
      <right style="double">
        <color theme="1"/>
      </right>
      <top style="thin">
        <color auto="1"/>
      </top>
      <bottom style="medium">
        <color indexed="8"/>
      </bottom>
      <diagonal/>
    </border>
    <border>
      <left/>
      <right/>
      <top style="medium">
        <color indexed="8"/>
      </top>
      <bottom style="thick">
        <color indexed="8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double">
        <color theme="1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double">
        <color indexed="8"/>
      </right>
      <top/>
      <bottom style="thick">
        <color indexed="8"/>
      </bottom>
      <diagonal/>
    </border>
    <border>
      <left style="thin">
        <color indexed="8"/>
      </left>
      <right style="double">
        <color theme="1"/>
      </right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6" applyNumberFormat="0" applyFill="0" applyAlignment="0" applyProtection="0">
      <alignment vertical="center"/>
    </xf>
    <xf numFmtId="0" fontId="14" fillId="0" borderId="36" applyNumberFormat="0" applyFill="0" applyAlignment="0" applyProtection="0">
      <alignment vertical="center"/>
    </xf>
    <xf numFmtId="0" fontId="15" fillId="0" borderId="3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38" applyNumberFormat="0" applyAlignment="0" applyProtection="0">
      <alignment vertical="center"/>
    </xf>
    <xf numFmtId="0" fontId="17" fillId="10" borderId="39" applyNumberFormat="0" applyAlignment="0" applyProtection="0">
      <alignment vertical="center"/>
    </xf>
    <xf numFmtId="0" fontId="18" fillId="10" borderId="38" applyNumberFormat="0" applyAlignment="0" applyProtection="0">
      <alignment vertical="center"/>
    </xf>
    <xf numFmtId="0" fontId="19" fillId="11" borderId="40" applyNumberFormat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1" fillId="0" borderId="4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39" fontId="3" fillId="0" borderId="0"/>
  </cellStyleXfs>
  <cellXfs count="5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6" fontId="1" fillId="0" borderId="2" xfId="0" applyNumberFormat="1" applyFont="1" applyFill="1" applyBorder="1" applyAlignment="1">
      <alignment horizontal="center"/>
    </xf>
    <xf numFmtId="176" fontId="1" fillId="0" borderId="3" xfId="0" applyNumberFormat="1" applyFont="1" applyFill="1" applyBorder="1" applyAlignment="1">
      <alignment horizontal="center"/>
    </xf>
    <xf numFmtId="176" fontId="2" fillId="0" borderId="4" xfId="0" applyNumberFormat="1" applyFont="1" applyFill="1" applyBorder="1" applyAlignment="1"/>
    <xf numFmtId="176" fontId="3" fillId="0" borderId="5" xfId="0" applyNumberFormat="1" applyFont="1" applyFill="1" applyBorder="1" applyAlignment="1"/>
    <xf numFmtId="39" fontId="4" fillId="2" borderId="6" xfId="49" applyFont="1" applyFill="1" applyBorder="1"/>
    <xf numFmtId="176" fontId="4" fillId="2" borderId="7" xfId="49" applyNumberFormat="1" applyFont="1" applyFill="1" applyBorder="1"/>
    <xf numFmtId="177" fontId="4" fillId="2" borderId="7" xfId="49" applyNumberFormat="1" applyFont="1" applyFill="1" applyBorder="1"/>
    <xf numFmtId="39" fontId="4" fillId="2" borderId="7" xfId="49" applyFont="1" applyFill="1" applyBorder="1" applyAlignment="1">
      <alignment horizontal="center"/>
    </xf>
    <xf numFmtId="39" fontId="4" fillId="2" borderId="8" xfId="49" applyFont="1" applyFill="1" applyBorder="1"/>
    <xf numFmtId="176" fontId="4" fillId="2" borderId="9" xfId="49" applyNumberFormat="1" applyFont="1" applyFill="1" applyBorder="1" applyAlignment="1">
      <alignment wrapText="1"/>
    </xf>
    <xf numFmtId="177" fontId="4" fillId="2" borderId="9" xfId="49" applyNumberFormat="1" applyFont="1" applyFill="1" applyBorder="1"/>
    <xf numFmtId="39" fontId="4" fillId="2" borderId="9" xfId="49" applyFont="1" applyFill="1" applyBorder="1" applyAlignment="1">
      <alignment horizontal="center"/>
    </xf>
    <xf numFmtId="39" fontId="5" fillId="3" borderId="10" xfId="49" applyFont="1" applyFill="1" applyBorder="1" applyAlignment="1">
      <alignment horizontal="left"/>
    </xf>
    <xf numFmtId="176" fontId="3" fillId="3" borderId="11" xfId="49" applyNumberFormat="1" applyFont="1" applyFill="1" applyBorder="1" applyAlignment="1" applyProtection="1">
      <alignment horizontal="left"/>
    </xf>
    <xf numFmtId="177" fontId="6" fillId="3" borderId="11" xfId="49" applyNumberFormat="1" applyFont="1" applyFill="1" applyBorder="1" applyAlignment="1" applyProtection="1">
      <alignment horizontal="right"/>
    </xf>
    <xf numFmtId="178" fontId="6" fillId="3" borderId="11" xfId="49" applyNumberFormat="1" applyFont="1" applyFill="1" applyBorder="1"/>
    <xf numFmtId="39" fontId="3" fillId="3" borderId="12" xfId="49" applyFont="1" applyFill="1" applyBorder="1" applyAlignment="1">
      <alignment horizontal="left"/>
    </xf>
    <xf numFmtId="176" fontId="3" fillId="3" borderId="13" xfId="49" applyNumberFormat="1" applyFont="1" applyFill="1" applyBorder="1" applyAlignment="1" applyProtection="1">
      <alignment horizontal="left"/>
    </xf>
    <xf numFmtId="177" fontId="6" fillId="3" borderId="13" xfId="49" applyNumberFormat="1" applyFont="1" applyFill="1" applyBorder="1" applyAlignment="1" applyProtection="1">
      <alignment horizontal="right"/>
    </xf>
    <xf numFmtId="178" fontId="6" fillId="3" borderId="13" xfId="49" applyNumberFormat="1" applyFont="1" applyFill="1" applyBorder="1"/>
    <xf numFmtId="39" fontId="3" fillId="3" borderId="14" xfId="49" applyFont="1" applyFill="1" applyBorder="1" applyAlignment="1">
      <alignment horizontal="left"/>
    </xf>
    <xf numFmtId="176" fontId="3" fillId="3" borderId="15" xfId="49" applyNumberFormat="1" applyFont="1" applyFill="1" applyBorder="1" applyAlignment="1" applyProtection="1">
      <alignment horizontal="left"/>
    </xf>
    <xf numFmtId="177" fontId="6" fillId="3" borderId="15" xfId="49" applyNumberFormat="1" applyFont="1" applyFill="1" applyBorder="1" applyAlignment="1" applyProtection="1">
      <alignment horizontal="right"/>
    </xf>
    <xf numFmtId="178" fontId="6" fillId="3" borderId="15" xfId="49" applyNumberFormat="1" applyFont="1" applyFill="1" applyBorder="1"/>
    <xf numFmtId="39" fontId="5" fillId="4" borderId="16" xfId="49" applyFont="1" applyFill="1" applyBorder="1" applyAlignment="1">
      <alignment horizontal="left"/>
    </xf>
    <xf numFmtId="176" fontId="3" fillId="4" borderId="0" xfId="49" applyNumberFormat="1" applyFont="1" applyFill="1" applyBorder="1" applyAlignment="1" applyProtection="1">
      <alignment horizontal="left"/>
    </xf>
    <xf numFmtId="177" fontId="6" fillId="4" borderId="0" xfId="49" applyNumberFormat="1" applyFont="1" applyFill="1" applyBorder="1" applyAlignment="1" applyProtection="1">
      <alignment horizontal="right"/>
    </xf>
    <xf numFmtId="178" fontId="6" fillId="4" borderId="0" xfId="49" applyNumberFormat="1" applyFont="1" applyFill="1" applyBorder="1"/>
    <xf numFmtId="39" fontId="3" fillId="4" borderId="17" xfId="49" applyFont="1" applyFill="1" applyBorder="1" applyAlignment="1">
      <alignment horizontal="left"/>
    </xf>
    <xf numFmtId="176" fontId="3" fillId="4" borderId="18" xfId="49" applyNumberFormat="1" applyFont="1" applyFill="1" applyBorder="1" applyAlignment="1" applyProtection="1">
      <alignment horizontal="left"/>
    </xf>
    <xf numFmtId="177" fontId="6" fillId="4" borderId="18" xfId="49" applyNumberFormat="1" applyFont="1" applyFill="1" applyBorder="1" applyAlignment="1" applyProtection="1">
      <alignment horizontal="right"/>
    </xf>
    <xf numFmtId="178" fontId="6" fillId="4" borderId="18" xfId="49" applyNumberFormat="1" applyFont="1" applyFill="1" applyBorder="1"/>
    <xf numFmtId="39" fontId="3" fillId="4" borderId="19" xfId="49" applyFont="1" applyFill="1" applyBorder="1" applyAlignment="1">
      <alignment horizontal="left"/>
    </xf>
    <xf numFmtId="176" fontId="3" fillId="4" borderId="20" xfId="49" applyNumberFormat="1" applyFont="1" applyFill="1" applyBorder="1" applyAlignment="1" applyProtection="1">
      <alignment horizontal="left"/>
    </xf>
    <xf numFmtId="177" fontId="6" fillId="4" borderId="20" xfId="49" applyNumberFormat="1" applyFont="1" applyFill="1" applyBorder="1" applyAlignment="1" applyProtection="1">
      <alignment horizontal="right"/>
    </xf>
    <xf numFmtId="178" fontId="6" fillId="4" borderId="20" xfId="49" applyNumberFormat="1" applyFont="1" applyFill="1" applyBorder="1"/>
    <xf numFmtId="39" fontId="4" fillId="0" borderId="21" xfId="49" applyFont="1" applyBorder="1" applyAlignment="1">
      <alignment horizontal="left"/>
    </xf>
    <xf numFmtId="176" fontId="4" fillId="0" borderId="22" xfId="49" applyNumberFormat="1" applyFont="1" applyBorder="1" applyAlignment="1">
      <alignment horizontal="right"/>
    </xf>
    <xf numFmtId="177" fontId="4" fillId="0" borderId="22" xfId="49" applyNumberFormat="1" applyFont="1" applyBorder="1" applyAlignment="1">
      <alignment horizontal="right"/>
    </xf>
    <xf numFmtId="178" fontId="7" fillId="0" borderId="22" xfId="49" applyNumberFormat="1" applyFont="1" applyBorder="1" applyProtection="1"/>
    <xf numFmtId="39" fontId="4" fillId="5" borderId="23" xfId="49" applyFont="1" applyFill="1" applyBorder="1" applyAlignment="1">
      <alignment horizontal="center"/>
    </xf>
    <xf numFmtId="39" fontId="4" fillId="5" borderId="24" xfId="49" applyFont="1" applyFill="1" applyBorder="1" applyAlignment="1">
      <alignment horizontal="center"/>
    </xf>
    <xf numFmtId="39" fontId="4" fillId="5" borderId="25" xfId="49" applyFont="1" applyFill="1" applyBorder="1" applyAlignment="1">
      <alignment horizontal="center"/>
    </xf>
    <xf numFmtId="178" fontId="6" fillId="6" borderId="9" xfId="49" applyNumberFormat="1" applyFont="1" applyFill="1" applyBorder="1" applyAlignment="1" applyProtection="1">
      <alignment horizontal="center" wrapText="1"/>
    </xf>
    <xf numFmtId="39" fontId="4" fillId="5" borderId="9" xfId="49" applyFont="1" applyFill="1" applyBorder="1" applyAlignment="1">
      <alignment horizontal="center"/>
    </xf>
    <xf numFmtId="178" fontId="6" fillId="6" borderId="26" xfId="49" applyNumberFormat="1" applyFont="1" applyFill="1" applyBorder="1" applyAlignment="1" applyProtection="1">
      <alignment horizontal="center" wrapText="1"/>
    </xf>
    <xf numFmtId="39" fontId="5" fillId="3" borderId="27" xfId="49" applyFont="1" applyFill="1" applyBorder="1" applyAlignment="1">
      <alignment horizontal="left"/>
    </xf>
    <xf numFmtId="178" fontId="6" fillId="7" borderId="28" xfId="49" applyNumberFormat="1" applyFont="1" applyFill="1" applyBorder="1" applyProtection="1"/>
    <xf numFmtId="178" fontId="6" fillId="7" borderId="28" xfId="49" applyNumberFormat="1" applyFont="1" applyFill="1" applyBorder="1"/>
    <xf numFmtId="178" fontId="6" fillId="7" borderId="29" xfId="49" applyNumberFormat="1" applyFont="1" applyFill="1" applyBorder="1" applyProtection="1"/>
    <xf numFmtId="39" fontId="5" fillId="4" borderId="30" xfId="49" applyFont="1" applyFill="1" applyBorder="1" applyAlignment="1">
      <alignment horizontal="left"/>
    </xf>
    <xf numFmtId="39" fontId="5" fillId="4" borderId="31" xfId="49" applyFont="1" applyFill="1" applyBorder="1" applyAlignment="1">
      <alignment horizontal="left"/>
    </xf>
    <xf numFmtId="178" fontId="7" fillId="0" borderId="32" xfId="49" applyNumberFormat="1" applyFont="1" applyBorder="1" applyProtection="1"/>
    <xf numFmtId="178" fontId="7" fillId="0" borderId="33" xfId="49" applyNumberFormat="1" applyFont="1" applyBorder="1" applyProtection="1"/>
    <xf numFmtId="178" fontId="7" fillId="0" borderId="34" xfId="49" applyNumberFormat="1" applyFont="1" applyBorder="1" applyProtection="1"/>
    <xf numFmtId="0" fontId="1" fillId="0" borderId="1" xfId="0" applyFont="1" applyFill="1" applyBorder="1" applyAlignment="1" quotePrefix="1">
      <alignment horizontal="center"/>
    </xf>
    <xf numFmtId="39" fontId="5" fillId="3" borderId="10" xfId="49" applyFont="1" applyFill="1" applyBorder="1" applyAlignment="1" quotePrefix="1">
      <alignment horizontal="left"/>
    </xf>
    <xf numFmtId="39" fontId="3" fillId="3" borderId="12" xfId="49" applyFont="1" applyFill="1" applyBorder="1" applyAlignment="1" quotePrefix="1">
      <alignment horizontal="left"/>
    </xf>
    <xf numFmtId="178" fontId="6" fillId="3" borderId="13" xfId="49" applyNumberFormat="1" applyFont="1" applyFill="1" applyBorder="1" quotePrefix="1"/>
    <xf numFmtId="39" fontId="3" fillId="3" borderId="14" xfId="49" applyFont="1" applyFill="1" applyBorder="1" applyAlignment="1" quotePrefix="1">
      <alignment horizontal="left"/>
    </xf>
    <xf numFmtId="178" fontId="6" fillId="3" borderId="15" xfId="49" applyNumberFormat="1" applyFont="1" applyFill="1" applyBorder="1" quotePrefix="1"/>
    <xf numFmtId="39" fontId="5" fillId="4" borderId="16" xfId="49" applyFont="1" applyFill="1" applyBorder="1" applyAlignment="1" quotePrefix="1">
      <alignment horizontal="left"/>
    </xf>
    <xf numFmtId="39" fontId="3" fillId="4" borderId="17" xfId="49" applyFont="1" applyFill="1" applyBorder="1" applyAlignment="1" quotePrefix="1">
      <alignment horizontal="left"/>
    </xf>
    <xf numFmtId="178" fontId="6" fillId="4" borderId="18" xfId="49" applyNumberFormat="1" applyFont="1" applyFill="1" applyBorder="1" quotePrefix="1"/>
    <xf numFmtId="39" fontId="3" fillId="4" borderId="19" xfId="49" applyFont="1" applyFill="1" applyBorder="1" applyAlignment="1" quotePrefix="1">
      <alignment horizontal="left"/>
    </xf>
    <xf numFmtId="178" fontId="6" fillId="4" borderId="20" xfId="49" applyNumberFormat="1" applyFont="1" applyFill="1" applyBorder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25303-0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topLeftCell="A26" workbookViewId="0">
      <selection activeCell="E50" sqref="E50"/>
    </sheetView>
  </sheetViews>
  <sheetFormatPr defaultColWidth="9.23076923076923" defaultRowHeight="16.8" outlineLevelCol="7"/>
  <cols>
    <col min="1" max="1" width="20.9903846153846" customWidth="1"/>
    <col min="2" max="2" width="16.6634615384615" customWidth="1"/>
    <col min="5" max="5" width="13.4519230769231" customWidth="1"/>
    <col min="8" max="8" width="11.5288461538462" customWidth="1"/>
  </cols>
  <sheetData>
    <row r="1" ht="20.4" spans="1:8">
      <c r="A1" s="58" t="s">
        <v>0</v>
      </c>
      <c r="B1" s="2"/>
      <c r="C1" s="2"/>
      <c r="D1" s="2"/>
      <c r="E1" s="2"/>
      <c r="F1" s="2"/>
      <c r="G1" s="2"/>
      <c r="H1" s="2"/>
    </row>
    <row r="2" ht="20.4" spans="1:8">
      <c r="A2" s="3">
        <f>A3</f>
        <v>41973</v>
      </c>
      <c r="B2" s="4"/>
      <c r="C2" s="4"/>
      <c r="D2" s="4"/>
      <c r="E2" s="4"/>
      <c r="F2" s="4"/>
      <c r="G2" s="4"/>
      <c r="H2" s="4"/>
    </row>
    <row r="3" spans="1:8">
      <c r="A3" s="5">
        <v>41973</v>
      </c>
      <c r="B3" s="6"/>
      <c r="C3" s="6"/>
      <c r="D3" s="6"/>
      <c r="E3" s="6"/>
      <c r="F3" s="6"/>
      <c r="G3" s="6"/>
      <c r="H3" s="6"/>
    </row>
    <row r="4" spans="1:8">
      <c r="A4" s="7"/>
      <c r="B4" s="8"/>
      <c r="C4" s="9"/>
      <c r="D4" s="10"/>
      <c r="E4" s="43" t="s">
        <v>1</v>
      </c>
      <c r="F4" s="44"/>
      <c r="G4" s="44"/>
      <c r="H4" s="45"/>
    </row>
    <row r="5" ht="29.75" spans="1:8">
      <c r="A5" s="11" t="s">
        <v>2</v>
      </c>
      <c r="B5" s="12" t="s">
        <v>3</v>
      </c>
      <c r="C5" s="13" t="s">
        <v>4</v>
      </c>
      <c r="D5" s="14" t="s">
        <v>5</v>
      </c>
      <c r="E5" s="46" t="s">
        <v>6</v>
      </c>
      <c r="F5" s="47" t="s">
        <v>7</v>
      </c>
      <c r="G5" s="47" t="s">
        <v>8</v>
      </c>
      <c r="H5" s="48" t="s">
        <v>9</v>
      </c>
    </row>
    <row r="6" ht="22.75" spans="1:8">
      <c r="A6" s="59" t="s">
        <v>10</v>
      </c>
      <c r="B6" s="16"/>
      <c r="C6" s="17"/>
      <c r="D6" s="18"/>
      <c r="E6" s="49"/>
      <c r="F6" s="49"/>
      <c r="G6" s="49"/>
      <c r="H6" s="49"/>
    </row>
    <row r="7" ht="17.55" spans="1:8">
      <c r="A7" s="60" t="s">
        <v>11</v>
      </c>
      <c r="B7" s="20" t="s">
        <v>12</v>
      </c>
      <c r="C7" s="21">
        <v>3</v>
      </c>
      <c r="D7" s="61" t="s">
        <v>13</v>
      </c>
      <c r="E7" s="50">
        <v>0</v>
      </c>
      <c r="F7" s="51"/>
      <c r="G7" s="51"/>
      <c r="H7" s="52">
        <f t="shared" ref="H7:H30" si="0">E7+F7-G7</f>
        <v>0</v>
      </c>
    </row>
    <row r="8" ht="17.55" spans="1:8">
      <c r="A8" s="62" t="s">
        <v>14</v>
      </c>
      <c r="B8" s="24" t="s">
        <v>12</v>
      </c>
      <c r="C8" s="25">
        <v>12</v>
      </c>
      <c r="D8" s="63" t="s">
        <v>13</v>
      </c>
      <c r="E8" s="50">
        <v>-2.98427949019242e-13</v>
      </c>
      <c r="F8" s="51"/>
      <c r="G8" s="51">
        <v>0</v>
      </c>
      <c r="H8" s="52">
        <f t="shared" si="0"/>
        <v>-2.98427949019242e-13</v>
      </c>
    </row>
    <row r="9" ht="17.55" spans="1:8">
      <c r="A9" s="60" t="s">
        <v>11</v>
      </c>
      <c r="B9" s="20" t="s">
        <v>15</v>
      </c>
      <c r="C9" s="21">
        <v>3</v>
      </c>
      <c r="D9" s="61" t="s">
        <v>13</v>
      </c>
      <c r="E9" s="50">
        <v>0</v>
      </c>
      <c r="F9" s="51"/>
      <c r="G9" s="51"/>
      <c r="H9" s="52">
        <f t="shared" si="0"/>
        <v>0</v>
      </c>
    </row>
    <row r="10" ht="17.55" spans="1:8">
      <c r="A10" s="62" t="s">
        <v>14</v>
      </c>
      <c r="B10" s="24" t="s">
        <v>15</v>
      </c>
      <c r="C10" s="25">
        <v>12</v>
      </c>
      <c r="D10" s="63" t="s">
        <v>13</v>
      </c>
      <c r="E10" s="50">
        <v>-2.8421709430404e-13</v>
      </c>
      <c r="F10" s="51"/>
      <c r="G10" s="51"/>
      <c r="H10" s="52">
        <f t="shared" si="0"/>
        <v>-2.8421709430404e-13</v>
      </c>
    </row>
    <row r="11" ht="17.55" spans="1:8">
      <c r="A11" s="60" t="s">
        <v>11</v>
      </c>
      <c r="B11" s="20" t="s">
        <v>16</v>
      </c>
      <c r="C11" s="21">
        <v>3</v>
      </c>
      <c r="D11" s="61" t="s">
        <v>13</v>
      </c>
      <c r="E11" s="50">
        <v>0</v>
      </c>
      <c r="F11" s="51"/>
      <c r="G11" s="51"/>
      <c r="H11" s="52">
        <f t="shared" si="0"/>
        <v>0</v>
      </c>
    </row>
    <row r="12" ht="17.55" spans="1:8">
      <c r="A12" s="62" t="s">
        <v>14</v>
      </c>
      <c r="B12" s="24" t="s">
        <v>16</v>
      </c>
      <c r="C12" s="25">
        <v>12</v>
      </c>
      <c r="D12" s="63" t="s">
        <v>13</v>
      </c>
      <c r="E12" s="50">
        <v>0</v>
      </c>
      <c r="F12" s="51"/>
      <c r="G12" s="51">
        <v>0</v>
      </c>
      <c r="H12" s="52">
        <f t="shared" si="0"/>
        <v>0</v>
      </c>
    </row>
    <row r="13" ht="17.55" spans="1:8">
      <c r="A13" s="60" t="s">
        <v>11</v>
      </c>
      <c r="B13" s="20" t="s">
        <v>17</v>
      </c>
      <c r="C13" s="21">
        <v>3</v>
      </c>
      <c r="D13" s="61" t="s">
        <v>13</v>
      </c>
      <c r="E13" s="50">
        <v>0</v>
      </c>
      <c r="F13" s="51"/>
      <c r="G13" s="51"/>
      <c r="H13" s="52">
        <f t="shared" si="0"/>
        <v>0</v>
      </c>
    </row>
    <row r="14" ht="17.55" spans="1:8">
      <c r="A14" s="62" t="s">
        <v>14</v>
      </c>
      <c r="B14" s="24" t="s">
        <v>17</v>
      </c>
      <c r="C14" s="25">
        <v>12</v>
      </c>
      <c r="D14" s="63" t="s">
        <v>13</v>
      </c>
      <c r="E14" s="50">
        <v>0</v>
      </c>
      <c r="F14" s="51"/>
      <c r="G14" s="51"/>
      <c r="H14" s="52">
        <f t="shared" si="0"/>
        <v>0</v>
      </c>
    </row>
    <row r="15" ht="17.55" spans="1:8">
      <c r="A15" s="60" t="s">
        <v>11</v>
      </c>
      <c r="B15" s="20" t="s">
        <v>18</v>
      </c>
      <c r="C15" s="21">
        <v>3</v>
      </c>
      <c r="D15" s="61" t="s">
        <v>13</v>
      </c>
      <c r="E15" s="50">
        <v>0</v>
      </c>
      <c r="F15" s="51"/>
      <c r="G15" s="51"/>
      <c r="H15" s="52">
        <f t="shared" si="0"/>
        <v>0</v>
      </c>
    </row>
    <row r="16" ht="17.55" spans="1:8">
      <c r="A16" s="62" t="s">
        <v>14</v>
      </c>
      <c r="B16" s="24" t="s">
        <v>18</v>
      </c>
      <c r="C16" s="25">
        <v>12</v>
      </c>
      <c r="D16" s="63" t="s">
        <v>13</v>
      </c>
      <c r="E16" s="50">
        <v>-1.27897692436818e-13</v>
      </c>
      <c r="F16" s="51"/>
      <c r="G16" s="51"/>
      <c r="H16" s="52">
        <f t="shared" si="0"/>
        <v>-1.27897692436818e-13</v>
      </c>
    </row>
    <row r="17" ht="17.55" spans="1:8">
      <c r="A17" s="60" t="s">
        <v>11</v>
      </c>
      <c r="B17" s="20" t="s">
        <v>19</v>
      </c>
      <c r="C17" s="21">
        <v>3</v>
      </c>
      <c r="D17" s="61" t="s">
        <v>13</v>
      </c>
      <c r="E17" s="50">
        <v>0</v>
      </c>
      <c r="F17" s="51"/>
      <c r="G17" s="51"/>
      <c r="H17" s="52">
        <f t="shared" si="0"/>
        <v>0</v>
      </c>
    </row>
    <row r="18" ht="17.55" spans="1:8">
      <c r="A18" s="62" t="s">
        <v>14</v>
      </c>
      <c r="B18" s="24" t="s">
        <v>19</v>
      </c>
      <c r="C18" s="25">
        <v>12</v>
      </c>
      <c r="D18" s="63" t="s">
        <v>13</v>
      </c>
      <c r="E18" s="50">
        <v>0</v>
      </c>
      <c r="F18" s="51"/>
      <c r="G18" s="51"/>
      <c r="H18" s="52">
        <f t="shared" si="0"/>
        <v>0</v>
      </c>
    </row>
    <row r="19" ht="17.55" spans="1:8">
      <c r="A19" s="60" t="s">
        <v>11</v>
      </c>
      <c r="B19" s="20" t="s">
        <v>20</v>
      </c>
      <c r="C19" s="21">
        <v>3</v>
      </c>
      <c r="D19" s="61" t="s">
        <v>13</v>
      </c>
      <c r="E19" s="50">
        <v>0</v>
      </c>
      <c r="F19" s="51"/>
      <c r="G19" s="51"/>
      <c r="H19" s="52">
        <f t="shared" si="0"/>
        <v>0</v>
      </c>
    </row>
    <row r="20" ht="17.55" spans="1:8">
      <c r="A20" s="62" t="s">
        <v>14</v>
      </c>
      <c r="B20" s="24" t="s">
        <v>20</v>
      </c>
      <c r="C20" s="25">
        <v>12</v>
      </c>
      <c r="D20" s="63" t="s">
        <v>13</v>
      </c>
      <c r="E20" s="50">
        <v>-1.13686837721616e-13</v>
      </c>
      <c r="F20" s="51"/>
      <c r="G20" s="51">
        <v>0</v>
      </c>
      <c r="H20" s="52">
        <f t="shared" si="0"/>
        <v>-1.13686837721616e-13</v>
      </c>
    </row>
    <row r="21" ht="17.55" spans="1:8">
      <c r="A21" s="60" t="s">
        <v>11</v>
      </c>
      <c r="B21" s="20" t="s">
        <v>21</v>
      </c>
      <c r="C21" s="21">
        <v>3</v>
      </c>
      <c r="D21" s="61" t="s">
        <v>13</v>
      </c>
      <c r="E21" s="50">
        <v>0</v>
      </c>
      <c r="F21" s="51"/>
      <c r="G21" s="51">
        <v>0</v>
      </c>
      <c r="H21" s="52">
        <f t="shared" si="0"/>
        <v>0</v>
      </c>
    </row>
    <row r="22" ht="17.55" spans="1:8">
      <c r="A22" s="62" t="s">
        <v>14</v>
      </c>
      <c r="B22" s="24" t="s">
        <v>21</v>
      </c>
      <c r="C22" s="25">
        <v>12</v>
      </c>
      <c r="D22" s="63" t="s">
        <v>13</v>
      </c>
      <c r="E22" s="50">
        <v>-2.70006239588838e-13</v>
      </c>
      <c r="F22" s="51"/>
      <c r="G22" s="51">
        <v>0</v>
      </c>
      <c r="H22" s="52">
        <f t="shared" si="0"/>
        <v>-2.70006239588838e-13</v>
      </c>
    </row>
    <row r="23" ht="17.55" spans="1:8">
      <c r="A23" s="60" t="s">
        <v>11</v>
      </c>
      <c r="B23" s="20" t="s">
        <v>22</v>
      </c>
      <c r="C23" s="21">
        <v>3</v>
      </c>
      <c r="D23" s="61" t="s">
        <v>13</v>
      </c>
      <c r="E23" s="50">
        <v>0</v>
      </c>
      <c r="F23" s="51"/>
      <c r="G23" s="51"/>
      <c r="H23" s="52">
        <f t="shared" si="0"/>
        <v>0</v>
      </c>
    </row>
    <row r="24" ht="17.55" spans="1:8">
      <c r="A24" s="62" t="s">
        <v>14</v>
      </c>
      <c r="B24" s="24" t="s">
        <v>22</v>
      </c>
      <c r="C24" s="25">
        <v>12</v>
      </c>
      <c r="D24" s="63" t="s">
        <v>13</v>
      </c>
      <c r="E24" s="50">
        <v>0</v>
      </c>
      <c r="F24" s="51"/>
      <c r="G24" s="51"/>
      <c r="H24" s="52">
        <f t="shared" si="0"/>
        <v>0</v>
      </c>
    </row>
    <row r="25" ht="17.55" spans="1:8">
      <c r="A25" s="60" t="s">
        <v>11</v>
      </c>
      <c r="B25" s="20" t="s">
        <v>23</v>
      </c>
      <c r="C25" s="21">
        <v>3</v>
      </c>
      <c r="D25" s="61" t="s">
        <v>13</v>
      </c>
      <c r="E25" s="50">
        <v>0</v>
      </c>
      <c r="F25" s="51"/>
      <c r="G25" s="51"/>
      <c r="H25" s="52">
        <f t="shared" si="0"/>
        <v>0</v>
      </c>
    </row>
    <row r="26" ht="17.55" spans="1:8">
      <c r="A26" s="62" t="s">
        <v>14</v>
      </c>
      <c r="B26" s="24" t="s">
        <v>23</v>
      </c>
      <c r="C26" s="25">
        <v>12</v>
      </c>
      <c r="D26" s="63" t="s">
        <v>13</v>
      </c>
      <c r="E26" s="50">
        <v>-1.27897692436818e-13</v>
      </c>
      <c r="F26" s="51"/>
      <c r="G26" s="51"/>
      <c r="H26" s="52">
        <f t="shared" si="0"/>
        <v>-1.27897692436818e-13</v>
      </c>
    </row>
    <row r="27" ht="17.55" spans="1:8">
      <c r="A27" s="60" t="s">
        <v>11</v>
      </c>
      <c r="B27" s="20" t="s">
        <v>24</v>
      </c>
      <c r="C27" s="21">
        <v>3</v>
      </c>
      <c r="D27" s="61" t="s">
        <v>13</v>
      </c>
      <c r="E27" s="50">
        <v>0</v>
      </c>
      <c r="F27" s="51"/>
      <c r="G27" s="51"/>
      <c r="H27" s="52">
        <f t="shared" si="0"/>
        <v>0</v>
      </c>
    </row>
    <row r="28" ht="17.55" spans="1:8">
      <c r="A28" s="62" t="s">
        <v>14</v>
      </c>
      <c r="B28" s="24" t="s">
        <v>24</v>
      </c>
      <c r="C28" s="25">
        <v>12</v>
      </c>
      <c r="D28" s="63" t="s">
        <v>13</v>
      </c>
      <c r="E28" s="50">
        <v>0</v>
      </c>
      <c r="F28" s="51"/>
      <c r="G28" s="51"/>
      <c r="H28" s="52">
        <f t="shared" si="0"/>
        <v>0</v>
      </c>
    </row>
    <row r="29" ht="17.55" spans="1:8">
      <c r="A29" s="60" t="s">
        <v>11</v>
      </c>
      <c r="B29" s="20" t="s">
        <v>25</v>
      </c>
      <c r="C29" s="21">
        <v>3</v>
      </c>
      <c r="D29" s="61" t="s">
        <v>13</v>
      </c>
      <c r="E29" s="50">
        <v>0</v>
      </c>
      <c r="F29" s="51"/>
      <c r="G29" s="51"/>
      <c r="H29" s="52">
        <f t="shared" si="0"/>
        <v>0</v>
      </c>
    </row>
    <row r="30" ht="17.55" spans="1:8">
      <c r="A30" s="62" t="s">
        <v>14</v>
      </c>
      <c r="B30" s="24" t="s">
        <v>25</v>
      </c>
      <c r="C30" s="25">
        <v>12</v>
      </c>
      <c r="D30" s="63" t="s">
        <v>13</v>
      </c>
      <c r="E30" s="50">
        <v>208.35</v>
      </c>
      <c r="F30" s="51"/>
      <c r="G30" s="51">
        <v>208.35</v>
      </c>
      <c r="H30" s="52">
        <f t="shared" si="0"/>
        <v>0</v>
      </c>
    </row>
    <row r="31" ht="23.5" spans="1:8">
      <c r="A31" s="64" t="s">
        <v>26</v>
      </c>
      <c r="B31" s="28"/>
      <c r="C31" s="29"/>
      <c r="D31" s="30"/>
      <c r="E31" s="53"/>
      <c r="F31" s="53"/>
      <c r="G31" s="53"/>
      <c r="H31" s="54"/>
    </row>
    <row r="32" ht="17.55" spans="1:8">
      <c r="A32" s="65" t="s">
        <v>11</v>
      </c>
      <c r="B32" s="32" t="s">
        <v>12</v>
      </c>
      <c r="C32" s="33">
        <v>3</v>
      </c>
      <c r="D32" s="66" t="s">
        <v>13</v>
      </c>
      <c r="E32" s="50">
        <v>0</v>
      </c>
      <c r="F32" s="51"/>
      <c r="G32" s="51"/>
      <c r="H32" s="52">
        <f t="shared" ref="H32:H55" si="1">E32+F32-G32</f>
        <v>0</v>
      </c>
    </row>
    <row r="33" ht="17.55" spans="1:8">
      <c r="A33" s="67" t="s">
        <v>14</v>
      </c>
      <c r="B33" s="36" t="s">
        <v>12</v>
      </c>
      <c r="C33" s="37">
        <v>12</v>
      </c>
      <c r="D33" s="68" t="s">
        <v>13</v>
      </c>
      <c r="E33" s="50">
        <v>416.696666666668</v>
      </c>
      <c r="F33" s="51"/>
      <c r="G33" s="51">
        <v>208.35</v>
      </c>
      <c r="H33" s="52">
        <f t="shared" si="1"/>
        <v>208.346666666668</v>
      </c>
    </row>
    <row r="34" ht="17.55" spans="1:8">
      <c r="A34" s="65" t="s">
        <v>11</v>
      </c>
      <c r="B34" s="32" t="s">
        <v>15</v>
      </c>
      <c r="C34" s="33">
        <v>3</v>
      </c>
      <c r="D34" s="66" t="s">
        <v>13</v>
      </c>
      <c r="E34" s="50">
        <v>0</v>
      </c>
      <c r="F34" s="51"/>
      <c r="G34" s="51"/>
      <c r="H34" s="52">
        <f t="shared" si="1"/>
        <v>0</v>
      </c>
    </row>
    <row r="35" ht="17.55" spans="1:8">
      <c r="A35" s="67" t="s">
        <v>14</v>
      </c>
      <c r="B35" s="36" t="s">
        <v>15</v>
      </c>
      <c r="C35" s="37">
        <v>12</v>
      </c>
      <c r="D35" s="68" t="s">
        <v>13</v>
      </c>
      <c r="E35" s="50">
        <v>749.996666666666</v>
      </c>
      <c r="F35" s="51"/>
      <c r="G35" s="51">
        <v>250</v>
      </c>
      <c r="H35" s="52">
        <f t="shared" si="1"/>
        <v>499.996666666666</v>
      </c>
    </row>
    <row r="36" ht="17.55" spans="1:8">
      <c r="A36" s="65" t="s">
        <v>11</v>
      </c>
      <c r="B36" s="32" t="s">
        <v>16</v>
      </c>
      <c r="C36" s="33">
        <v>3</v>
      </c>
      <c r="D36" s="66" t="s">
        <v>13</v>
      </c>
      <c r="E36" s="50">
        <v>0</v>
      </c>
      <c r="F36" s="51"/>
      <c r="G36" s="51"/>
      <c r="H36" s="52">
        <f t="shared" si="1"/>
        <v>0</v>
      </c>
    </row>
    <row r="37" ht="17.55" spans="1:8">
      <c r="A37" s="67" t="s">
        <v>14</v>
      </c>
      <c r="B37" s="36" t="s">
        <v>16</v>
      </c>
      <c r="C37" s="37">
        <v>12</v>
      </c>
      <c r="D37" s="68" t="s">
        <v>13</v>
      </c>
      <c r="E37" s="50">
        <v>1120</v>
      </c>
      <c r="F37" s="51"/>
      <c r="G37" s="51">
        <v>280</v>
      </c>
      <c r="H37" s="52">
        <f t="shared" si="1"/>
        <v>840</v>
      </c>
    </row>
    <row r="38" ht="17.55" spans="1:8">
      <c r="A38" s="65" t="s">
        <v>11</v>
      </c>
      <c r="B38" s="32" t="s">
        <v>17</v>
      </c>
      <c r="C38" s="33">
        <v>3</v>
      </c>
      <c r="D38" s="66" t="s">
        <v>13</v>
      </c>
      <c r="E38" s="50">
        <v>0</v>
      </c>
      <c r="F38" s="51"/>
      <c r="G38" s="51">
        <v>0</v>
      </c>
      <c r="H38" s="52">
        <f t="shared" si="1"/>
        <v>0</v>
      </c>
    </row>
    <row r="39" ht="17.55" spans="1:8">
      <c r="A39" s="67" t="s">
        <v>14</v>
      </c>
      <c r="B39" s="36" t="s">
        <v>17</v>
      </c>
      <c r="C39" s="37">
        <v>12</v>
      </c>
      <c r="D39" s="68" t="s">
        <v>13</v>
      </c>
      <c r="E39" s="50">
        <v>1000</v>
      </c>
      <c r="F39" s="51"/>
      <c r="G39" s="51">
        <v>200</v>
      </c>
      <c r="H39" s="52">
        <f t="shared" si="1"/>
        <v>800</v>
      </c>
    </row>
    <row r="40" ht="17.55" spans="1:8">
      <c r="A40" s="65" t="s">
        <v>11</v>
      </c>
      <c r="B40" s="32" t="s">
        <v>18</v>
      </c>
      <c r="C40" s="33">
        <v>3</v>
      </c>
      <c r="D40" s="66" t="s">
        <v>13</v>
      </c>
      <c r="E40" s="50">
        <v>0</v>
      </c>
      <c r="F40" s="51"/>
      <c r="G40" s="51">
        <v>0</v>
      </c>
      <c r="H40" s="52">
        <f t="shared" si="1"/>
        <v>0</v>
      </c>
    </row>
    <row r="41" ht="17.55" spans="1:8">
      <c r="A41" s="67" t="s">
        <v>14</v>
      </c>
      <c r="B41" s="36" t="s">
        <v>18</v>
      </c>
      <c r="C41" s="37">
        <v>12</v>
      </c>
      <c r="D41" s="68" t="s">
        <v>13</v>
      </c>
      <c r="E41" s="50">
        <v>-1.4210854715202e-13</v>
      </c>
      <c r="F41" s="51"/>
      <c r="G41" s="51"/>
      <c r="H41" s="52">
        <f t="shared" si="1"/>
        <v>-1.4210854715202e-13</v>
      </c>
    </row>
    <row r="42" ht="17.55" spans="1:8">
      <c r="A42" s="65" t="s">
        <v>11</v>
      </c>
      <c r="B42" s="32" t="s">
        <v>19</v>
      </c>
      <c r="C42" s="33">
        <v>3</v>
      </c>
      <c r="D42" s="66" t="s">
        <v>13</v>
      </c>
      <c r="E42" s="50">
        <v>0</v>
      </c>
      <c r="F42" s="51"/>
      <c r="G42" s="51"/>
      <c r="H42" s="52">
        <f t="shared" si="1"/>
        <v>0</v>
      </c>
    </row>
    <row r="43" ht="17.55" spans="1:8">
      <c r="A43" s="67" t="s">
        <v>14</v>
      </c>
      <c r="B43" s="36" t="s">
        <v>19</v>
      </c>
      <c r="C43" s="37">
        <v>12</v>
      </c>
      <c r="D43" s="68" t="s">
        <v>13</v>
      </c>
      <c r="E43" s="50">
        <v>1166.65</v>
      </c>
      <c r="F43" s="51"/>
      <c r="G43" s="51">
        <v>166.67</v>
      </c>
      <c r="H43" s="52">
        <f t="shared" si="1"/>
        <v>999.98</v>
      </c>
    </row>
    <row r="44" ht="17.55" spans="1:8">
      <c r="A44" s="65" t="s">
        <v>11</v>
      </c>
      <c r="B44" s="32" t="s">
        <v>20</v>
      </c>
      <c r="C44" s="33">
        <v>3</v>
      </c>
      <c r="D44" s="66" t="s">
        <v>13</v>
      </c>
      <c r="E44" s="50">
        <v>0</v>
      </c>
      <c r="F44" s="51"/>
      <c r="G44" s="51"/>
      <c r="H44" s="52">
        <f t="shared" si="1"/>
        <v>0</v>
      </c>
    </row>
    <row r="45" ht="17.55" spans="1:8">
      <c r="A45" s="67" t="s">
        <v>14</v>
      </c>
      <c r="B45" s="36" t="s">
        <v>20</v>
      </c>
      <c r="C45" s="37">
        <v>12</v>
      </c>
      <c r="D45" s="68" t="s">
        <v>13</v>
      </c>
      <c r="E45" s="50">
        <v>2266.66</v>
      </c>
      <c r="F45" s="51"/>
      <c r="G45" s="51">
        <v>283.33</v>
      </c>
      <c r="H45" s="52">
        <f t="shared" si="1"/>
        <v>1983.33</v>
      </c>
    </row>
    <row r="46" ht="17.55" spans="1:8">
      <c r="A46" s="65" t="s">
        <v>11</v>
      </c>
      <c r="B46" s="32" t="s">
        <v>21</v>
      </c>
      <c r="C46" s="33">
        <v>3</v>
      </c>
      <c r="D46" s="66" t="s">
        <v>13</v>
      </c>
      <c r="E46" s="50">
        <v>0</v>
      </c>
      <c r="F46" s="51"/>
      <c r="G46" s="51"/>
      <c r="H46" s="52">
        <f t="shared" si="1"/>
        <v>0</v>
      </c>
    </row>
    <row r="47" ht="17.55" spans="1:8">
      <c r="A47" s="67" t="s">
        <v>14</v>
      </c>
      <c r="B47" s="36" t="s">
        <v>21</v>
      </c>
      <c r="C47" s="37">
        <v>12</v>
      </c>
      <c r="D47" s="68" t="s">
        <v>13</v>
      </c>
      <c r="E47" s="50">
        <v>1499.99</v>
      </c>
      <c r="F47" s="51"/>
      <c r="G47" s="51">
        <v>166.66</v>
      </c>
      <c r="H47" s="52">
        <f t="shared" si="1"/>
        <v>1333.33</v>
      </c>
    </row>
    <row r="48" ht="17.55" spans="1:8">
      <c r="A48" s="65" t="s">
        <v>11</v>
      </c>
      <c r="B48" s="32" t="s">
        <v>22</v>
      </c>
      <c r="C48" s="33">
        <v>3</v>
      </c>
      <c r="D48" s="66" t="s">
        <v>13</v>
      </c>
      <c r="E48" s="50">
        <v>480</v>
      </c>
      <c r="F48" s="51"/>
      <c r="G48" s="51">
        <v>480</v>
      </c>
      <c r="H48" s="52">
        <f t="shared" si="1"/>
        <v>0</v>
      </c>
    </row>
    <row r="49" ht="17.55" spans="1:8">
      <c r="A49" s="67" t="s">
        <v>14</v>
      </c>
      <c r="B49" s="36" t="s">
        <v>22</v>
      </c>
      <c r="C49" s="37">
        <v>12</v>
      </c>
      <c r="D49" s="68" t="s">
        <v>13</v>
      </c>
      <c r="E49" s="50">
        <v>833.34</v>
      </c>
      <c r="F49" s="51"/>
      <c r="G49" s="51">
        <v>83.34</v>
      </c>
      <c r="H49" s="52">
        <f t="shared" si="1"/>
        <v>750</v>
      </c>
    </row>
    <row r="50" ht="17.55" spans="1:8">
      <c r="A50" s="65" t="s">
        <v>11</v>
      </c>
      <c r="B50" s="32" t="s">
        <v>23</v>
      </c>
      <c r="C50" s="33">
        <v>3</v>
      </c>
      <c r="D50" s="66" t="s">
        <v>13</v>
      </c>
      <c r="E50" s="50">
        <v>1600</v>
      </c>
      <c r="F50" s="51"/>
      <c r="G50" s="51">
        <v>800</v>
      </c>
      <c r="H50" s="52">
        <f t="shared" si="1"/>
        <v>800</v>
      </c>
    </row>
    <row r="51" ht="17.55" spans="1:8">
      <c r="A51" s="67" t="s">
        <v>14</v>
      </c>
      <c r="B51" s="36" t="s">
        <v>23</v>
      </c>
      <c r="C51" s="37">
        <v>12</v>
      </c>
      <c r="D51" s="68" t="s">
        <v>13</v>
      </c>
      <c r="E51" s="50">
        <v>916.67</v>
      </c>
      <c r="F51" s="51"/>
      <c r="G51" s="51">
        <v>83.34</v>
      </c>
      <c r="H51" s="52">
        <f t="shared" si="1"/>
        <v>833.33</v>
      </c>
    </row>
    <row r="52" ht="17.55" spans="1:8">
      <c r="A52" s="65" t="s">
        <v>11</v>
      </c>
      <c r="B52" s="32" t="s">
        <v>24</v>
      </c>
      <c r="C52" s="33">
        <v>3</v>
      </c>
      <c r="D52" s="66" t="s">
        <v>13</v>
      </c>
      <c r="E52" s="50">
        <v>0</v>
      </c>
      <c r="F52" s="51">
        <v>2240</v>
      </c>
      <c r="G52" s="51">
        <v>746.67</v>
      </c>
      <c r="H52" s="52">
        <f t="shared" si="1"/>
        <v>1493.33</v>
      </c>
    </row>
    <row r="53" ht="17.55" spans="1:8">
      <c r="A53" s="67" t="s">
        <v>14</v>
      </c>
      <c r="B53" s="36" t="s">
        <v>24</v>
      </c>
      <c r="C53" s="37">
        <v>12</v>
      </c>
      <c r="D53" s="68" t="s">
        <v>13</v>
      </c>
      <c r="E53" s="50">
        <v>0.00272727272704287</v>
      </c>
      <c r="F53" s="51">
        <v>1500</v>
      </c>
      <c r="G53" s="51">
        <v>125</v>
      </c>
      <c r="H53" s="52">
        <f t="shared" si="1"/>
        <v>1375.00272727273</v>
      </c>
    </row>
    <row r="54" ht="17.55" spans="1:8">
      <c r="A54" s="65" t="s">
        <v>11</v>
      </c>
      <c r="B54" s="32" t="s">
        <v>25</v>
      </c>
      <c r="C54" s="33">
        <v>3</v>
      </c>
      <c r="D54" s="66" t="s">
        <v>13</v>
      </c>
      <c r="E54" s="50">
        <v>0</v>
      </c>
      <c r="F54" s="51"/>
      <c r="G54" s="51"/>
      <c r="H54" s="52">
        <f t="shared" si="1"/>
        <v>0</v>
      </c>
    </row>
    <row r="55" ht="17.55" spans="1:8">
      <c r="A55" s="67" t="s">
        <v>14</v>
      </c>
      <c r="B55" s="36" t="s">
        <v>25</v>
      </c>
      <c r="C55" s="37">
        <v>12</v>
      </c>
      <c r="D55" s="68" t="s">
        <v>13</v>
      </c>
      <c r="E55" s="50">
        <v>0</v>
      </c>
      <c r="F55" s="51"/>
      <c r="G55" s="51"/>
      <c r="H55" s="52">
        <f t="shared" si="1"/>
        <v>0</v>
      </c>
    </row>
    <row r="56" ht="18.3" spans="1:8">
      <c r="A56" s="39" t="s">
        <v>27</v>
      </c>
      <c r="B56" s="40"/>
      <c r="C56" s="41"/>
      <c r="D56" s="42">
        <v>0</v>
      </c>
      <c r="E56" s="55">
        <f t="shared" ref="E56:H56" si="2">SUM(E7:E30,E32:E55)</f>
        <v>12258.3560606061</v>
      </c>
      <c r="F56" s="56">
        <f>SUM(F32:F55,F7:F30)</f>
        <v>3740</v>
      </c>
      <c r="G56" s="57">
        <f t="shared" si="2"/>
        <v>4081.71</v>
      </c>
      <c r="H56" s="55">
        <f t="shared" si="2"/>
        <v>11916.6460606061</v>
      </c>
    </row>
    <row r="57" ht="17.55"/>
  </sheetData>
  <mergeCells count="3">
    <mergeCell ref="A1:H1"/>
    <mergeCell ref="A2:H2"/>
    <mergeCell ref="E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2024-12-09T16:01:51Z</dcterms:created>
  <dcterms:modified xsi:type="dcterms:W3CDTF">2024-12-09T16:31:13Z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8028E8A9F72A02E3EFA356677D8C7FF8_41</vt:lpwstr>
  </property>
  <property fmtid="{D5CDD505-2E9C-101B-9397-08002B2CF9AE}" pid="3" name="KSOProductBuildVer">
    <vt:lpwstr>2052-6.8.2.8850</vt:lpwstr>
  </property>
</Properties>
</file>