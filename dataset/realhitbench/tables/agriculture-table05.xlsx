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tudy\浙软\used_data\"/>
    </mc:Choice>
  </mc:AlternateContent>
  <xr:revisionPtr revIDLastSave="0" documentId="13_ncr:1_{A9F31FA2-C64C-465F-BCA2-2559E429CE49}" xr6:coauthVersionLast="47" xr6:coauthVersionMax="47" xr10:uidLastSave="{00000000-0000-0000-0000-000000000000}"/>
  <bookViews>
    <workbookView xWindow="-110" yWindow="-110" windowWidth="25820" windowHeight="15500" xr2:uid="{99E9B401-8D8A-41CE-9B72-A2EA034416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7" i="1" l="1"/>
  <c r="H5" i="1"/>
  <c r="J5" i="1"/>
  <c r="K5" i="1" s="1"/>
  <c r="P5" i="1"/>
  <c r="T5" i="1"/>
  <c r="U5" i="1"/>
  <c r="H6" i="1"/>
  <c r="J6" i="1"/>
  <c r="K6" i="1" s="1"/>
  <c r="P6" i="1"/>
  <c r="Q6" i="1" s="1"/>
  <c r="V6" i="1" s="1"/>
  <c r="T6" i="1"/>
  <c r="H7" i="1"/>
  <c r="J7" i="1"/>
  <c r="K7" i="1" s="1"/>
  <c r="Q7" i="1" s="1"/>
  <c r="V7" i="1" s="1"/>
  <c r="W7" i="1" s="1"/>
  <c r="P7" i="1"/>
  <c r="T7" i="1"/>
  <c r="U7" i="1" s="1"/>
  <c r="H8" i="1"/>
  <c r="J8" i="1"/>
  <c r="K8" i="1"/>
  <c r="P8" i="1"/>
  <c r="Q8" i="1" s="1"/>
  <c r="V8" i="1" s="1"/>
  <c r="W8" i="1" s="1"/>
  <c r="T8" i="1"/>
  <c r="H9" i="1"/>
  <c r="J9" i="1"/>
  <c r="K9" i="1"/>
  <c r="P9" i="1"/>
  <c r="Q9" i="1" s="1"/>
  <c r="V9" i="1" s="1"/>
  <c r="W9" i="1" s="1"/>
  <c r="T9" i="1"/>
  <c r="H10" i="1"/>
  <c r="J10" i="1"/>
  <c r="K10" i="1" s="1"/>
  <c r="P10" i="1"/>
  <c r="Q10" i="1" s="1"/>
  <c r="V10" i="1" s="1"/>
  <c r="W10" i="1" s="1"/>
  <c r="T10" i="1"/>
  <c r="U10" i="1"/>
  <c r="H11" i="1"/>
  <c r="J11" i="1"/>
  <c r="K11" i="1" s="1"/>
  <c r="Q11" i="1" s="1"/>
  <c r="V11" i="1" s="1"/>
  <c r="W11" i="1" s="1"/>
  <c r="P11" i="1"/>
  <c r="T11" i="1"/>
  <c r="U11" i="1"/>
  <c r="H12" i="1"/>
  <c r="J12" i="1"/>
  <c r="K12" i="1" s="1"/>
  <c r="Q12" i="1" s="1"/>
  <c r="V12" i="1" s="1"/>
  <c r="W12" i="1" s="1"/>
  <c r="P12" i="1"/>
  <c r="T12" i="1"/>
  <c r="U12" i="1" s="1"/>
  <c r="H13" i="1"/>
  <c r="J13" i="1"/>
  <c r="K13" i="1" s="1"/>
  <c r="Q13" i="1" s="1"/>
  <c r="V13" i="1" s="1"/>
  <c r="W13" i="1" s="1"/>
  <c r="P13" i="1"/>
  <c r="T13" i="1"/>
  <c r="U13" i="1" s="1"/>
  <c r="H14" i="1"/>
  <c r="J14" i="1"/>
  <c r="K14" i="1"/>
  <c r="P14" i="1"/>
  <c r="Q14" i="1" s="1"/>
  <c r="V14" i="1" s="1"/>
  <c r="W14" i="1" s="1"/>
  <c r="T14" i="1"/>
  <c r="U14" i="1"/>
  <c r="H15" i="1"/>
  <c r="J15" i="1"/>
  <c r="K15" i="1" s="1"/>
  <c r="P15" i="1"/>
  <c r="Q15" i="1" s="1"/>
  <c r="V15" i="1" s="1"/>
  <c r="W15" i="1" s="1"/>
  <c r="T15" i="1"/>
  <c r="H16" i="1"/>
  <c r="J16" i="1"/>
  <c r="K16" i="1"/>
  <c r="P16" i="1"/>
  <c r="Q16" i="1"/>
  <c r="T16" i="1"/>
  <c r="U16" i="1"/>
  <c r="V16" i="1"/>
  <c r="W16" i="1"/>
  <c r="H17" i="1"/>
  <c r="J17" i="1"/>
  <c r="K17" i="1"/>
  <c r="P17" i="1"/>
  <c r="Q17" i="1"/>
  <c r="T17" i="1"/>
  <c r="U17" i="1"/>
  <c r="V17" i="1"/>
  <c r="W17" i="1"/>
  <c r="H18" i="1"/>
  <c r="J18" i="1"/>
  <c r="K18" i="1"/>
  <c r="Q18" i="1" s="1"/>
  <c r="V18" i="1" s="1"/>
  <c r="W18" i="1" s="1"/>
  <c r="P18" i="1"/>
  <c r="U18" i="1" s="1"/>
  <c r="T18" i="1"/>
  <c r="H19" i="1"/>
  <c r="J19" i="1"/>
  <c r="K19" i="1"/>
  <c r="P19" i="1"/>
  <c r="Q19" i="1"/>
  <c r="T19" i="1"/>
  <c r="U19" i="1"/>
  <c r="V19" i="1"/>
  <c r="W19" i="1" s="1"/>
  <c r="H20" i="1"/>
  <c r="J20" i="1"/>
  <c r="K20" i="1"/>
  <c r="P20" i="1"/>
  <c r="Q20" i="1"/>
  <c r="T20" i="1"/>
  <c r="U20" i="1"/>
  <c r="V20" i="1"/>
  <c r="W20" i="1"/>
  <c r="H21" i="1"/>
  <c r="J21" i="1"/>
  <c r="K21" i="1"/>
  <c r="P21" i="1"/>
  <c r="Q21" i="1" s="1"/>
  <c r="V21" i="1" s="1"/>
  <c r="W21" i="1" s="1"/>
  <c r="T21" i="1"/>
  <c r="H22" i="1"/>
  <c r="J22" i="1"/>
  <c r="K22" i="1"/>
  <c r="P22" i="1"/>
  <c r="Q22" i="1"/>
  <c r="T22" i="1"/>
  <c r="U22" i="1"/>
  <c r="V22" i="1"/>
  <c r="W22" i="1" s="1"/>
  <c r="H23" i="1"/>
  <c r="J23" i="1"/>
  <c r="K23" i="1" s="1"/>
  <c r="Q23" i="1" s="1"/>
  <c r="V23" i="1" s="1"/>
  <c r="W23" i="1" s="1"/>
  <c r="P23" i="1"/>
  <c r="T23" i="1"/>
  <c r="U23" i="1"/>
  <c r="H24" i="1"/>
  <c r="J24" i="1"/>
  <c r="K24" i="1"/>
  <c r="P24" i="1"/>
  <c r="U24" i="1" s="1"/>
  <c r="Q24" i="1"/>
  <c r="V24" i="1" s="1"/>
  <c r="W24" i="1" s="1"/>
  <c r="T24" i="1"/>
  <c r="H25" i="1"/>
  <c r="J25" i="1"/>
  <c r="K25" i="1"/>
  <c r="P25" i="1"/>
  <c r="Q25" i="1"/>
  <c r="T25" i="1"/>
  <c r="U25" i="1"/>
  <c r="V25" i="1"/>
  <c r="W25" i="1"/>
  <c r="H26" i="1"/>
  <c r="J26" i="1"/>
  <c r="K26" i="1"/>
  <c r="P26" i="1"/>
  <c r="Q26" i="1"/>
  <c r="T26" i="1"/>
  <c r="U26" i="1"/>
  <c r="V26" i="1"/>
  <c r="W26" i="1"/>
  <c r="H27" i="1"/>
  <c r="J27" i="1"/>
  <c r="K27" i="1"/>
  <c r="P27" i="1"/>
  <c r="U27" i="1" s="1"/>
  <c r="Q27" i="1"/>
  <c r="V27" i="1" s="1"/>
  <c r="W27" i="1" s="1"/>
  <c r="T27" i="1"/>
  <c r="H28" i="1"/>
  <c r="J28" i="1"/>
  <c r="K28" i="1" s="1"/>
  <c r="Q28" i="1" s="1"/>
  <c r="V28" i="1" s="1"/>
  <c r="W28" i="1" s="1"/>
  <c r="P28" i="1"/>
  <c r="T28" i="1"/>
  <c r="U28" i="1"/>
  <c r="H29" i="1"/>
  <c r="J29" i="1"/>
  <c r="K29" i="1" s="1"/>
  <c r="P29" i="1"/>
  <c r="Q29" i="1" s="1"/>
  <c r="V29" i="1" s="1"/>
  <c r="W29" i="1" s="1"/>
  <c r="T29" i="1"/>
  <c r="U29" i="1"/>
  <c r="H30" i="1"/>
  <c r="J30" i="1"/>
  <c r="K30" i="1"/>
  <c r="P30" i="1"/>
  <c r="Q30" i="1"/>
  <c r="V30" i="1" s="1"/>
  <c r="W30" i="1" s="1"/>
  <c r="T30" i="1"/>
  <c r="U30" i="1"/>
  <c r="H31" i="1"/>
  <c r="J31" i="1"/>
  <c r="K31" i="1"/>
  <c r="Q31" i="1" s="1"/>
  <c r="V31" i="1" s="1"/>
  <c r="W31" i="1" s="1"/>
  <c r="P31" i="1"/>
  <c r="T31" i="1"/>
  <c r="U31" i="1"/>
  <c r="H32" i="1"/>
  <c r="J32" i="1"/>
  <c r="K32" i="1"/>
  <c r="Q32" i="1" s="1"/>
  <c r="V32" i="1" s="1"/>
  <c r="W32" i="1" s="1"/>
  <c r="P32" i="1"/>
  <c r="T32" i="1"/>
  <c r="U32" i="1"/>
  <c r="H33" i="1"/>
  <c r="J33" i="1"/>
  <c r="K33" i="1"/>
  <c r="P33" i="1"/>
  <c r="Q33" i="1"/>
  <c r="T33" i="1"/>
  <c r="U33" i="1"/>
  <c r="V33" i="1"/>
  <c r="W33" i="1" s="1"/>
  <c r="H34" i="1"/>
  <c r="J34" i="1"/>
  <c r="K34" i="1"/>
  <c r="P34" i="1"/>
  <c r="Q34" i="1" s="1"/>
  <c r="V34" i="1" s="1"/>
  <c r="W34" i="1" s="1"/>
  <c r="T34" i="1"/>
  <c r="H35" i="1"/>
  <c r="J35" i="1"/>
  <c r="K35" i="1"/>
  <c r="P35" i="1"/>
  <c r="Q35" i="1" s="1"/>
  <c r="V35" i="1" s="1"/>
  <c r="W35" i="1" s="1"/>
  <c r="T35" i="1"/>
  <c r="H36" i="1"/>
  <c r="J36" i="1"/>
  <c r="K36" i="1"/>
  <c r="P36" i="1"/>
  <c r="Q36" i="1"/>
  <c r="T36" i="1"/>
  <c r="U36" i="1"/>
  <c r="V36" i="1"/>
  <c r="W36" i="1"/>
  <c r="H37" i="1"/>
  <c r="J37" i="1"/>
  <c r="K37" i="1" s="1"/>
  <c r="V37" i="1" s="1"/>
  <c r="W37" i="1" s="1"/>
  <c r="P37" i="1"/>
  <c r="U37" i="1" s="1"/>
  <c r="T37" i="1"/>
  <c r="H38" i="1"/>
  <c r="J38" i="1"/>
  <c r="K38" i="1"/>
  <c r="P38" i="1"/>
  <c r="U38" i="1" s="1"/>
  <c r="Q38" i="1"/>
  <c r="V38" i="1" s="1"/>
  <c r="W38" i="1" s="1"/>
  <c r="T38" i="1"/>
  <c r="H39" i="1"/>
  <c r="J39" i="1"/>
  <c r="K39" i="1"/>
  <c r="P39" i="1"/>
  <c r="Q39" i="1"/>
  <c r="T39" i="1"/>
  <c r="U39" i="1"/>
  <c r="V39" i="1"/>
  <c r="W39" i="1"/>
  <c r="H40" i="1"/>
  <c r="J40" i="1"/>
  <c r="K40" i="1"/>
  <c r="Q40" i="1" s="1"/>
  <c r="V40" i="1" s="1"/>
  <c r="W40" i="1" s="1"/>
  <c r="P40" i="1"/>
  <c r="U40" i="1" s="1"/>
  <c r="T40" i="1"/>
  <c r="K2" i="1" l="1"/>
  <c r="O2" i="1" s="1"/>
  <c r="Q2" i="1" s="1"/>
  <c r="W6" i="1"/>
  <c r="Q5" i="1"/>
  <c r="V5" i="1" s="1"/>
  <c r="U6" i="1"/>
  <c r="U9" i="1"/>
  <c r="U34" i="1"/>
  <c r="U15" i="1"/>
  <c r="U21" i="1"/>
  <c r="U8" i="1"/>
  <c r="U35" i="1"/>
  <c r="K1" i="1" l="1"/>
  <c r="O1" i="1" s="1"/>
  <c r="Q1" i="1" s="1"/>
  <c r="W5" i="1"/>
</calcChain>
</file>

<file path=xl/sharedStrings.xml><?xml version="1.0" encoding="utf-8"?>
<sst xmlns="http://schemas.openxmlformats.org/spreadsheetml/2006/main" count="175" uniqueCount="80">
  <si>
    <t>Outside Layout=&gt;</t>
  </si>
  <si>
    <t>Bed length (ft)</t>
  </si>
  <si>
    <t>Bed width(ft)</t>
  </si>
  <si>
    <t>&lt;=includes paths</t>
  </si>
  <si>
    <t>Total Beds</t>
  </si>
  <si>
    <t>Total Outside Area</t>
  </si>
  <si>
    <t>sq.ft</t>
  </si>
  <si>
    <t>acres</t>
  </si>
  <si>
    <t>Tunnel Layout=&gt;</t>
  </si>
  <si>
    <t>Total Polytunnel Area</t>
  </si>
  <si>
    <t>sq. ft</t>
  </si>
  <si>
    <t>CALCULATING STARTING AND HARVESTING DATES</t>
  </si>
  <si>
    <t>CALCULATING SEEDS NEEDED</t>
  </si>
  <si>
    <t>CALCULATING SPACE NEEDED</t>
  </si>
  <si>
    <t>Crop Name</t>
  </si>
  <si>
    <t>Harvest Start Date</t>
  </si>
  <si>
    <t>Days to germination</t>
  </si>
  <si>
    <t>Days to Transplant</t>
  </si>
  <si>
    <t>Days to Maturity</t>
  </si>
  <si>
    <t>DS or Mod</t>
  </si>
  <si>
    <t>Plant Outside(O) or Tunnel(PT)</t>
  </si>
  <si>
    <t>Seed Starting Date</t>
  </si>
  <si>
    <t>Length of Harvest from this Planting (weeks)</t>
  </si>
  <si>
    <t>Harvest Finishes for this planting</t>
  </si>
  <si>
    <t>Total Weeks of Harvest Expected</t>
  </si>
  <si>
    <t>Yield Needed Per Week</t>
  </si>
  <si>
    <t>Yield per Plant</t>
  </si>
  <si>
    <t>Units</t>
  </si>
  <si>
    <t>Safety Factor</t>
  </si>
  <si>
    <t>Seeds per Planting Interval</t>
  </si>
  <si>
    <t>Total Seeds Needed</t>
  </si>
  <si>
    <t>Rows per Bed</t>
  </si>
  <si>
    <t>Seed Spacing in Row (inches)</t>
  </si>
  <si>
    <t>Seeds per bed</t>
  </si>
  <si>
    <t>Beds needed this planting</t>
  </si>
  <si>
    <t>Beds needed this crop</t>
  </si>
  <si>
    <t>Beds available to be replanted?</t>
  </si>
  <si>
    <t>Aubergine</t>
  </si>
  <si>
    <t>M</t>
  </si>
  <si>
    <t>PT</t>
  </si>
  <si>
    <t>each</t>
  </si>
  <si>
    <t>Beans, Broad</t>
  </si>
  <si>
    <t>O</t>
  </si>
  <si>
    <t>grams</t>
  </si>
  <si>
    <t>Beans, French</t>
  </si>
  <si>
    <t>Beans, Runner</t>
  </si>
  <si>
    <t>Beetroot</t>
  </si>
  <si>
    <t>Broccoli</t>
  </si>
  <si>
    <t>Brussel sprouts</t>
  </si>
  <si>
    <t>Cabbage</t>
  </si>
  <si>
    <t>Carrot</t>
  </si>
  <si>
    <t>Cauliflower</t>
  </si>
  <si>
    <t>Chillies</t>
  </si>
  <si>
    <t>Courgette</t>
  </si>
  <si>
    <t>Cucumber</t>
  </si>
  <si>
    <t>Kale</t>
  </si>
  <si>
    <t>Kohlrabi</t>
  </si>
  <si>
    <t>Leeks</t>
  </si>
  <si>
    <t>Lettuce</t>
  </si>
  <si>
    <t>Mange Tout</t>
  </si>
  <si>
    <t>Onion</t>
  </si>
  <si>
    <t>Pak Choi</t>
  </si>
  <si>
    <t>Peas</t>
  </si>
  <si>
    <t>Peppers</t>
  </si>
  <si>
    <t>Pumpkin</t>
  </si>
  <si>
    <t>Radish</t>
  </si>
  <si>
    <t>PT/O</t>
  </si>
  <si>
    <t>Spinach Baby</t>
  </si>
  <si>
    <t>Spinach Perpetual</t>
  </si>
  <si>
    <t>Spring Onion</t>
  </si>
  <si>
    <t>Squash, summer</t>
  </si>
  <si>
    <t>Squash, winter</t>
  </si>
  <si>
    <t>Sugar Snap Peas</t>
  </si>
  <si>
    <t>Sweetcorn</t>
  </si>
  <si>
    <t>Tomato</t>
  </si>
  <si>
    <t>Turnip</t>
  </si>
  <si>
    <t>Pattypan Squash</t>
    <phoneticPr fontId="8" type="noConversion"/>
  </si>
  <si>
    <t>Parsnip</t>
    <phoneticPr fontId="8" type="noConversion"/>
  </si>
  <si>
    <t>Swiss chard</t>
    <phoneticPr fontId="8" type="noConversion"/>
  </si>
  <si>
    <t>Space needed this crop (sq ft)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</si>
</sst>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mmm\ dd"/>
    <numFmt numFmtId="181" formatCode="0.0"/>
  </numFmts>
  <fonts count="9" x14ac:knownFonts="1"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sz val="10"/>
      <color indexed="25"/>
      <name val="Arial"/>
      <family val="2"/>
    </font>
    <font>
      <sz val="10"/>
      <color indexed="8"/>
      <name val="Arial"/>
      <family val="2"/>
    </font>
    <font>
      <sz val="10"/>
      <color indexed="18"/>
      <name val="Arial"/>
      <family val="2"/>
    </font>
    <font>
      <b/>
      <sz val="10"/>
      <name val="Arial"/>
      <family val="2"/>
    </font>
    <font>
      <sz val="10"/>
      <color indexed="20"/>
      <name val="Arial"/>
      <family val="2"/>
    </font>
    <font>
      <sz val="10"/>
      <color indexed="21"/>
      <name val="Arial"/>
      <family val="2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</fills>
  <borders count="1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/>
    <xf numFmtId="0" fontId="3" fillId="0" borderId="1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181" fontId="3" fillId="2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right"/>
    </xf>
    <xf numFmtId="3" fontId="3" fillId="2" borderId="0" xfId="0" applyNumberFormat="1" applyFont="1" applyFill="1" applyBorder="1" applyAlignment="1" applyProtection="1">
      <alignment horizontal="center"/>
    </xf>
    <xf numFmtId="2" fontId="1" fillId="2" borderId="0" xfId="0" applyNumberFormat="1" applyFont="1" applyFill="1" applyBorder="1" applyAlignment="1" applyProtection="1">
      <alignment horizontal="center"/>
    </xf>
    <xf numFmtId="0" fontId="2" fillId="0" borderId="2" xfId="0" applyNumberFormat="1" applyFont="1" applyFill="1" applyBorder="1" applyAlignment="1" applyProtection="1">
      <alignment horizontal="center"/>
    </xf>
    <xf numFmtId="0" fontId="4" fillId="0" borderId="3" xfId="0" applyNumberFormat="1" applyFont="1" applyFill="1" applyBorder="1" applyAlignment="1" applyProtection="1">
      <alignment horizontal="center"/>
    </xf>
    <xf numFmtId="0" fontId="4" fillId="0" borderId="4" xfId="0" applyNumberFormat="1" applyFont="1" applyFill="1" applyBorder="1" applyAlignment="1" applyProtection="1">
      <alignment horizontal="center"/>
    </xf>
    <xf numFmtId="0" fontId="4" fillId="0" borderId="5" xfId="0" applyNumberFormat="1" applyFont="1" applyFill="1" applyBorder="1" applyAlignment="1" applyProtection="1">
      <alignment horizontal="center"/>
    </xf>
    <xf numFmtId="0" fontId="6" fillId="0" borderId="3" xfId="0" applyNumberFormat="1" applyFont="1" applyFill="1" applyBorder="1" applyAlignment="1" applyProtection="1">
      <alignment horizontal="center"/>
    </xf>
    <xf numFmtId="0" fontId="6" fillId="0" borderId="4" xfId="0" applyNumberFormat="1" applyFont="1" applyFill="1" applyBorder="1" applyAlignment="1" applyProtection="1">
      <alignment horizontal="center"/>
    </xf>
    <xf numFmtId="0" fontId="6" fillId="0" borderId="5" xfId="0" applyNumberFormat="1" applyFont="1" applyFill="1" applyBorder="1" applyAlignment="1" applyProtection="1">
      <alignment horizontal="center"/>
    </xf>
    <xf numFmtId="0" fontId="7" fillId="0" borderId="3" xfId="0" applyNumberFormat="1" applyFont="1" applyFill="1" applyBorder="1" applyAlignment="1" applyProtection="1">
      <alignment horizontal="center"/>
    </xf>
    <xf numFmtId="0" fontId="7" fillId="0" borderId="4" xfId="0" applyNumberFormat="1" applyFont="1" applyFill="1" applyBorder="1" applyAlignment="1" applyProtection="1">
      <alignment horizontal="center"/>
    </xf>
    <xf numFmtId="0" fontId="7" fillId="0" borderId="5" xfId="0" applyNumberFormat="1" applyFont="1" applyFill="1" applyBorder="1" applyAlignment="1" applyProtection="1">
      <alignment horizontal="center"/>
    </xf>
    <xf numFmtId="0" fontId="5" fillId="0" borderId="0" xfId="0" applyNumberFormat="1" applyFont="1" applyFill="1" applyBorder="1" applyAlignment="1" applyProtection="1"/>
    <xf numFmtId="0" fontId="4" fillId="0" borderId="6" xfId="0" applyNumberFormat="1" applyFont="1" applyFill="1" applyBorder="1" applyAlignment="1" applyProtection="1">
      <alignment horizontal="center" wrapText="1"/>
    </xf>
    <xf numFmtId="0" fontId="4" fillId="0" borderId="7" xfId="0" applyNumberFormat="1" applyFont="1" applyFill="1" applyBorder="1" applyAlignment="1" applyProtection="1">
      <alignment horizontal="center" wrapText="1"/>
    </xf>
    <xf numFmtId="0" fontId="4" fillId="0" borderId="8" xfId="0" applyNumberFormat="1" applyFont="1" applyFill="1" applyBorder="1" applyAlignment="1" applyProtection="1">
      <alignment horizontal="center" wrapText="1"/>
    </xf>
    <xf numFmtId="0" fontId="6" fillId="0" borderId="9" xfId="0" applyNumberFormat="1" applyFont="1" applyFill="1" applyBorder="1" applyAlignment="1" applyProtection="1">
      <alignment horizontal="center" wrapText="1"/>
    </xf>
    <xf numFmtId="0" fontId="6" fillId="0" borderId="10" xfId="0" applyNumberFormat="1" applyFont="1" applyFill="1" applyBorder="1" applyAlignment="1" applyProtection="1">
      <alignment horizontal="center" wrapText="1"/>
    </xf>
    <xf numFmtId="0" fontId="6" fillId="0" borderId="11" xfId="0" applyNumberFormat="1" applyFont="1" applyFill="1" applyBorder="1" applyAlignment="1" applyProtection="1">
      <alignment horizontal="center" wrapText="1"/>
    </xf>
    <xf numFmtId="0" fontId="7" fillId="0" borderId="6" xfId="0" applyNumberFormat="1" applyFont="1" applyFill="1" applyBorder="1" applyAlignment="1" applyProtection="1">
      <alignment horizontal="center" wrapText="1"/>
    </xf>
    <xf numFmtId="0" fontId="7" fillId="0" borderId="7" xfId="0" applyNumberFormat="1" applyFont="1" applyFill="1" applyBorder="1" applyAlignment="1" applyProtection="1">
      <alignment horizontal="center" wrapText="1"/>
    </xf>
    <xf numFmtId="180" fontId="4" fillId="0" borderId="6" xfId="0" applyNumberFormat="1" applyFont="1" applyFill="1" applyBorder="1" applyAlignment="1" applyProtection="1">
      <alignment horizontal="center"/>
    </xf>
    <xf numFmtId="0" fontId="4" fillId="0" borderId="7" xfId="0" applyNumberFormat="1" applyFont="1" applyFill="1" applyBorder="1" applyAlignment="1" applyProtection="1">
      <alignment horizontal="center"/>
    </xf>
    <xf numFmtId="180" fontId="4" fillId="2" borderId="7" xfId="0" applyNumberFormat="1" applyFont="1" applyFill="1" applyBorder="1" applyAlignment="1" applyProtection="1">
      <alignment horizontal="center"/>
    </xf>
    <xf numFmtId="1" fontId="1" fillId="0" borderId="0" xfId="0" applyNumberFormat="1" applyFont="1" applyFill="1" applyBorder="1" applyAlignment="1" applyProtection="1">
      <alignment horizontal="center"/>
    </xf>
    <xf numFmtId="0" fontId="6" fillId="0" borderId="9" xfId="0" applyNumberFormat="1" applyFont="1" applyFill="1" applyBorder="1" applyAlignment="1" applyProtection="1">
      <alignment horizontal="center"/>
    </xf>
    <xf numFmtId="0" fontId="6" fillId="0" borderId="10" xfId="0" applyNumberFormat="1" applyFont="1" applyFill="1" applyBorder="1" applyAlignment="1" applyProtection="1">
      <alignment horizontal="center"/>
    </xf>
    <xf numFmtId="9" fontId="6" fillId="0" borderId="10" xfId="0" applyNumberFormat="1" applyFont="1" applyFill="1" applyBorder="1" applyAlignment="1" applyProtection="1">
      <alignment horizontal="center"/>
    </xf>
    <xf numFmtId="0" fontId="6" fillId="2" borderId="10" xfId="0" applyNumberFormat="1" applyFont="1" applyFill="1" applyBorder="1" applyAlignment="1" applyProtection="1">
      <alignment horizontal="center"/>
    </xf>
    <xf numFmtId="1" fontId="6" fillId="2" borderId="11" xfId="0" applyNumberFormat="1" applyFont="1" applyFill="1" applyBorder="1" applyAlignment="1" applyProtection="1">
      <alignment horizontal="center"/>
    </xf>
    <xf numFmtId="0" fontId="7" fillId="0" borderId="6" xfId="0" applyNumberFormat="1" applyFont="1" applyFill="1" applyBorder="1" applyAlignment="1" applyProtection="1">
      <alignment horizontal="center"/>
    </xf>
    <xf numFmtId="0" fontId="7" fillId="0" borderId="7" xfId="0" applyNumberFormat="1" applyFont="1" applyFill="1" applyBorder="1" applyAlignment="1" applyProtection="1">
      <alignment horizontal="center"/>
    </xf>
    <xf numFmtId="1" fontId="7" fillId="2" borderId="7" xfId="0" applyNumberFormat="1" applyFont="1" applyFill="1" applyBorder="1" applyAlignment="1" applyProtection="1">
      <alignment horizontal="center"/>
    </xf>
    <xf numFmtId="181" fontId="7" fillId="2" borderId="7" xfId="0" applyNumberFormat="1" applyFont="1" applyFill="1" applyBorder="1" applyAlignment="1" applyProtection="1">
      <alignment horizontal="center"/>
    </xf>
    <xf numFmtId="2" fontId="7" fillId="2" borderId="7" xfId="0" applyNumberFormat="1" applyFont="1" applyFill="1" applyBorder="1" applyAlignment="1" applyProtection="1">
      <alignment horizontal="center"/>
    </xf>
    <xf numFmtId="181" fontId="7" fillId="0" borderId="7" xfId="0" applyNumberFormat="1" applyFont="1" applyFill="1" applyBorder="1" applyAlignment="1" applyProtection="1">
      <alignment horizontal="center"/>
    </xf>
    <xf numFmtId="0" fontId="6" fillId="2" borderId="11" xfId="0" applyNumberFormat="1" applyFont="1" applyFill="1" applyBorder="1" applyAlignment="1" applyProtection="1">
      <alignment horizontal="center"/>
    </xf>
    <xf numFmtId="0" fontId="7" fillId="2" borderId="7" xfId="0" applyNumberFormat="1" applyFont="1" applyFill="1" applyBorder="1" applyAlignment="1" applyProtection="1">
      <alignment horizontal="center"/>
    </xf>
    <xf numFmtId="1" fontId="6" fillId="2" borderId="10" xfId="0" applyNumberFormat="1" applyFont="1" applyFill="1" applyBorder="1" applyAlignment="1" applyProtection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FFE6A-4DAC-4C24-A2B3-83D586A0548B}">
  <dimension ref="A1:X40"/>
  <sheetViews>
    <sheetView tabSelected="1" topLeftCell="A6" workbookViewId="0">
      <selection activeCell="E39" sqref="E39"/>
    </sheetView>
  </sheetViews>
  <sheetFormatPr defaultRowHeight="14" x14ac:dyDescent="0.3"/>
  <cols>
    <col min="1" max="1" width="15.25" customWidth="1"/>
  </cols>
  <sheetData>
    <row r="1" spans="1:24" x14ac:dyDescent="0.25">
      <c r="A1" s="3" t="s">
        <v>0</v>
      </c>
      <c r="B1" s="4" t="s">
        <v>1</v>
      </c>
      <c r="C1" s="5">
        <v>50</v>
      </c>
      <c r="D1" s="4" t="s">
        <v>2</v>
      </c>
      <c r="E1" s="5">
        <v>2.5</v>
      </c>
      <c r="F1" s="6"/>
      <c r="G1" s="6"/>
      <c r="H1" s="4" t="s">
        <v>3</v>
      </c>
      <c r="I1" s="4"/>
      <c r="J1" s="4" t="s">
        <v>4</v>
      </c>
      <c r="K1" s="7">
        <f>SUM(V5:V35)-SUM(X5:X35)</f>
        <v>19.810416666666669</v>
      </c>
      <c r="L1" s="8" t="s">
        <v>5</v>
      </c>
      <c r="M1" s="8"/>
      <c r="N1" s="4"/>
      <c r="O1" s="9">
        <f>K1*E1*C1</f>
        <v>2476.3020833333335</v>
      </c>
      <c r="P1" s="4" t="s">
        <v>6</v>
      </c>
      <c r="Q1" s="10">
        <f>O1/43560</f>
        <v>5.6848073538414451E-2</v>
      </c>
      <c r="R1" s="4" t="s">
        <v>7</v>
      </c>
      <c r="S1" s="1"/>
      <c r="T1" s="1"/>
      <c r="U1" s="1"/>
      <c r="V1" s="1"/>
      <c r="W1" s="1"/>
      <c r="X1" s="1"/>
    </row>
    <row r="2" spans="1:24" ht="14.5" thickBot="1" x14ac:dyDescent="0.3">
      <c r="A2" s="4" t="s">
        <v>8</v>
      </c>
      <c r="B2" s="4" t="s">
        <v>1</v>
      </c>
      <c r="C2" s="2">
        <v>40</v>
      </c>
      <c r="D2" s="4" t="s">
        <v>2</v>
      </c>
      <c r="E2" s="2">
        <v>2.5</v>
      </c>
      <c r="F2" s="2"/>
      <c r="G2" s="2"/>
      <c r="H2" s="4" t="s">
        <v>3</v>
      </c>
      <c r="I2" s="1"/>
      <c r="J2" s="4" t="s">
        <v>4</v>
      </c>
      <c r="K2" s="7">
        <f>SUM(V6:V36)-SUM(X6:X36)</f>
        <v>17.960416666666667</v>
      </c>
      <c r="L2" s="11" t="s">
        <v>9</v>
      </c>
      <c r="M2" s="11"/>
      <c r="N2" s="1"/>
      <c r="O2" s="9">
        <f>K2*E2*C2</f>
        <v>1796.041666666667</v>
      </c>
      <c r="P2" s="4" t="s">
        <v>10</v>
      </c>
      <c r="Q2" s="10">
        <f>O2/43560</f>
        <v>4.1231443220079593E-2</v>
      </c>
      <c r="R2" s="4" t="s">
        <v>7</v>
      </c>
      <c r="S2" s="1"/>
      <c r="T2" s="1"/>
      <c r="U2" s="1"/>
      <c r="V2" s="1"/>
      <c r="W2" s="1"/>
      <c r="X2" s="1"/>
    </row>
    <row r="3" spans="1:24" ht="14.5" thickBot="1" x14ac:dyDescent="0.3">
      <c r="A3" s="1"/>
      <c r="B3" s="12" t="s">
        <v>11</v>
      </c>
      <c r="C3" s="14"/>
      <c r="D3" s="14"/>
      <c r="E3" s="14"/>
      <c r="F3" s="14"/>
      <c r="G3" s="14"/>
      <c r="H3" s="14"/>
      <c r="I3" s="14"/>
      <c r="J3" s="14"/>
      <c r="K3" s="13"/>
      <c r="L3" s="15" t="s">
        <v>12</v>
      </c>
      <c r="M3" s="17"/>
      <c r="N3" s="17"/>
      <c r="O3" s="17"/>
      <c r="P3" s="17"/>
      <c r="Q3" s="16"/>
      <c r="R3" s="18" t="s">
        <v>13</v>
      </c>
      <c r="S3" s="20"/>
      <c r="T3" s="20"/>
      <c r="U3" s="20"/>
      <c r="V3" s="20"/>
      <c r="W3" s="20"/>
      <c r="X3" s="19"/>
    </row>
    <row r="4" spans="1:24" ht="63" x14ac:dyDescent="0.3">
      <c r="A4" s="21" t="s">
        <v>14</v>
      </c>
      <c r="B4" s="22" t="s">
        <v>15</v>
      </c>
      <c r="C4" s="23" t="s">
        <v>16</v>
      </c>
      <c r="D4" s="23" t="s">
        <v>17</v>
      </c>
      <c r="E4" s="23" t="s">
        <v>18</v>
      </c>
      <c r="F4" s="23" t="s">
        <v>19</v>
      </c>
      <c r="G4" s="23" t="s">
        <v>20</v>
      </c>
      <c r="H4" s="23" t="s">
        <v>21</v>
      </c>
      <c r="I4" s="23" t="s">
        <v>22</v>
      </c>
      <c r="J4" s="23" t="s">
        <v>23</v>
      </c>
      <c r="K4" s="24" t="s">
        <v>24</v>
      </c>
      <c r="L4" s="25" t="s">
        <v>25</v>
      </c>
      <c r="M4" s="26" t="s">
        <v>26</v>
      </c>
      <c r="N4" s="26" t="s">
        <v>27</v>
      </c>
      <c r="O4" s="26" t="s">
        <v>28</v>
      </c>
      <c r="P4" s="26" t="s">
        <v>29</v>
      </c>
      <c r="Q4" s="27" t="s">
        <v>30</v>
      </c>
      <c r="R4" s="28" t="s">
        <v>31</v>
      </c>
      <c r="S4" s="29" t="s">
        <v>32</v>
      </c>
      <c r="T4" s="29" t="s">
        <v>33</v>
      </c>
      <c r="U4" s="29" t="s">
        <v>34</v>
      </c>
      <c r="V4" s="29" t="s">
        <v>35</v>
      </c>
      <c r="W4" s="29" t="s">
        <v>79</v>
      </c>
      <c r="X4" s="29" t="s">
        <v>36</v>
      </c>
    </row>
    <row r="5" spans="1:24" x14ac:dyDescent="0.25">
      <c r="A5" s="1" t="s">
        <v>37</v>
      </c>
      <c r="B5" s="30">
        <v>42944</v>
      </c>
      <c r="C5" s="31">
        <v>5</v>
      </c>
      <c r="D5" s="31">
        <v>35</v>
      </c>
      <c r="E5" s="31">
        <v>55</v>
      </c>
      <c r="F5" s="31" t="s">
        <v>38</v>
      </c>
      <c r="G5" s="31" t="s">
        <v>39</v>
      </c>
      <c r="H5" s="32">
        <f>B5-C5-D5-E5</f>
        <v>42849</v>
      </c>
      <c r="I5" s="31">
        <v>8</v>
      </c>
      <c r="J5" s="32">
        <f>B5+(I5*7)</f>
        <v>43000</v>
      </c>
      <c r="K5" s="33">
        <f>(J5-B5)/7</f>
        <v>8</v>
      </c>
      <c r="L5" s="34">
        <v>28</v>
      </c>
      <c r="M5" s="35">
        <v>2</v>
      </c>
      <c r="N5" s="35" t="s">
        <v>40</v>
      </c>
      <c r="O5" s="36">
        <v>0.25</v>
      </c>
      <c r="P5" s="37">
        <f>L5/M5*I5*(1+O5)</f>
        <v>140</v>
      </c>
      <c r="Q5" s="38">
        <f>P5*K5/I5</f>
        <v>140</v>
      </c>
      <c r="R5" s="39">
        <v>2</v>
      </c>
      <c r="S5" s="40">
        <v>18</v>
      </c>
      <c r="T5" s="41">
        <f>R5*C$1/(S5/12)</f>
        <v>66.666666666666671</v>
      </c>
      <c r="U5" s="42">
        <f>P5/T5</f>
        <v>2.0999999999999996</v>
      </c>
      <c r="V5" s="43">
        <f>Q5/T5</f>
        <v>2.0999999999999996</v>
      </c>
      <c r="W5" s="41">
        <f>V5*E$1*C$1</f>
        <v>262.49999999999994</v>
      </c>
      <c r="X5" s="44">
        <v>0</v>
      </c>
    </row>
    <row r="6" spans="1:24" x14ac:dyDescent="0.25">
      <c r="A6" s="1" t="s">
        <v>41</v>
      </c>
      <c r="B6" s="30">
        <v>42944</v>
      </c>
      <c r="C6" s="31">
        <v>5</v>
      </c>
      <c r="D6" s="31">
        <v>0</v>
      </c>
      <c r="E6" s="31">
        <v>45</v>
      </c>
      <c r="F6" s="31"/>
      <c r="G6" s="31" t="s">
        <v>42</v>
      </c>
      <c r="H6" s="32">
        <f>B6-C6-D6-E6</f>
        <v>42894</v>
      </c>
      <c r="I6" s="31">
        <v>3</v>
      </c>
      <c r="J6" s="32">
        <f>B6+(I6*7)</f>
        <v>42965</v>
      </c>
      <c r="K6" s="33">
        <f>(J6-B6)/7</f>
        <v>3</v>
      </c>
      <c r="L6" s="34"/>
      <c r="M6" s="35">
        <v>0.25</v>
      </c>
      <c r="N6" s="35" t="s">
        <v>43</v>
      </c>
      <c r="O6" s="36">
        <v>0.25</v>
      </c>
      <c r="P6" s="37">
        <f>L6/M6*I6*(1+O6)</f>
        <v>0</v>
      </c>
      <c r="Q6" s="45">
        <f>P6*K6/I6</f>
        <v>0</v>
      </c>
      <c r="R6" s="39">
        <v>3</v>
      </c>
      <c r="S6" s="40">
        <v>3</v>
      </c>
      <c r="T6" s="46">
        <f>R6*C$1/(S6/12)</f>
        <v>600</v>
      </c>
      <c r="U6" s="46">
        <f>P6/T6</f>
        <v>0</v>
      </c>
      <c r="V6" s="43">
        <f>Q6/T6</f>
        <v>0</v>
      </c>
      <c r="W6" s="46">
        <f>V6*E$1*C$1</f>
        <v>0</v>
      </c>
      <c r="X6" s="44">
        <v>0.5</v>
      </c>
    </row>
    <row r="7" spans="1:24" x14ac:dyDescent="0.25">
      <c r="A7" s="1" t="s">
        <v>44</v>
      </c>
      <c r="B7" s="30">
        <v>42944</v>
      </c>
      <c r="C7" s="31">
        <v>5</v>
      </c>
      <c r="D7" s="31">
        <v>0</v>
      </c>
      <c r="E7" s="31">
        <v>45</v>
      </c>
      <c r="F7" s="31"/>
      <c r="G7" s="31" t="s">
        <v>39</v>
      </c>
      <c r="H7" s="32">
        <f>B7-C7-D7-E7</f>
        <v>42894</v>
      </c>
      <c r="I7" s="31">
        <v>3</v>
      </c>
      <c r="J7" s="32">
        <f>B7+(I7*7)</f>
        <v>42965</v>
      </c>
      <c r="K7" s="33">
        <f>(J7-B7)/7</f>
        <v>3</v>
      </c>
      <c r="L7" s="34"/>
      <c r="M7" s="35">
        <v>0.25</v>
      </c>
      <c r="N7" s="35" t="s">
        <v>43</v>
      </c>
      <c r="O7" s="36">
        <v>0.25</v>
      </c>
      <c r="P7" s="37">
        <f>L7/M7*I7*(1+O7)</f>
        <v>0</v>
      </c>
      <c r="Q7" s="45">
        <f>P7*K7/I7</f>
        <v>0</v>
      </c>
      <c r="R7" s="39">
        <v>3</v>
      </c>
      <c r="S7" s="40">
        <v>3</v>
      </c>
      <c r="T7" s="46">
        <f>R7*C$1/(S7/12)</f>
        <v>600</v>
      </c>
      <c r="U7" s="46">
        <f>P7/T7</f>
        <v>0</v>
      </c>
      <c r="V7" s="43">
        <f>Q7/T7</f>
        <v>0</v>
      </c>
      <c r="W7" s="46">
        <f>V7*E$1*C$1</f>
        <v>0</v>
      </c>
      <c r="X7" s="44">
        <v>0.5</v>
      </c>
    </row>
    <row r="8" spans="1:24" x14ac:dyDescent="0.25">
      <c r="A8" s="1" t="s">
        <v>45</v>
      </c>
      <c r="B8" s="30">
        <v>42944</v>
      </c>
      <c r="C8" s="31">
        <v>5</v>
      </c>
      <c r="D8" s="31">
        <v>0</v>
      </c>
      <c r="E8" s="31">
        <v>45</v>
      </c>
      <c r="F8" s="31"/>
      <c r="G8" s="31" t="s">
        <v>39</v>
      </c>
      <c r="H8" s="32">
        <f>B8-C8-D8-E8</f>
        <v>42894</v>
      </c>
      <c r="I8" s="31">
        <v>3</v>
      </c>
      <c r="J8" s="32">
        <f>B8+(I8*7)</f>
        <v>42965</v>
      </c>
      <c r="K8" s="33">
        <f>(J8-B8)/7</f>
        <v>3</v>
      </c>
      <c r="L8" s="34"/>
      <c r="M8" s="35">
        <v>0.25</v>
      </c>
      <c r="N8" s="35" t="s">
        <v>43</v>
      </c>
      <c r="O8" s="36">
        <v>0.25</v>
      </c>
      <c r="P8" s="37">
        <f>L8/M8*I8*(1+O8)</f>
        <v>0</v>
      </c>
      <c r="Q8" s="45">
        <f>P8*K8/I8</f>
        <v>0</v>
      </c>
      <c r="R8" s="39">
        <v>3</v>
      </c>
      <c r="S8" s="40">
        <v>3</v>
      </c>
      <c r="T8" s="46">
        <f>R8*C$1/(S8/12)</f>
        <v>600</v>
      </c>
      <c r="U8" s="42">
        <f>P8/T8</f>
        <v>0</v>
      </c>
      <c r="V8" s="43">
        <f>Q8/T8</f>
        <v>0</v>
      </c>
      <c r="W8" s="46">
        <f>V8*E$1*C$1</f>
        <v>0</v>
      </c>
      <c r="X8" s="44">
        <v>0</v>
      </c>
    </row>
    <row r="9" spans="1:24" x14ac:dyDescent="0.25">
      <c r="A9" s="1" t="s">
        <v>46</v>
      </c>
      <c r="B9" s="30">
        <v>42944</v>
      </c>
      <c r="C9" s="31">
        <v>7</v>
      </c>
      <c r="D9" s="31">
        <v>0</v>
      </c>
      <c r="E9" s="31">
        <v>55</v>
      </c>
      <c r="F9" s="31"/>
      <c r="G9" s="31" t="s">
        <v>42</v>
      </c>
      <c r="H9" s="32">
        <f>B9-C9-D9-E9</f>
        <v>42882</v>
      </c>
      <c r="I9" s="31">
        <v>2</v>
      </c>
      <c r="J9" s="32">
        <f>B9+(I9*7)</f>
        <v>42958</v>
      </c>
      <c r="K9" s="33">
        <f>(J9-B9)/7</f>
        <v>2</v>
      </c>
      <c r="L9" s="34">
        <v>100</v>
      </c>
      <c r="M9" s="35">
        <v>1</v>
      </c>
      <c r="N9" s="35" t="s">
        <v>40</v>
      </c>
      <c r="O9" s="36">
        <v>0.25</v>
      </c>
      <c r="P9" s="37">
        <f>L9/M9*I9*(1+O9)</f>
        <v>250</v>
      </c>
      <c r="Q9" s="45">
        <f>P9*K9/I9</f>
        <v>250</v>
      </c>
      <c r="R9" s="39">
        <v>4</v>
      </c>
      <c r="S9" s="40">
        <v>1.5</v>
      </c>
      <c r="T9" s="46">
        <f>R9*C$1/(S9/12)</f>
        <v>1600</v>
      </c>
      <c r="U9" s="42">
        <f>P9/T9</f>
        <v>0.15625</v>
      </c>
      <c r="V9" s="43">
        <f>Q9/T9</f>
        <v>0.15625</v>
      </c>
      <c r="W9" s="41">
        <f>V9*E$1*C$1</f>
        <v>19.53125</v>
      </c>
      <c r="X9" s="44">
        <v>0</v>
      </c>
    </row>
    <row r="10" spans="1:24" x14ac:dyDescent="0.25">
      <c r="A10" s="1" t="s">
        <v>47</v>
      </c>
      <c r="B10" s="30">
        <v>42944</v>
      </c>
      <c r="C10" s="31">
        <v>5</v>
      </c>
      <c r="D10" s="31">
        <v>35</v>
      </c>
      <c r="E10" s="31">
        <v>45</v>
      </c>
      <c r="F10" s="31" t="s">
        <v>38</v>
      </c>
      <c r="G10" s="31" t="s">
        <v>42</v>
      </c>
      <c r="H10" s="32">
        <f>B10-C10-D10-E10</f>
        <v>42859</v>
      </c>
      <c r="I10" s="31">
        <v>2</v>
      </c>
      <c r="J10" s="32">
        <f>B10+(I10*7)</f>
        <v>42958</v>
      </c>
      <c r="K10" s="33">
        <f>(J10-B10)/7</f>
        <v>2</v>
      </c>
      <c r="L10" s="34">
        <v>20</v>
      </c>
      <c r="M10" s="35">
        <v>1</v>
      </c>
      <c r="N10" s="35" t="s">
        <v>40</v>
      </c>
      <c r="O10" s="36">
        <v>0.25</v>
      </c>
      <c r="P10" s="37">
        <f>L10/M10*I10*(1+O10)</f>
        <v>50</v>
      </c>
      <c r="Q10" s="45">
        <f>P10*K10/I10</f>
        <v>50</v>
      </c>
      <c r="R10" s="39">
        <v>2</v>
      </c>
      <c r="S10" s="40">
        <v>12</v>
      </c>
      <c r="T10" s="46">
        <f>R10*C$1/(S10/12)</f>
        <v>100</v>
      </c>
      <c r="U10" s="42">
        <f>P10/T10</f>
        <v>0.5</v>
      </c>
      <c r="V10" s="43">
        <f>Q10/T10</f>
        <v>0.5</v>
      </c>
      <c r="W10" s="41">
        <f>V10*E$1*C$1</f>
        <v>62.5</v>
      </c>
      <c r="X10" s="44">
        <v>0</v>
      </c>
    </row>
    <row r="11" spans="1:24" x14ac:dyDescent="0.25">
      <c r="A11" s="1" t="s">
        <v>48</v>
      </c>
      <c r="B11" s="30">
        <v>42944</v>
      </c>
      <c r="C11" s="31">
        <v>5</v>
      </c>
      <c r="D11" s="31">
        <v>35</v>
      </c>
      <c r="E11" s="31">
        <v>60</v>
      </c>
      <c r="F11" s="31" t="s">
        <v>38</v>
      </c>
      <c r="G11" s="31" t="s">
        <v>42</v>
      </c>
      <c r="H11" s="32">
        <f>B11-C11-D11-E11</f>
        <v>42844</v>
      </c>
      <c r="I11" s="31">
        <v>3</v>
      </c>
      <c r="J11" s="32">
        <f>B11+(I11*7)</f>
        <v>42965</v>
      </c>
      <c r="K11" s="33">
        <f>(J11-B11)/7</f>
        <v>3</v>
      </c>
      <c r="L11" s="34"/>
      <c r="M11" s="35">
        <v>2</v>
      </c>
      <c r="N11" s="35" t="s">
        <v>43</v>
      </c>
      <c r="O11" s="36">
        <v>0.25</v>
      </c>
      <c r="P11" s="47">
        <f>L11/M11*I11*(1+O11)</f>
        <v>0</v>
      </c>
      <c r="Q11" s="45">
        <f>P11*K11/I11</f>
        <v>0</v>
      </c>
      <c r="R11" s="39">
        <v>1</v>
      </c>
      <c r="S11" s="40">
        <v>18</v>
      </c>
      <c r="T11" s="41">
        <f>R11*C$1/(S11/12)</f>
        <v>33.333333333333336</v>
      </c>
      <c r="U11" s="42">
        <f>P11/T11</f>
        <v>0</v>
      </c>
      <c r="V11" s="43">
        <f>Q11/T11</f>
        <v>0</v>
      </c>
      <c r="W11" s="41">
        <f>V11*E$1*C$1</f>
        <v>0</v>
      </c>
      <c r="X11" s="44">
        <v>0</v>
      </c>
    </row>
    <row r="12" spans="1:24" x14ac:dyDescent="0.25">
      <c r="A12" s="1" t="s">
        <v>49</v>
      </c>
      <c r="B12" s="30">
        <v>42944</v>
      </c>
      <c r="C12" s="31">
        <v>5</v>
      </c>
      <c r="D12" s="31">
        <v>35</v>
      </c>
      <c r="E12" s="31">
        <v>45</v>
      </c>
      <c r="F12" s="31" t="s">
        <v>38</v>
      </c>
      <c r="G12" s="31" t="s">
        <v>42</v>
      </c>
      <c r="H12" s="32">
        <f>B12-C12-D12-E12</f>
        <v>42859</v>
      </c>
      <c r="I12" s="31">
        <v>2</v>
      </c>
      <c r="J12" s="32">
        <f>B12+(I12*7)</f>
        <v>42958</v>
      </c>
      <c r="K12" s="33">
        <f>(J12-B12)/7</f>
        <v>2</v>
      </c>
      <c r="L12" s="34">
        <v>20</v>
      </c>
      <c r="M12" s="35">
        <v>1</v>
      </c>
      <c r="N12" s="35" t="s">
        <v>40</v>
      </c>
      <c r="O12" s="36">
        <v>0.25</v>
      </c>
      <c r="P12" s="37">
        <f>L12/M12*I12*(1+O12)</f>
        <v>50</v>
      </c>
      <c r="Q12" s="45">
        <f>P12*K12/I12</f>
        <v>50</v>
      </c>
      <c r="R12" s="39">
        <v>2</v>
      </c>
      <c r="S12" s="40">
        <v>12</v>
      </c>
      <c r="T12" s="46">
        <f>R12*C$1/(S12/12)</f>
        <v>100</v>
      </c>
      <c r="U12" s="42">
        <f>P12/T12</f>
        <v>0.5</v>
      </c>
      <c r="V12" s="43">
        <f>Q12/T12</f>
        <v>0.5</v>
      </c>
      <c r="W12" s="41">
        <f>V12*E$1*C$1</f>
        <v>62.5</v>
      </c>
      <c r="X12" s="44">
        <v>0</v>
      </c>
    </row>
    <row r="13" spans="1:24" x14ac:dyDescent="0.25">
      <c r="A13" s="1" t="s">
        <v>50</v>
      </c>
      <c r="B13" s="30">
        <v>42944</v>
      </c>
      <c r="C13" s="31">
        <v>7</v>
      </c>
      <c r="D13" s="31">
        <v>0</v>
      </c>
      <c r="E13" s="31">
        <v>60</v>
      </c>
      <c r="F13" s="31"/>
      <c r="G13" s="31" t="s">
        <v>42</v>
      </c>
      <c r="H13" s="32">
        <f>B13-C13-D13-E13</f>
        <v>42877</v>
      </c>
      <c r="I13" s="31">
        <v>2</v>
      </c>
      <c r="J13" s="32">
        <f>B13+(I13*7)</f>
        <v>42958</v>
      </c>
      <c r="K13" s="33">
        <f>(J13-B13)/7</f>
        <v>2</v>
      </c>
      <c r="L13" s="34"/>
      <c r="M13" s="35">
        <v>1</v>
      </c>
      <c r="N13" s="35" t="s">
        <v>43</v>
      </c>
      <c r="O13" s="36">
        <v>0.25</v>
      </c>
      <c r="P13" s="37">
        <f>L13/M13*I13*(1+O13)</f>
        <v>0</v>
      </c>
      <c r="Q13" s="45">
        <f>P13*K13/I13</f>
        <v>0</v>
      </c>
      <c r="R13" s="39">
        <v>4</v>
      </c>
      <c r="S13" s="40">
        <v>1.5</v>
      </c>
      <c r="T13" s="46">
        <f>R13*C$1/(S13/12)</f>
        <v>1600</v>
      </c>
      <c r="U13" s="42">
        <f>P13/T13</f>
        <v>0</v>
      </c>
      <c r="V13" s="43">
        <f>Q13/T13</f>
        <v>0</v>
      </c>
      <c r="W13" s="41">
        <f>V13*E$1*C$1</f>
        <v>0</v>
      </c>
      <c r="X13" s="44">
        <v>0</v>
      </c>
    </row>
    <row r="14" spans="1:24" x14ac:dyDescent="0.25">
      <c r="A14" s="1" t="s">
        <v>51</v>
      </c>
      <c r="B14" s="30">
        <v>42944</v>
      </c>
      <c r="C14" s="31">
        <v>5</v>
      </c>
      <c r="D14" s="31">
        <v>35</v>
      </c>
      <c r="E14" s="31">
        <v>45</v>
      </c>
      <c r="F14" s="31" t="s">
        <v>38</v>
      </c>
      <c r="G14" s="31" t="s">
        <v>42</v>
      </c>
      <c r="H14" s="32">
        <f>B14-C14-D14-E14</f>
        <v>42859</v>
      </c>
      <c r="I14" s="31">
        <v>2</v>
      </c>
      <c r="J14" s="32">
        <f>B14+(I14*7)</f>
        <v>42958</v>
      </c>
      <c r="K14" s="33">
        <f>(J14-B14)/7</f>
        <v>2</v>
      </c>
      <c r="L14" s="34">
        <v>28</v>
      </c>
      <c r="M14" s="35">
        <v>1</v>
      </c>
      <c r="N14" s="35" t="s">
        <v>40</v>
      </c>
      <c r="O14" s="36">
        <v>0.25</v>
      </c>
      <c r="P14" s="37">
        <f>L14/M14*I14*(1+O14)</f>
        <v>70</v>
      </c>
      <c r="Q14" s="45">
        <f>P14*K14/I14</f>
        <v>70</v>
      </c>
      <c r="R14" s="39">
        <v>2</v>
      </c>
      <c r="S14" s="40">
        <v>12</v>
      </c>
      <c r="T14" s="46">
        <f>R14*C$1/(S14/12)</f>
        <v>100</v>
      </c>
      <c r="U14" s="42">
        <f>P14/T14</f>
        <v>0.7</v>
      </c>
      <c r="V14" s="43">
        <f>Q14/T14</f>
        <v>0.7</v>
      </c>
      <c r="W14" s="41">
        <f>V14*E$1*C$1</f>
        <v>87.5</v>
      </c>
      <c r="X14" s="44">
        <v>0</v>
      </c>
    </row>
    <row r="15" spans="1:24" x14ac:dyDescent="0.25">
      <c r="A15" s="1" t="s">
        <v>52</v>
      </c>
      <c r="B15" s="30">
        <v>42944</v>
      </c>
      <c r="C15" s="31">
        <v>5</v>
      </c>
      <c r="D15" s="31">
        <v>0</v>
      </c>
      <c r="E15" s="31">
        <v>55</v>
      </c>
      <c r="F15" s="31" t="s">
        <v>38</v>
      </c>
      <c r="G15" s="31" t="s">
        <v>39</v>
      </c>
      <c r="H15" s="32">
        <f>B15-C15-D15-E15</f>
        <v>42884</v>
      </c>
      <c r="I15" s="31">
        <v>9</v>
      </c>
      <c r="J15" s="32">
        <f>B15+(I15*7)</f>
        <v>43007</v>
      </c>
      <c r="K15" s="33">
        <f>(J15-B15)/7</f>
        <v>9</v>
      </c>
      <c r="L15" s="34">
        <v>28</v>
      </c>
      <c r="M15" s="35">
        <v>0.5</v>
      </c>
      <c r="N15" s="35" t="s">
        <v>40</v>
      </c>
      <c r="O15" s="36">
        <v>0.25</v>
      </c>
      <c r="P15" s="37">
        <f>L15/M15*I15*(1+O15)</f>
        <v>630</v>
      </c>
      <c r="Q15" s="45">
        <f>P15*K15/I15</f>
        <v>630</v>
      </c>
      <c r="R15" s="39">
        <v>2</v>
      </c>
      <c r="S15" s="40">
        <v>6</v>
      </c>
      <c r="T15" s="46">
        <f>R15*C$1/(S15/12)</f>
        <v>200</v>
      </c>
      <c r="U15" s="46">
        <f>P15/T15</f>
        <v>3.15</v>
      </c>
      <c r="V15" s="43">
        <f>Q15/T15</f>
        <v>3.15</v>
      </c>
      <c r="W15" s="41">
        <f>V15*E$1*C$1</f>
        <v>393.75</v>
      </c>
      <c r="X15" s="44">
        <v>3</v>
      </c>
    </row>
    <row r="16" spans="1:24" x14ac:dyDescent="0.25">
      <c r="A16" s="1" t="s">
        <v>53</v>
      </c>
      <c r="B16" s="30">
        <v>42944</v>
      </c>
      <c r="C16" s="31">
        <v>5</v>
      </c>
      <c r="D16" s="31">
        <v>0</v>
      </c>
      <c r="E16" s="31">
        <v>55</v>
      </c>
      <c r="F16" s="31" t="s">
        <v>38</v>
      </c>
      <c r="G16" s="31" t="s">
        <v>39</v>
      </c>
      <c r="H16" s="32">
        <f>B16-C16-D16-E16</f>
        <v>42884</v>
      </c>
      <c r="I16" s="31">
        <v>10</v>
      </c>
      <c r="J16" s="32">
        <f>B16+(I16*7)</f>
        <v>43014</v>
      </c>
      <c r="K16" s="33">
        <f>(J16-B16)/7</f>
        <v>10</v>
      </c>
      <c r="L16" s="34">
        <v>28</v>
      </c>
      <c r="M16" s="35">
        <v>0.5</v>
      </c>
      <c r="N16" s="35" t="s">
        <v>40</v>
      </c>
      <c r="O16" s="36">
        <v>0.25</v>
      </c>
      <c r="P16" s="37">
        <f>L16/M16*I16*(1+O16)</f>
        <v>700</v>
      </c>
      <c r="Q16" s="45">
        <f>P16*K16/I16</f>
        <v>700</v>
      </c>
      <c r="R16" s="39">
        <v>2</v>
      </c>
      <c r="S16" s="40">
        <v>6</v>
      </c>
      <c r="T16" s="46">
        <f>R16*C$1/(S16/12)</f>
        <v>200</v>
      </c>
      <c r="U16" s="46">
        <f>P16/T16</f>
        <v>3.5</v>
      </c>
      <c r="V16" s="43">
        <f>Q16/T16</f>
        <v>3.5</v>
      </c>
      <c r="W16" s="41">
        <f>V16*E$1*C$1</f>
        <v>437.5</v>
      </c>
      <c r="X16" s="44">
        <v>4</v>
      </c>
    </row>
    <row r="17" spans="1:24" x14ac:dyDescent="0.25">
      <c r="A17" s="1" t="s">
        <v>54</v>
      </c>
      <c r="B17" s="30">
        <v>42944</v>
      </c>
      <c r="C17" s="31">
        <v>5</v>
      </c>
      <c r="D17" s="31">
        <v>21</v>
      </c>
      <c r="E17" s="31">
        <v>45</v>
      </c>
      <c r="F17" s="31" t="s">
        <v>38</v>
      </c>
      <c r="G17" s="31" t="s">
        <v>39</v>
      </c>
      <c r="H17" s="32">
        <f>B17-C17-D17-E17</f>
        <v>42873</v>
      </c>
      <c r="I17" s="31">
        <v>4</v>
      </c>
      <c r="J17" s="32">
        <f>B17+(I17*7)</f>
        <v>42972</v>
      </c>
      <c r="K17" s="33">
        <f>(J17-B17)/7</f>
        <v>4</v>
      </c>
      <c r="L17" s="34">
        <v>28</v>
      </c>
      <c r="M17" s="35">
        <v>3</v>
      </c>
      <c r="N17" s="35" t="s">
        <v>40</v>
      </c>
      <c r="O17" s="36">
        <v>0.25</v>
      </c>
      <c r="P17" s="47">
        <f>L17/M17*I17*(1+O17)</f>
        <v>46.666666666666671</v>
      </c>
      <c r="Q17" s="38">
        <f>P17*K17/I17</f>
        <v>46.666666666666671</v>
      </c>
      <c r="R17" s="39">
        <v>1</v>
      </c>
      <c r="S17" s="40">
        <v>18</v>
      </c>
      <c r="T17" s="41">
        <f>R17*C$1/(S17/12)</f>
        <v>33.333333333333336</v>
      </c>
      <c r="U17" s="42">
        <f>P17/T17</f>
        <v>1.4000000000000001</v>
      </c>
      <c r="V17" s="43">
        <f>Q17/T17</f>
        <v>1.4000000000000001</v>
      </c>
      <c r="W17" s="41">
        <f>V17*E$1*C$1</f>
        <v>175.00000000000003</v>
      </c>
      <c r="X17" s="44">
        <v>0</v>
      </c>
    </row>
    <row r="18" spans="1:24" x14ac:dyDescent="0.25">
      <c r="A18" s="1" t="s">
        <v>55</v>
      </c>
      <c r="B18" s="30">
        <v>42944</v>
      </c>
      <c r="C18" s="31">
        <v>5</v>
      </c>
      <c r="D18" s="31">
        <v>0</v>
      </c>
      <c r="E18" s="31">
        <v>60</v>
      </c>
      <c r="F18" s="31" t="s">
        <v>38</v>
      </c>
      <c r="G18" s="31" t="s">
        <v>42</v>
      </c>
      <c r="H18" s="32">
        <f>B18-C18-D18-E18</f>
        <v>42879</v>
      </c>
      <c r="I18" s="31">
        <v>8</v>
      </c>
      <c r="J18" s="32">
        <f>B18+(I18*7)</f>
        <v>43000</v>
      </c>
      <c r="K18" s="33">
        <f>(J18-B18)/7</f>
        <v>8</v>
      </c>
      <c r="L18" s="34">
        <v>20</v>
      </c>
      <c r="M18" s="35">
        <v>1</v>
      </c>
      <c r="N18" s="35" t="s">
        <v>43</v>
      </c>
      <c r="O18" s="36">
        <v>0.25</v>
      </c>
      <c r="P18" s="37">
        <f>L18/M18*I18*(1+O18)</f>
        <v>200</v>
      </c>
      <c r="Q18" s="45">
        <f>P18*K18/I18</f>
        <v>200</v>
      </c>
      <c r="R18" s="39">
        <v>4</v>
      </c>
      <c r="S18" s="40">
        <v>6</v>
      </c>
      <c r="T18" s="46">
        <f>R18*C$1/(S18/12)</f>
        <v>400</v>
      </c>
      <c r="U18" s="42">
        <f>P18/T18</f>
        <v>0.5</v>
      </c>
      <c r="V18" s="43">
        <f>Q18/T18</f>
        <v>0.5</v>
      </c>
      <c r="W18" s="41">
        <f>V18*E$1*C$1</f>
        <v>62.5</v>
      </c>
      <c r="X18" s="44">
        <v>0</v>
      </c>
    </row>
    <row r="19" spans="1:24" x14ac:dyDescent="0.25">
      <c r="A19" s="1" t="s">
        <v>56</v>
      </c>
      <c r="B19" s="30">
        <v>42944</v>
      </c>
      <c r="C19" s="31">
        <v>5</v>
      </c>
      <c r="D19" s="31">
        <v>0</v>
      </c>
      <c r="E19" s="31">
        <v>50</v>
      </c>
      <c r="F19" s="31" t="s">
        <v>38</v>
      </c>
      <c r="G19" s="31" t="s">
        <v>42</v>
      </c>
      <c r="H19" s="32">
        <f>B19-C19-D19-E19</f>
        <v>42889</v>
      </c>
      <c r="I19" s="31">
        <v>2</v>
      </c>
      <c r="J19" s="32">
        <f>B19+(I19*7)</f>
        <v>42958</v>
      </c>
      <c r="K19" s="33">
        <f>(J19-B19)/7</f>
        <v>2</v>
      </c>
      <c r="L19" s="34">
        <v>28</v>
      </c>
      <c r="M19" s="35">
        <v>1</v>
      </c>
      <c r="N19" s="35" t="s">
        <v>40</v>
      </c>
      <c r="O19" s="36">
        <v>0.25</v>
      </c>
      <c r="P19" s="37">
        <f>L19/M19*I19*(1+O19)</f>
        <v>70</v>
      </c>
      <c r="Q19" s="45">
        <f>P19*K19/I19</f>
        <v>70</v>
      </c>
      <c r="R19" s="39">
        <v>2</v>
      </c>
      <c r="S19" s="40">
        <v>8</v>
      </c>
      <c r="T19" s="46">
        <f>R19*C$1/(S19/12)</f>
        <v>150</v>
      </c>
      <c r="U19" s="42">
        <f>P19/T19</f>
        <v>0.46666666666666667</v>
      </c>
      <c r="V19" s="43">
        <f>Q19/T19</f>
        <v>0.46666666666666667</v>
      </c>
      <c r="W19" s="41">
        <f>V19*E$1*C$1</f>
        <v>58.333333333333336</v>
      </c>
      <c r="X19" s="44">
        <v>0</v>
      </c>
    </row>
    <row r="20" spans="1:24" x14ac:dyDescent="0.25">
      <c r="A20" s="1" t="s">
        <v>57</v>
      </c>
      <c r="B20" s="30">
        <v>42944</v>
      </c>
      <c r="C20" s="31">
        <v>7</v>
      </c>
      <c r="D20" s="31">
        <v>56</v>
      </c>
      <c r="E20" s="31">
        <v>45</v>
      </c>
      <c r="F20" s="31" t="s">
        <v>38</v>
      </c>
      <c r="G20" s="31" t="s">
        <v>42</v>
      </c>
      <c r="H20" s="32">
        <f>B20-C20-D20-E20</f>
        <v>42836</v>
      </c>
      <c r="I20" s="31">
        <v>2</v>
      </c>
      <c r="J20" s="32">
        <f>B20+(I20*7)</f>
        <v>42958</v>
      </c>
      <c r="K20" s="33">
        <f>(J20-B20)/7</f>
        <v>2</v>
      </c>
      <c r="L20" s="34">
        <v>56</v>
      </c>
      <c r="M20" s="35">
        <v>1</v>
      </c>
      <c r="N20" s="35" t="s">
        <v>40</v>
      </c>
      <c r="O20" s="36">
        <v>0.25</v>
      </c>
      <c r="P20" s="37">
        <f>L20/M20*I20*(1+O20)</f>
        <v>140</v>
      </c>
      <c r="Q20" s="45">
        <f>P20*K20/I20</f>
        <v>140</v>
      </c>
      <c r="R20" s="39">
        <v>4</v>
      </c>
      <c r="S20" s="40">
        <v>8</v>
      </c>
      <c r="T20" s="46">
        <f>R20*C$1/(S20/12)</f>
        <v>300</v>
      </c>
      <c r="U20" s="42">
        <f>P20/T20</f>
        <v>0.46666666666666667</v>
      </c>
      <c r="V20" s="43">
        <f>Q20/T20</f>
        <v>0.46666666666666667</v>
      </c>
      <c r="W20" s="41">
        <f>V20*E$1*C$1</f>
        <v>58.333333333333336</v>
      </c>
      <c r="X20" s="44">
        <v>0</v>
      </c>
    </row>
    <row r="21" spans="1:24" x14ac:dyDescent="0.25">
      <c r="A21" s="1" t="s">
        <v>58</v>
      </c>
      <c r="B21" s="30">
        <v>42944</v>
      </c>
      <c r="C21" s="31">
        <v>5</v>
      </c>
      <c r="D21" s="31">
        <v>28</v>
      </c>
      <c r="E21" s="31">
        <v>35</v>
      </c>
      <c r="F21" s="31"/>
      <c r="G21" s="31" t="s">
        <v>42</v>
      </c>
      <c r="H21" s="32">
        <f>B21-C21-D21-E21</f>
        <v>42876</v>
      </c>
      <c r="I21" s="31">
        <v>2</v>
      </c>
      <c r="J21" s="32">
        <f>B21+(I21*7)</f>
        <v>42958</v>
      </c>
      <c r="K21" s="33">
        <f>(J21-B21)/7</f>
        <v>2</v>
      </c>
      <c r="L21" s="34">
        <v>56</v>
      </c>
      <c r="M21" s="35">
        <v>1</v>
      </c>
      <c r="N21" s="35" t="s">
        <v>43</v>
      </c>
      <c r="O21" s="36">
        <v>0.25</v>
      </c>
      <c r="P21" s="37">
        <f>L21/M21*I21*(1+O21)</f>
        <v>140</v>
      </c>
      <c r="Q21" s="45">
        <f>P21*K21/I21</f>
        <v>140</v>
      </c>
      <c r="R21" s="39">
        <v>4</v>
      </c>
      <c r="S21" s="40">
        <v>6</v>
      </c>
      <c r="T21" s="46">
        <f>R21*C$1/(S21/12)</f>
        <v>400</v>
      </c>
      <c r="U21" s="42">
        <f>P21/T21</f>
        <v>0.35</v>
      </c>
      <c r="V21" s="43">
        <f>Q21/T21</f>
        <v>0.35</v>
      </c>
      <c r="W21" s="41">
        <f>V21*E$1*C$1</f>
        <v>43.75</v>
      </c>
      <c r="X21" s="44">
        <v>0</v>
      </c>
    </row>
    <row r="22" spans="1:24" x14ac:dyDescent="0.25">
      <c r="A22" s="1" t="s">
        <v>59</v>
      </c>
      <c r="B22" s="30">
        <v>42944</v>
      </c>
      <c r="C22" s="31">
        <v>5</v>
      </c>
      <c r="D22" s="31">
        <v>21</v>
      </c>
      <c r="E22" s="31">
        <v>70</v>
      </c>
      <c r="F22" s="31" t="s">
        <v>38</v>
      </c>
      <c r="G22" s="31" t="s">
        <v>42</v>
      </c>
      <c r="H22" s="32">
        <f>B22-C22-D22-E22</f>
        <v>42848</v>
      </c>
      <c r="I22" s="31">
        <v>3</v>
      </c>
      <c r="J22" s="32">
        <f>B22+(I22*7)</f>
        <v>42965</v>
      </c>
      <c r="K22" s="33">
        <f>(J22-B22)/7</f>
        <v>3</v>
      </c>
      <c r="L22" s="34">
        <v>20</v>
      </c>
      <c r="M22" s="35">
        <v>2</v>
      </c>
      <c r="N22" s="35" t="s">
        <v>43</v>
      </c>
      <c r="O22" s="36">
        <v>0.25</v>
      </c>
      <c r="P22" s="47">
        <f>L22/M22*I22*(1+O22)</f>
        <v>37.5</v>
      </c>
      <c r="Q22" s="45">
        <f>P22*K22/I22</f>
        <v>37.5</v>
      </c>
      <c r="R22" s="39">
        <v>1</v>
      </c>
      <c r="S22" s="40">
        <v>36</v>
      </c>
      <c r="T22" s="41">
        <f>R22*C$1/(S22/12)</f>
        <v>16.666666666666668</v>
      </c>
      <c r="U22" s="42">
        <f>P22/T22</f>
        <v>2.25</v>
      </c>
      <c r="V22" s="43">
        <f>Q22/T22</f>
        <v>2.25</v>
      </c>
      <c r="W22" s="41">
        <f>V22*E$1*C$1</f>
        <v>281.25</v>
      </c>
      <c r="X22" s="44">
        <v>0</v>
      </c>
    </row>
    <row r="23" spans="1:24" x14ac:dyDescent="0.25">
      <c r="A23" s="1" t="s">
        <v>60</v>
      </c>
      <c r="B23" s="30">
        <v>42944</v>
      </c>
      <c r="C23" s="31">
        <v>7</v>
      </c>
      <c r="D23" s="31">
        <v>56</v>
      </c>
      <c r="E23" s="31">
        <v>60</v>
      </c>
      <c r="F23" s="31" t="s">
        <v>38</v>
      </c>
      <c r="G23" s="31" t="s">
        <v>42</v>
      </c>
      <c r="H23" s="32">
        <f>B23-C23-D23-E23</f>
        <v>42821</v>
      </c>
      <c r="I23" s="31">
        <v>2</v>
      </c>
      <c r="J23" s="32">
        <f>B23+(I23*7)</f>
        <v>42958</v>
      </c>
      <c r="K23" s="33">
        <f>(J23-B23)/7</f>
        <v>2</v>
      </c>
      <c r="L23" s="34">
        <v>56</v>
      </c>
      <c r="M23" s="35">
        <v>1</v>
      </c>
      <c r="N23" s="35" t="s">
        <v>40</v>
      </c>
      <c r="O23" s="36">
        <v>0.25</v>
      </c>
      <c r="P23" s="37">
        <f>L23/M23*I23*(1+O23)</f>
        <v>140</v>
      </c>
      <c r="Q23" s="45">
        <f>P23*K23/I23</f>
        <v>140</v>
      </c>
      <c r="R23" s="39">
        <v>4</v>
      </c>
      <c r="S23" s="40">
        <v>4</v>
      </c>
      <c r="T23" s="46">
        <f>R23*C$1/(S23/12)</f>
        <v>600</v>
      </c>
      <c r="U23" s="42">
        <f>P23/T23</f>
        <v>0.23333333333333334</v>
      </c>
      <c r="V23" s="43">
        <f>Q23/T23</f>
        <v>0.23333333333333334</v>
      </c>
      <c r="W23" s="41">
        <f>V23*E$1*C$1</f>
        <v>29.166666666666668</v>
      </c>
      <c r="X23" s="44">
        <v>0</v>
      </c>
    </row>
    <row r="24" spans="1:24" x14ac:dyDescent="0.25">
      <c r="A24" s="1" t="s">
        <v>61</v>
      </c>
      <c r="B24" s="30">
        <v>42944</v>
      </c>
      <c r="C24" s="31">
        <v>7</v>
      </c>
      <c r="D24" s="31">
        <v>56</v>
      </c>
      <c r="E24" s="31">
        <v>60</v>
      </c>
      <c r="F24" s="31" t="s">
        <v>38</v>
      </c>
      <c r="G24" s="31" t="s">
        <v>42</v>
      </c>
      <c r="H24" s="32">
        <f>B24-C24-D24-E24</f>
        <v>42821</v>
      </c>
      <c r="I24" s="31">
        <v>3</v>
      </c>
      <c r="J24" s="32">
        <f>B24+(I24*7)</f>
        <v>42965</v>
      </c>
      <c r="K24" s="33">
        <f>(J24-B24)/7</f>
        <v>3</v>
      </c>
      <c r="L24" s="34">
        <v>28</v>
      </c>
      <c r="M24" s="35">
        <v>1</v>
      </c>
      <c r="N24" s="35" t="s">
        <v>40</v>
      </c>
      <c r="O24" s="36">
        <v>0.25</v>
      </c>
      <c r="P24" s="37">
        <f>L24/M24*I24*(1+O24)</f>
        <v>105</v>
      </c>
      <c r="Q24" s="45">
        <f>P24*K24/I24</f>
        <v>105</v>
      </c>
      <c r="R24" s="39">
        <v>4</v>
      </c>
      <c r="S24" s="40">
        <v>4</v>
      </c>
      <c r="T24" s="46">
        <f>R24*C$1/(S24/12)</f>
        <v>600</v>
      </c>
      <c r="U24" s="42">
        <f>P24/T24</f>
        <v>0.17499999999999999</v>
      </c>
      <c r="V24" s="43">
        <f>Q24/T24</f>
        <v>0.17499999999999999</v>
      </c>
      <c r="W24" s="41">
        <f>V24*E$1*C$1</f>
        <v>21.875</v>
      </c>
      <c r="X24" s="44">
        <v>1</v>
      </c>
    </row>
    <row r="25" spans="1:24" x14ac:dyDescent="0.25">
      <c r="A25" s="1" t="s">
        <v>77</v>
      </c>
      <c r="B25" s="30">
        <v>42944</v>
      </c>
      <c r="C25" s="31">
        <v>14</v>
      </c>
      <c r="D25" s="31">
        <v>0</v>
      </c>
      <c r="E25" s="31">
        <v>70</v>
      </c>
      <c r="F25" s="31"/>
      <c r="G25" s="31" t="s">
        <v>42</v>
      </c>
      <c r="H25" s="32">
        <f>B25-C25-D25-E25</f>
        <v>42860</v>
      </c>
      <c r="I25" s="31">
        <v>2</v>
      </c>
      <c r="J25" s="32">
        <f>B25+(I25*7)</f>
        <v>42958</v>
      </c>
      <c r="K25" s="33">
        <f>(J25-B25)/7</f>
        <v>2</v>
      </c>
      <c r="L25" s="34">
        <v>60</v>
      </c>
      <c r="M25" s="35">
        <v>1</v>
      </c>
      <c r="N25" s="35" t="s">
        <v>40</v>
      </c>
      <c r="O25" s="36">
        <v>0.25</v>
      </c>
      <c r="P25" s="37">
        <f>L25/M25*I25*(1+O25)</f>
        <v>150</v>
      </c>
      <c r="Q25" s="45">
        <f>P25*K25/I25</f>
        <v>150</v>
      </c>
      <c r="R25" s="39">
        <v>4</v>
      </c>
      <c r="S25" s="40">
        <v>2</v>
      </c>
      <c r="T25" s="46">
        <f>R25*C$1/(S25/12)</f>
        <v>1200</v>
      </c>
      <c r="U25" s="42">
        <f>P25/T25</f>
        <v>0.125</v>
      </c>
      <c r="V25" s="43">
        <f>Q25/T25</f>
        <v>0.125</v>
      </c>
      <c r="W25" s="41">
        <f>V25*E$1*C$1</f>
        <v>15.625</v>
      </c>
      <c r="X25" s="44">
        <v>0</v>
      </c>
    </row>
    <row r="26" spans="1:24" x14ac:dyDescent="0.25">
      <c r="A26" s="1" t="s">
        <v>76</v>
      </c>
      <c r="B26" s="30">
        <v>42944</v>
      </c>
      <c r="C26" s="31">
        <v>5</v>
      </c>
      <c r="D26" s="31">
        <v>0</v>
      </c>
      <c r="E26" s="31">
        <v>55</v>
      </c>
      <c r="F26" s="31" t="s">
        <v>38</v>
      </c>
      <c r="G26" s="31" t="s">
        <v>39</v>
      </c>
      <c r="H26" s="32">
        <f>B26-C26-D26-E26</f>
        <v>42884</v>
      </c>
      <c r="I26" s="31">
        <v>11</v>
      </c>
      <c r="J26" s="32">
        <f>B26+(I26*7)</f>
        <v>43021</v>
      </c>
      <c r="K26" s="33">
        <f>(J26-B26)/7</f>
        <v>11</v>
      </c>
      <c r="L26" s="34">
        <v>20</v>
      </c>
      <c r="M26" s="35">
        <v>0.5</v>
      </c>
      <c r="N26" s="35" t="s">
        <v>40</v>
      </c>
      <c r="O26" s="36">
        <v>0.25</v>
      </c>
      <c r="P26" s="37">
        <f>L26/M26*I26*(1+O26)</f>
        <v>550</v>
      </c>
      <c r="Q26" s="45">
        <f>P26*K26/I26</f>
        <v>550</v>
      </c>
      <c r="R26" s="39">
        <v>2</v>
      </c>
      <c r="S26" s="40">
        <v>6</v>
      </c>
      <c r="T26" s="46">
        <f>R26*C$1/(S26/12)</f>
        <v>200</v>
      </c>
      <c r="U26" s="46">
        <f>P26/T26</f>
        <v>2.75</v>
      </c>
      <c r="V26" s="43">
        <f>Q26/T26</f>
        <v>2.75</v>
      </c>
      <c r="W26" s="41">
        <f>V26*E$1*C$1</f>
        <v>343.75</v>
      </c>
      <c r="X26" s="44">
        <v>5</v>
      </c>
    </row>
    <row r="27" spans="1:24" x14ac:dyDescent="0.25">
      <c r="A27" s="1" t="s">
        <v>62</v>
      </c>
      <c r="B27" s="30">
        <v>42944</v>
      </c>
      <c r="C27" s="31">
        <v>5</v>
      </c>
      <c r="D27" s="31">
        <v>0</v>
      </c>
      <c r="E27" s="31">
        <v>55</v>
      </c>
      <c r="F27" s="31"/>
      <c r="G27" s="31" t="s">
        <v>42</v>
      </c>
      <c r="H27" s="32">
        <f>B27-C27-D27-E27</f>
        <v>42884</v>
      </c>
      <c r="I27" s="31">
        <v>4</v>
      </c>
      <c r="J27" s="32">
        <f>B27+(I27*7)</f>
        <v>42972</v>
      </c>
      <c r="K27" s="33">
        <f>(J27-B27)/7</f>
        <v>4</v>
      </c>
      <c r="L27" s="34">
        <v>20</v>
      </c>
      <c r="M27" s="35">
        <v>0.5</v>
      </c>
      <c r="N27" s="35" t="s">
        <v>43</v>
      </c>
      <c r="O27" s="36">
        <v>0.25</v>
      </c>
      <c r="P27" s="37">
        <f>L27/M27*I27*(1+O27)</f>
        <v>200</v>
      </c>
      <c r="Q27" s="45">
        <f>P27*K27/I27</f>
        <v>200</v>
      </c>
      <c r="R27" s="39">
        <v>2</v>
      </c>
      <c r="S27" s="40">
        <v>6</v>
      </c>
      <c r="T27" s="46">
        <f>R27*C$1/(S27/12)</f>
        <v>200</v>
      </c>
      <c r="U27" s="46">
        <f>P27/T27</f>
        <v>1</v>
      </c>
      <c r="V27" s="43">
        <f>Q27/T27</f>
        <v>1</v>
      </c>
      <c r="W27" s="41">
        <f>V27*E$1*C$1</f>
        <v>125</v>
      </c>
      <c r="X27" s="44">
        <v>0</v>
      </c>
    </row>
    <row r="28" spans="1:24" x14ac:dyDescent="0.25">
      <c r="A28" s="1" t="s">
        <v>63</v>
      </c>
      <c r="B28" s="30">
        <v>42944</v>
      </c>
      <c r="C28" s="31">
        <v>5</v>
      </c>
      <c r="D28" s="31">
        <v>35</v>
      </c>
      <c r="E28" s="31">
        <v>45</v>
      </c>
      <c r="F28" s="31" t="s">
        <v>38</v>
      </c>
      <c r="G28" s="31" t="s">
        <v>39</v>
      </c>
      <c r="H28" s="32">
        <f>B28-C28-D28-E28</f>
        <v>42859</v>
      </c>
      <c r="I28" s="31">
        <v>6</v>
      </c>
      <c r="J28" s="32">
        <f>B28+(I28*7)</f>
        <v>42986</v>
      </c>
      <c r="K28" s="33">
        <f>(J28-B28)/7</f>
        <v>6</v>
      </c>
      <c r="L28" s="34">
        <v>56</v>
      </c>
      <c r="M28" s="35">
        <v>4</v>
      </c>
      <c r="N28" s="35" t="s">
        <v>40</v>
      </c>
      <c r="O28" s="36">
        <v>0.25</v>
      </c>
      <c r="P28" s="37">
        <f>L28/M28*I28*(1+O28)</f>
        <v>105</v>
      </c>
      <c r="Q28" s="38">
        <f>P28*K28/I28</f>
        <v>105</v>
      </c>
      <c r="R28" s="39">
        <v>2</v>
      </c>
      <c r="S28" s="40">
        <v>18</v>
      </c>
      <c r="T28" s="41">
        <f>R28*C$1/(S28/12)</f>
        <v>66.666666666666671</v>
      </c>
      <c r="U28" s="42">
        <f>P28/T28</f>
        <v>1.575</v>
      </c>
      <c r="V28" s="43">
        <f>Q28/T28</f>
        <v>1.575</v>
      </c>
      <c r="W28" s="41">
        <f>V28*E$1*C$1</f>
        <v>196.875</v>
      </c>
      <c r="X28" s="44">
        <v>0</v>
      </c>
    </row>
    <row r="29" spans="1:24" x14ac:dyDescent="0.25">
      <c r="A29" s="1" t="s">
        <v>64</v>
      </c>
      <c r="B29" s="30">
        <v>42944</v>
      </c>
      <c r="C29" s="31">
        <v>5</v>
      </c>
      <c r="D29" s="31">
        <v>21</v>
      </c>
      <c r="E29" s="31">
        <v>70</v>
      </c>
      <c r="F29" s="31" t="s">
        <v>38</v>
      </c>
      <c r="G29" s="31" t="s">
        <v>39</v>
      </c>
      <c r="H29" s="32">
        <f>B29-C29-D29-E29</f>
        <v>42848</v>
      </c>
      <c r="I29" s="31">
        <v>3</v>
      </c>
      <c r="J29" s="32">
        <f>B29+(I29*7)</f>
        <v>42965</v>
      </c>
      <c r="K29" s="33">
        <f>(J29-B29)/7</f>
        <v>3</v>
      </c>
      <c r="L29" s="34">
        <v>28</v>
      </c>
      <c r="M29" s="35">
        <v>2</v>
      </c>
      <c r="N29" s="35" t="s">
        <v>40</v>
      </c>
      <c r="O29" s="36">
        <v>0.25</v>
      </c>
      <c r="P29" s="47">
        <f>L29/M29*I29*(1+O29)</f>
        <v>52.5</v>
      </c>
      <c r="Q29" s="45">
        <f>P29*K29/I29</f>
        <v>52.5</v>
      </c>
      <c r="R29" s="39">
        <v>1</v>
      </c>
      <c r="S29" s="40">
        <v>36</v>
      </c>
      <c r="T29" s="41">
        <f>R29*C$1/(S29/12)</f>
        <v>16.666666666666668</v>
      </c>
      <c r="U29" s="42">
        <f>P29/T29</f>
        <v>3.15</v>
      </c>
      <c r="V29" s="43">
        <f>Q29/T29</f>
        <v>3.15</v>
      </c>
      <c r="W29" s="41">
        <f>V29*E$1*C$1</f>
        <v>393.75</v>
      </c>
      <c r="X29" s="44">
        <v>0</v>
      </c>
    </row>
    <row r="30" spans="1:24" x14ac:dyDescent="0.25">
      <c r="A30" s="1" t="s">
        <v>65</v>
      </c>
      <c r="B30" s="30">
        <v>42944</v>
      </c>
      <c r="C30" s="31">
        <v>7</v>
      </c>
      <c r="D30" s="31">
        <v>0</v>
      </c>
      <c r="E30" s="31">
        <v>30</v>
      </c>
      <c r="F30" s="31"/>
      <c r="G30" s="31" t="s">
        <v>66</v>
      </c>
      <c r="H30" s="32">
        <f>B30-C30-D30-E30</f>
        <v>42907</v>
      </c>
      <c r="I30" s="31">
        <v>2</v>
      </c>
      <c r="J30" s="32">
        <f>B30+(I30*7)</f>
        <v>42958</v>
      </c>
      <c r="K30" s="33">
        <f>(J30-B30)/7</f>
        <v>2</v>
      </c>
      <c r="L30" s="34">
        <v>168</v>
      </c>
      <c r="M30" s="35">
        <v>1</v>
      </c>
      <c r="N30" s="35" t="s">
        <v>40</v>
      </c>
      <c r="O30" s="36">
        <v>0.25</v>
      </c>
      <c r="P30" s="37">
        <f>L30/M30*I30*(1+O30)</f>
        <v>420</v>
      </c>
      <c r="Q30" s="45">
        <f>P30*K30/I30</f>
        <v>420</v>
      </c>
      <c r="R30" s="39">
        <v>4</v>
      </c>
      <c r="S30" s="40">
        <v>1.5</v>
      </c>
      <c r="T30" s="46">
        <f>R30*C$1/(S30/12)</f>
        <v>1600</v>
      </c>
      <c r="U30" s="42">
        <f>P30/T30</f>
        <v>0.26250000000000001</v>
      </c>
      <c r="V30" s="43">
        <f>Q30/T30</f>
        <v>0.26250000000000001</v>
      </c>
      <c r="W30" s="41">
        <f>V30*E$1*C$1</f>
        <v>32.8125</v>
      </c>
      <c r="X30" s="44">
        <v>0</v>
      </c>
    </row>
    <row r="31" spans="1:24" x14ac:dyDescent="0.25">
      <c r="A31" s="1" t="s">
        <v>67</v>
      </c>
      <c r="B31" s="30">
        <v>42944</v>
      </c>
      <c r="C31" s="31">
        <v>5</v>
      </c>
      <c r="D31" s="31">
        <v>0</v>
      </c>
      <c r="E31" s="31">
        <v>55</v>
      </c>
      <c r="F31" s="31"/>
      <c r="G31" s="31" t="s">
        <v>42</v>
      </c>
      <c r="H31" s="32">
        <f>B31-C31-D31-E31</f>
        <v>42884</v>
      </c>
      <c r="I31" s="31">
        <v>6</v>
      </c>
      <c r="J31" s="32">
        <f>B31+(I31*7)</f>
        <v>42986</v>
      </c>
      <c r="K31" s="33">
        <f>(J31-B31)/7</f>
        <v>6</v>
      </c>
      <c r="L31" s="34">
        <v>20</v>
      </c>
      <c r="M31" s="35">
        <v>0.5</v>
      </c>
      <c r="N31" s="35" t="s">
        <v>43</v>
      </c>
      <c r="O31" s="36">
        <v>0.25</v>
      </c>
      <c r="P31" s="37">
        <f>L31/M31*I31*(1+O31)</f>
        <v>300</v>
      </c>
      <c r="Q31" s="45">
        <f>P31*K31/I31</f>
        <v>300</v>
      </c>
      <c r="R31" s="39">
        <v>2</v>
      </c>
      <c r="S31" s="40">
        <v>6</v>
      </c>
      <c r="T31" s="46">
        <f>R31*C$1/(S31/12)</f>
        <v>200</v>
      </c>
      <c r="U31" s="46">
        <f>P31/T31</f>
        <v>1.5</v>
      </c>
      <c r="V31" s="43">
        <f>Q31/T31</f>
        <v>1.5</v>
      </c>
      <c r="W31" s="41">
        <f>V31*E$1*C$1</f>
        <v>187.5</v>
      </c>
      <c r="X31" s="44">
        <v>0</v>
      </c>
    </row>
    <row r="32" spans="1:24" x14ac:dyDescent="0.25">
      <c r="A32" s="1" t="s">
        <v>68</v>
      </c>
      <c r="B32" s="30">
        <v>42944</v>
      </c>
      <c r="C32" s="31">
        <v>5</v>
      </c>
      <c r="D32" s="31">
        <v>0</v>
      </c>
      <c r="E32" s="31">
        <v>55</v>
      </c>
      <c r="F32" s="31" t="s">
        <v>38</v>
      </c>
      <c r="G32" s="31" t="s">
        <v>42</v>
      </c>
      <c r="H32" s="32">
        <f>B32-C32-D32-E32</f>
        <v>42884</v>
      </c>
      <c r="I32" s="31">
        <v>7</v>
      </c>
      <c r="J32" s="32">
        <f>B32+(I32*7)</f>
        <v>42993</v>
      </c>
      <c r="K32" s="33">
        <f>(J32-B32)/7</f>
        <v>7</v>
      </c>
      <c r="L32" s="34">
        <v>20</v>
      </c>
      <c r="M32" s="35">
        <v>0.5</v>
      </c>
      <c r="N32" s="35" t="s">
        <v>43</v>
      </c>
      <c r="O32" s="36">
        <v>0.25</v>
      </c>
      <c r="P32" s="37">
        <f>L32/M32*I32*(1+O32)</f>
        <v>350</v>
      </c>
      <c r="Q32" s="45">
        <f>P32*K32/I32</f>
        <v>350</v>
      </c>
      <c r="R32" s="39">
        <v>2</v>
      </c>
      <c r="S32" s="40">
        <v>6</v>
      </c>
      <c r="T32" s="46">
        <f>R32*C$1/(S32/12)</f>
        <v>200</v>
      </c>
      <c r="U32" s="46">
        <f>P32/T32</f>
        <v>1.75</v>
      </c>
      <c r="V32" s="43">
        <f>Q32/T32</f>
        <v>1.75</v>
      </c>
      <c r="W32" s="41">
        <f>V32*E$1*C$1</f>
        <v>218.75</v>
      </c>
      <c r="X32" s="44">
        <v>1</v>
      </c>
    </row>
    <row r="33" spans="1:24" x14ac:dyDescent="0.25">
      <c r="A33" s="1" t="s">
        <v>69</v>
      </c>
      <c r="B33" s="30">
        <v>42944</v>
      </c>
      <c r="C33" s="31">
        <v>5</v>
      </c>
      <c r="D33" s="31">
        <v>28</v>
      </c>
      <c r="E33" s="31">
        <v>35</v>
      </c>
      <c r="F33" s="31" t="s">
        <v>38</v>
      </c>
      <c r="G33" s="31" t="s">
        <v>42</v>
      </c>
      <c r="H33" s="32">
        <f>B33-C33-D33-E33</f>
        <v>42876</v>
      </c>
      <c r="I33" s="31">
        <v>2</v>
      </c>
      <c r="J33" s="32">
        <f>B33+(I33*7)</f>
        <v>42958</v>
      </c>
      <c r="K33" s="33">
        <f>(J33-B33)/7</f>
        <v>2</v>
      </c>
      <c r="L33" s="34">
        <v>84</v>
      </c>
      <c r="M33" s="35">
        <v>1</v>
      </c>
      <c r="N33" s="35" t="s">
        <v>40</v>
      </c>
      <c r="O33" s="36">
        <v>0.25</v>
      </c>
      <c r="P33" s="37">
        <f>L33/M33*I33*(1+O33)</f>
        <v>210</v>
      </c>
      <c r="Q33" s="45">
        <f>P33*K33/I33</f>
        <v>210</v>
      </c>
      <c r="R33" s="39">
        <v>2</v>
      </c>
      <c r="S33" s="40">
        <v>12</v>
      </c>
      <c r="T33" s="46">
        <f>R33*C$1/(S33/12)</f>
        <v>100</v>
      </c>
      <c r="U33" s="42">
        <f>P33/T33</f>
        <v>2.1</v>
      </c>
      <c r="V33" s="43">
        <f>Q33/T33</f>
        <v>2.1</v>
      </c>
      <c r="W33" s="41">
        <f>V33*E$1*C$1</f>
        <v>262.5</v>
      </c>
      <c r="X33" s="44">
        <v>0</v>
      </c>
    </row>
    <row r="34" spans="1:24" x14ac:dyDescent="0.25">
      <c r="A34" s="1" t="s">
        <v>70</v>
      </c>
      <c r="B34" s="30">
        <v>42944</v>
      </c>
      <c r="C34" s="31">
        <v>5</v>
      </c>
      <c r="D34" s="31">
        <v>21</v>
      </c>
      <c r="E34" s="31">
        <v>45</v>
      </c>
      <c r="F34" s="31" t="s">
        <v>38</v>
      </c>
      <c r="G34" s="31" t="s">
        <v>39</v>
      </c>
      <c r="H34" s="32">
        <f>B34-C34-D34-E34</f>
        <v>42873</v>
      </c>
      <c r="I34" s="31">
        <v>4</v>
      </c>
      <c r="J34" s="32">
        <f>B34+(I34*7)</f>
        <v>42972</v>
      </c>
      <c r="K34" s="33">
        <f>(J34-B34)/7</f>
        <v>4</v>
      </c>
      <c r="L34" s="34">
        <v>20</v>
      </c>
      <c r="M34" s="35">
        <v>3</v>
      </c>
      <c r="N34" s="35" t="s">
        <v>40</v>
      </c>
      <c r="O34" s="36">
        <v>0.25</v>
      </c>
      <c r="P34" s="47">
        <f>L34/M34*I34*(1+O34)</f>
        <v>33.333333333333336</v>
      </c>
      <c r="Q34" s="38">
        <f>P34*K34/I34</f>
        <v>33.333333333333336</v>
      </c>
      <c r="R34" s="39">
        <v>1</v>
      </c>
      <c r="S34" s="40">
        <v>18</v>
      </c>
      <c r="T34" s="41">
        <f>R34*C$1/(S34/12)</f>
        <v>33.333333333333336</v>
      </c>
      <c r="U34" s="42">
        <f>P34/T34</f>
        <v>1</v>
      </c>
      <c r="V34" s="43">
        <f>Q34/T34</f>
        <v>1</v>
      </c>
      <c r="W34" s="41">
        <f>V34*E$1*C$1</f>
        <v>125</v>
      </c>
      <c r="X34" s="44">
        <v>0</v>
      </c>
    </row>
    <row r="35" spans="1:24" x14ac:dyDescent="0.25">
      <c r="A35" s="1" t="s">
        <v>71</v>
      </c>
      <c r="B35" s="30">
        <v>42944</v>
      </c>
      <c r="C35" s="31">
        <v>5</v>
      </c>
      <c r="D35" s="31">
        <v>21</v>
      </c>
      <c r="E35" s="31">
        <v>70</v>
      </c>
      <c r="F35" s="31" t="s">
        <v>38</v>
      </c>
      <c r="G35" s="31" t="s">
        <v>39</v>
      </c>
      <c r="H35" s="32">
        <f>B35-C35-D35-E35</f>
        <v>42848</v>
      </c>
      <c r="I35" s="31">
        <v>3</v>
      </c>
      <c r="J35" s="32">
        <f>B35+(I35*7)</f>
        <v>42965</v>
      </c>
      <c r="K35" s="33">
        <f>(J35-B35)/7</f>
        <v>3</v>
      </c>
      <c r="L35" s="34">
        <v>28</v>
      </c>
      <c r="M35" s="35">
        <v>2</v>
      </c>
      <c r="N35" s="35" t="s">
        <v>40</v>
      </c>
      <c r="O35" s="36">
        <v>0.25</v>
      </c>
      <c r="P35" s="47">
        <f>L35/M35*I35*(1+O35)</f>
        <v>52.5</v>
      </c>
      <c r="Q35" s="45">
        <f>P35*K35/I35</f>
        <v>52.5</v>
      </c>
      <c r="R35" s="39">
        <v>1</v>
      </c>
      <c r="S35" s="40">
        <v>36</v>
      </c>
      <c r="T35" s="41">
        <f>R35*C$1/(S35/12)</f>
        <v>16.666666666666668</v>
      </c>
      <c r="U35" s="42">
        <f>P35/T35</f>
        <v>3.15</v>
      </c>
      <c r="V35" s="43">
        <f>Q35/T35</f>
        <v>3.15</v>
      </c>
      <c r="W35" s="41">
        <f>V35*E$1*C$1</f>
        <v>393.75</v>
      </c>
      <c r="X35" s="44">
        <v>0</v>
      </c>
    </row>
    <row r="36" spans="1:24" x14ac:dyDescent="0.25">
      <c r="A36" s="1" t="s">
        <v>72</v>
      </c>
      <c r="B36" s="30">
        <v>42944</v>
      </c>
      <c r="C36" s="31">
        <v>5</v>
      </c>
      <c r="D36" s="31">
        <v>0</v>
      </c>
      <c r="E36" s="31">
        <v>70</v>
      </c>
      <c r="F36" s="31"/>
      <c r="G36" s="31" t="s">
        <v>42</v>
      </c>
      <c r="H36" s="32">
        <f>B36-C36-D36-E36</f>
        <v>42869</v>
      </c>
      <c r="I36" s="31">
        <v>2</v>
      </c>
      <c r="J36" s="32">
        <f>B36+(I36*7)</f>
        <v>42958</v>
      </c>
      <c r="K36" s="33">
        <f>(J36-B36)/7</f>
        <v>2</v>
      </c>
      <c r="L36" s="34">
        <v>20</v>
      </c>
      <c r="M36" s="35">
        <v>1</v>
      </c>
      <c r="N36" s="35" t="s">
        <v>43</v>
      </c>
      <c r="O36" s="36">
        <v>0.25</v>
      </c>
      <c r="P36" s="37">
        <f>L36/M36*I36*(1+O36)</f>
        <v>50</v>
      </c>
      <c r="Q36" s="45">
        <f>P36*K36/I36</f>
        <v>50</v>
      </c>
      <c r="R36" s="39">
        <v>2</v>
      </c>
      <c r="S36" s="40">
        <v>6</v>
      </c>
      <c r="T36" s="46">
        <f>R36*C$1/(S36/12)</f>
        <v>200</v>
      </c>
      <c r="U36" s="42">
        <f>P36/T36</f>
        <v>0.25</v>
      </c>
      <c r="V36" s="43">
        <f>Q36/T36</f>
        <v>0.25</v>
      </c>
      <c r="W36" s="41">
        <f>V36*E$1*C$1</f>
        <v>31.25</v>
      </c>
      <c r="X36" s="44">
        <v>0</v>
      </c>
    </row>
    <row r="37" spans="1:24" x14ac:dyDescent="0.25">
      <c r="A37" s="1" t="s">
        <v>73</v>
      </c>
      <c r="B37" s="30">
        <v>42944</v>
      </c>
      <c r="C37" s="31">
        <v>5</v>
      </c>
      <c r="D37" s="31">
        <v>0</v>
      </c>
      <c r="E37" s="31">
        <v>55</v>
      </c>
      <c r="F37" s="31" t="s">
        <v>38</v>
      </c>
      <c r="G37" s="31" t="s">
        <v>39</v>
      </c>
      <c r="H37" s="32">
        <f>B37-C37-D37-E37</f>
        <v>42884</v>
      </c>
      <c r="I37" s="31">
        <v>8</v>
      </c>
      <c r="J37" s="32">
        <f>B37+(I37*7)</f>
        <v>43000</v>
      </c>
      <c r="K37" s="33">
        <f>(J37-B37)/7</f>
        <v>8</v>
      </c>
      <c r="L37" s="34">
        <v>84</v>
      </c>
      <c r="M37" s="35">
        <v>0.5</v>
      </c>
      <c r="N37" s="35" t="s">
        <v>40</v>
      </c>
      <c r="O37" s="36">
        <v>0.25</v>
      </c>
      <c r="P37" s="37">
        <f>L37/M37*I37*(1+O37)</f>
        <v>1680</v>
      </c>
      <c r="Q37" s="45">
        <f>P37*K37/I37</f>
        <v>1680</v>
      </c>
      <c r="R37" s="39">
        <v>2</v>
      </c>
      <c r="S37" s="40">
        <v>6</v>
      </c>
      <c r="T37" s="46">
        <f>R37*C$1/(S37/12)</f>
        <v>200</v>
      </c>
      <c r="U37" s="46">
        <f>P37/T37</f>
        <v>8.4</v>
      </c>
      <c r="V37" s="43">
        <f>Q37/T37</f>
        <v>8.4</v>
      </c>
      <c r="W37" s="41">
        <f>V37*E$1*C$1</f>
        <v>1050</v>
      </c>
      <c r="X37" s="44">
        <v>2</v>
      </c>
    </row>
    <row r="38" spans="1:24" x14ac:dyDescent="0.25">
      <c r="A38" s="1" t="s">
        <v>78</v>
      </c>
      <c r="B38" s="30">
        <v>42944</v>
      </c>
      <c r="C38" s="31">
        <v>5</v>
      </c>
      <c r="D38" s="31">
        <v>0</v>
      </c>
      <c r="E38" s="31">
        <v>60</v>
      </c>
      <c r="F38" s="31" t="s">
        <v>38</v>
      </c>
      <c r="G38" s="31" t="s">
        <v>42</v>
      </c>
      <c r="H38" s="32">
        <f>B38-C38-D38-E38</f>
        <v>42879</v>
      </c>
      <c r="I38" s="31">
        <v>8</v>
      </c>
      <c r="J38" s="32">
        <f>B38+(I38*7)</f>
        <v>43000</v>
      </c>
      <c r="K38" s="33">
        <f>(J38-B38)/7</f>
        <v>8</v>
      </c>
      <c r="L38" s="34"/>
      <c r="M38" s="35">
        <v>1</v>
      </c>
      <c r="N38" s="35" t="s">
        <v>43</v>
      </c>
      <c r="O38" s="36">
        <v>0.25</v>
      </c>
      <c r="P38" s="37">
        <f>L38/M38*I38*(1+O38)</f>
        <v>0</v>
      </c>
      <c r="Q38" s="45">
        <f>P38*K38/I38</f>
        <v>0</v>
      </c>
      <c r="R38" s="39">
        <v>4</v>
      </c>
      <c r="S38" s="40">
        <v>6</v>
      </c>
      <c r="T38" s="46">
        <f>R38*C$1/(S38/12)</f>
        <v>400</v>
      </c>
      <c r="U38" s="42">
        <f>P38/T38</f>
        <v>0</v>
      </c>
      <c r="V38" s="43">
        <f>Q38/T38</f>
        <v>0</v>
      </c>
      <c r="W38" s="41">
        <f>V38*E$1*C$1</f>
        <v>0</v>
      </c>
      <c r="X38" s="44">
        <v>0</v>
      </c>
    </row>
    <row r="39" spans="1:24" x14ac:dyDescent="0.25">
      <c r="A39" s="1" t="s">
        <v>74</v>
      </c>
      <c r="B39" s="30">
        <v>42944</v>
      </c>
      <c r="C39" s="31">
        <v>5</v>
      </c>
      <c r="D39" s="31">
        <v>42</v>
      </c>
      <c r="E39" s="31">
        <v>55</v>
      </c>
      <c r="F39" s="31" t="s">
        <v>38</v>
      </c>
      <c r="G39" s="31" t="s">
        <v>39</v>
      </c>
      <c r="H39" s="32">
        <f>B39-C39-D39-E39</f>
        <v>42842</v>
      </c>
      <c r="I39" s="31">
        <v>6</v>
      </c>
      <c r="J39" s="32">
        <f>B39+(I39*7)</f>
        <v>42986</v>
      </c>
      <c r="K39" s="33">
        <f>(J39-B39)/7</f>
        <v>6</v>
      </c>
      <c r="L39" s="34">
        <v>168</v>
      </c>
      <c r="M39" s="35">
        <v>6</v>
      </c>
      <c r="N39" s="35" t="s">
        <v>40</v>
      </c>
      <c r="O39" s="36">
        <v>0.25</v>
      </c>
      <c r="P39" s="47">
        <f>L39/M39*I39*(1+O39)</f>
        <v>210</v>
      </c>
      <c r="Q39" s="38">
        <f>P39*K39/I39</f>
        <v>210</v>
      </c>
      <c r="R39" s="39">
        <v>1</v>
      </c>
      <c r="S39" s="40">
        <v>24</v>
      </c>
      <c r="T39" s="41">
        <f>R39*C$1/(S39/12)</f>
        <v>25</v>
      </c>
      <c r="U39" s="42">
        <f>P39/T39</f>
        <v>8.4</v>
      </c>
      <c r="V39" s="43">
        <f>Q39/T39</f>
        <v>8.4</v>
      </c>
      <c r="W39" s="41">
        <f>V39*E$1*C$1</f>
        <v>1050</v>
      </c>
      <c r="X39" s="44">
        <v>0</v>
      </c>
    </row>
    <row r="40" spans="1:24" x14ac:dyDescent="0.25">
      <c r="A40" s="1" t="s">
        <v>75</v>
      </c>
      <c r="B40" s="30">
        <v>42944</v>
      </c>
      <c r="C40" s="31">
        <v>5</v>
      </c>
      <c r="D40" s="31">
        <v>0</v>
      </c>
      <c r="E40" s="31">
        <v>40</v>
      </c>
      <c r="F40" s="31"/>
      <c r="G40" s="31" t="s">
        <v>42</v>
      </c>
      <c r="H40" s="32">
        <f>B40-C40-D40-E40</f>
        <v>42899</v>
      </c>
      <c r="I40" s="31">
        <v>2</v>
      </c>
      <c r="J40" s="32">
        <f>B40+(I40*7)</f>
        <v>42958</v>
      </c>
      <c r="K40" s="33">
        <f>(J40-B40)/7</f>
        <v>2</v>
      </c>
      <c r="L40" s="34">
        <v>56</v>
      </c>
      <c r="M40" s="35">
        <v>1</v>
      </c>
      <c r="N40" s="35" t="s">
        <v>40</v>
      </c>
      <c r="O40" s="36">
        <v>0.25</v>
      </c>
      <c r="P40" s="37">
        <f>L40/M40*I40*(1+O40)</f>
        <v>140</v>
      </c>
      <c r="Q40" s="45">
        <f>P40*K40/I40</f>
        <v>140</v>
      </c>
      <c r="R40" s="39">
        <v>4</v>
      </c>
      <c r="S40" s="40">
        <v>6</v>
      </c>
      <c r="T40" s="46">
        <f>R40*C$1/(S40/12)</f>
        <v>400</v>
      </c>
      <c r="U40" s="42">
        <f>P40/T40</f>
        <v>0.35</v>
      </c>
      <c r="V40" s="43">
        <f>Q40/T40</f>
        <v>0.35</v>
      </c>
      <c r="W40" s="41">
        <f>V40*E$1*C$1</f>
        <v>43.75</v>
      </c>
      <c r="X40" s="44">
        <v>0</v>
      </c>
    </row>
  </sheetData>
  <mergeCells count="5">
    <mergeCell ref="L1:M1"/>
    <mergeCell ref="L2:M2"/>
    <mergeCell ref="B3:K3"/>
    <mergeCell ref="L3:Q3"/>
    <mergeCell ref="R3:X3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旭 鲁</cp:lastModifiedBy>
  <dcterms:created xsi:type="dcterms:W3CDTF">2024-11-25T16:10:25Z</dcterms:created>
  <dcterms:modified xsi:type="dcterms:W3CDTF">2024-11-25T16:37:34Z</dcterms:modified>
</cp:coreProperties>
</file>