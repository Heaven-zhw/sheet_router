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Days_Individuals_Are_Infectious">'[1]Detailed COVID Calculations - 1'!$C$11</definedName>
    <definedName name="Fatality_Rate_Child">'[1]Detailed COVID Calculations - 1'!$C$51</definedName>
    <definedName name="Fatality_Rate_Over_60">'[1]Detailed COVID Calculations - 1'!$C$53</definedName>
    <definedName name="Infection_Rate_within_HH">'[1]Detailed COVID Calculations - 1'!$C$48</definedName>
    <definedName name="Number_of_Visits_per_Patient">'[1]Detailed COVID Calculations - 1'!$C$6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<sst xmlns="http://schemas.openxmlformats.org/spreadsheetml/2006/main" count="106" uniqueCount="103">
  <si>
    <t>d</t>
  </si>
  <si>
    <t>LiST Input Data - MNH Coverage Data WITH Mitigation Measures</t>
  </si>
  <si>
    <t>HIDDEN</t>
  </si>
  <si>
    <t>2. Data to be Entered into LiST Module</t>
  </si>
  <si>
    <t>Selected</t>
  </si>
  <si>
    <t>Int# in LiST</t>
  </si>
  <si>
    <t>2019 Pre-COVID</t>
  </si>
  <si>
    <t>2020 With COVID</t>
  </si>
  <si>
    <t>2021 WITH Mitigation</t>
  </si>
  <si>
    <t>Periconceptual</t>
  </si>
  <si>
    <t>Folic acid supplementation/fortification</t>
  </si>
  <si>
    <t>Safe abortion services</t>
  </si>
  <si>
    <t>Post abortion case management</t>
  </si>
  <si>
    <t>Ectopic pregnancy case management</t>
  </si>
  <si>
    <t>Blanket iron supplementation/fortification</t>
  </si>
  <si>
    <t>x</t>
  </si>
  <si>
    <t>Pregnancy/ Antenatal Care</t>
  </si>
  <si>
    <t>Antenatal care (at least 1 visit)</t>
  </si>
  <si>
    <t>Antenatal care (at least 4 visits)</t>
  </si>
  <si>
    <t>Routine</t>
  </si>
  <si>
    <t>TT - Tetanus toxoid vaccination</t>
  </si>
  <si>
    <t>IPTp - Intermittent preventive treatment of malaria during pregnancy</t>
  </si>
  <si>
    <t>Syphilis detection and treatment</t>
  </si>
  <si>
    <t>Nutritional</t>
  </si>
  <si>
    <t>Calcium supplementation</t>
  </si>
  <si>
    <t>Micronutrient supplementation (iron and multiple m.)</t>
  </si>
  <si>
    <t>Iron supplementation in pregnancy</t>
  </si>
  <si>
    <t>Multiple micronutrient supplementation in pregnancy</t>
  </si>
  <si>
    <t>Balanced energy supplementation</t>
  </si>
  <si>
    <t>Case Management</t>
  </si>
  <si>
    <t>Hypertensive disorder case management</t>
  </si>
  <si>
    <t>Diabetes case management</t>
  </si>
  <si>
    <t>Malaria case management</t>
  </si>
  <si>
    <t>MgSO4 management of pre-eclampsia</t>
  </si>
  <si>
    <t>Childbirth/ 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</si>
  <si>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</si>
  <si>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</si>
  <si>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</si>
  <si>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</si>
  <si>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</si>
  <si>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</si>
  <si>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Basic emergency care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</si>
  <si>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</si>
  <si>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</si>
  <si>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</si>
  <si>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</si>
  <si>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</si>
  <si>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</si>
  <si>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</si>
  <si>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</si>
  <si>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</si>
  <si>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Comprehensive emergency care</t>
  </si>
  <si>
    <t>Cesarean delivery</t>
  </si>
  <si>
    <t>Blood transfusion</t>
  </si>
  <si>
    <t>Breastfeeding see below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</si>
  <si>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</si>
  <si>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</si>
  <si>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</si>
  <si>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</si>
  <si>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</si>
  <si>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</si>
  <si>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</si>
  <si>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Basis sanitation</t>
  </si>
  <si>
    <t>Point-of-use filtered water</t>
  </si>
  <si>
    <t>Piped water</t>
  </si>
  <si>
    <t>Hand washing with soap</t>
  </si>
  <si>
    <t>Hygienic disposal of children's stool</t>
  </si>
  <si>
    <t>Other</t>
  </si>
  <si>
    <t>ITN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</si>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</sst>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9">
    <font>
      <sz val="11"/>
      <color theme="1"/>
      <name val="宋体"/>
      <charset val="134"/>
      <scheme val="minor"/>
    </font>
    <font>
      <sz val="14"/>
      <color theme="1"/>
      <name val="Britannic Bold"/>
      <charset val="134"/>
    </font>
    <font>
      <sz val="10"/>
      <color theme="1"/>
      <name val="Century Gothic"/>
      <charset val="134"/>
    </font>
    <font>
      <sz val="9"/>
      <color rgb="FFC00000"/>
      <name val="宋体"/>
      <charset val="134"/>
      <scheme val="minor"/>
    </font>
    <font>
      <b/>
      <sz val="11"/>
      <color theme="1"/>
      <name val="Century Gothic"/>
      <charset val="134"/>
    </font>
    <font>
      <b/>
      <sz val="9"/>
      <color theme="0"/>
      <name val="Arial Narrow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b/>
      <sz val="9"/>
      <color theme="0"/>
      <name val="Century Gothic"/>
      <charset val="134"/>
    </font>
    <font>
      <sz val="10"/>
      <name val="Century Gothic"/>
      <charset val="134"/>
    </font>
    <font>
      <b/>
      <sz val="10"/>
      <color theme="1"/>
      <name val="Century Gothic"/>
      <charset val="134"/>
    </font>
    <font>
      <b/>
      <i/>
      <sz val="9"/>
      <name val="Century Gothic"/>
      <charset val="134"/>
    </font>
    <font>
      <u/>
      <sz val="10"/>
      <name val="Century Gothic"/>
      <charset val="134"/>
    </font>
    <font>
      <b/>
      <i/>
      <sz val="10"/>
      <name val="Century Gothic"/>
      <charset val="134"/>
    </font>
    <font>
      <b/>
      <i/>
      <sz val="9"/>
      <color theme="1"/>
      <name val="Century Gothic"/>
      <charset val="134"/>
    </font>
    <font>
      <u/>
      <sz val="10"/>
      <color theme="1"/>
      <name val="Century Gothic"/>
      <charset val="134"/>
    </font>
    <font>
      <b/>
      <sz val="11"/>
      <color rgb="FFC00000"/>
      <name val="Arial Narrow"/>
      <charset val="134"/>
    </font>
    <font>
      <sz val="11"/>
      <color rgb="FFFF0000"/>
      <name val="宋体"/>
      <charset val="134"/>
      <scheme val="minor"/>
    </font>
    <font>
      <b/>
      <i/>
      <sz val="10"/>
      <color theme="1"/>
      <name val="Century Gothic"/>
      <charset val="134"/>
    </font>
    <font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14" applyNumberFormat="0" applyAlignment="0" applyProtection="0">
      <alignment vertical="center"/>
    </xf>
    <xf numFmtId="0" fontId="29" fillId="15" borderId="15" applyNumberFormat="0" applyAlignment="0" applyProtection="0">
      <alignment vertical="center"/>
    </xf>
    <xf numFmtId="0" fontId="30" fillId="15" borderId="14" applyNumberFormat="0" applyAlignment="0" applyProtection="0">
      <alignment vertical="center"/>
    </xf>
    <xf numFmtId="0" fontId="31" fillId="16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0" fillId="0" borderId="0"/>
    <xf numFmtId="0" fontId="2" fillId="0" borderId="0"/>
  </cellStyleXfs>
  <cellXfs count="5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2" fillId="0" borderId="0" xfId="0" applyFont="1" applyFill="1" applyAlignment="1"/>
    <xf numFmtId="0" fontId="3" fillId="0" borderId="0" xfId="0" applyFont="1" applyFill="1" applyAlignment="1">
      <alignment horizontal="centerContinuous"/>
    </xf>
    <xf numFmtId="0" fontId="4" fillId="0" borderId="0" xfId="0" applyFont="1" applyFill="1" applyAlignment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/>
    <xf numFmtId="0" fontId="7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/>
    </xf>
    <xf numFmtId="0" fontId="9" fillId="3" borderId="2" xfId="49" applyFont="1" applyFill="1" applyBorder="1"/>
    <xf numFmtId="0" fontId="10" fillId="3" borderId="2" xfId="5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/>
    <xf numFmtId="0" fontId="9" fillId="4" borderId="2" xfId="49" applyFont="1" applyFill="1" applyBorder="1"/>
    <xf numFmtId="0" fontId="10" fillId="4" borderId="2" xfId="50" applyFont="1" applyFill="1" applyBorder="1" applyAlignment="1">
      <alignment horizontal="center" vertical="center" wrapText="1"/>
    </xf>
    <xf numFmtId="0" fontId="11" fillId="4" borderId="2" xfId="49" applyFont="1" applyFill="1" applyBorder="1"/>
    <xf numFmtId="0" fontId="12" fillId="4" borderId="2" xfId="49" applyFont="1" applyFill="1" applyBorder="1"/>
    <xf numFmtId="0" fontId="9" fillId="4" borderId="2" xfId="49" applyFont="1" applyFill="1" applyBorder="1" applyAlignment="1">
      <alignment horizontal="left" indent="1"/>
    </xf>
    <xf numFmtId="0" fontId="9" fillId="5" borderId="2" xfId="49" applyFont="1" applyFill="1" applyBorder="1"/>
    <xf numFmtId="0" fontId="10" fillId="5" borderId="3" xfId="50" applyFont="1" applyFill="1" applyBorder="1" applyAlignment="1">
      <alignment horizontal="center" vertical="center" wrapText="1"/>
    </xf>
    <xf numFmtId="0" fontId="10" fillId="5" borderId="4" xfId="50" applyFont="1" applyFill="1" applyBorder="1" applyAlignment="1">
      <alignment horizontal="center" vertical="center" wrapText="1"/>
    </xf>
    <xf numFmtId="0" fontId="9" fillId="6" borderId="2" xfId="49" applyFont="1" applyFill="1" applyBorder="1"/>
    <xf numFmtId="0" fontId="10" fillId="5" borderId="5" xfId="50" applyFont="1" applyFill="1" applyBorder="1" applyAlignment="1">
      <alignment horizontal="center" vertical="center" wrapText="1"/>
    </xf>
    <xf numFmtId="0" fontId="10" fillId="5" borderId="6" xfId="50" applyFont="1" applyFill="1" applyBorder="1" applyAlignment="1">
      <alignment horizontal="center" vertical="center" wrapText="1"/>
    </xf>
    <xf numFmtId="0" fontId="13" fillId="6" borderId="2" xfId="49" applyFont="1" applyFill="1" applyBorder="1"/>
    <xf numFmtId="0" fontId="2" fillId="5" borderId="7" xfId="0" applyFont="1" applyFill="1" applyBorder="1" applyAlignment="1"/>
    <xf numFmtId="0" fontId="13" fillId="7" borderId="2" xfId="49" applyFont="1" applyFill="1" applyBorder="1"/>
    <xf numFmtId="0" fontId="10" fillId="5" borderId="8" xfId="50" applyFont="1" applyFill="1" applyBorder="1" applyAlignment="1">
      <alignment horizontal="center" vertical="center" wrapText="1"/>
    </xf>
    <xf numFmtId="0" fontId="10" fillId="5" borderId="9" xfId="50" applyFont="1" applyFill="1" applyBorder="1" applyAlignment="1">
      <alignment horizontal="center" vertical="center" wrapText="1"/>
    </xf>
    <xf numFmtId="0" fontId="0" fillId="8" borderId="0" xfId="0" applyFont="1" applyFill="1" applyAlignment="1"/>
    <xf numFmtId="0" fontId="10" fillId="8" borderId="0" xfId="0" applyFont="1" applyFill="1" applyAlignment="1"/>
    <xf numFmtId="0" fontId="2" fillId="9" borderId="2" xfId="0" applyFont="1" applyFill="1" applyBorder="1" applyAlignment="1"/>
    <xf numFmtId="0" fontId="10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/>
    <xf numFmtId="0" fontId="2" fillId="9" borderId="7" xfId="0" applyFont="1" applyFill="1" applyBorder="1" applyAlignment="1">
      <alignment vertical="top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/>
    <xf numFmtId="0" fontId="10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/>
    <xf numFmtId="0" fontId="2" fillId="10" borderId="2" xfId="0" applyFont="1" applyFill="1" applyBorder="1" applyAlignment="1">
      <alignment horizontal="left" indent="1"/>
    </xf>
    <xf numFmtId="176" fontId="8" fillId="11" borderId="10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/>
    <xf numFmtId="0" fontId="17" fillId="0" borderId="0" xfId="0" applyFont="1" applyFill="1" applyAlignment="1"/>
    <xf numFmtId="0" fontId="2" fillId="12" borderId="2" xfId="0" applyFont="1" applyFill="1" applyBorder="1" applyAlignment="1"/>
    <xf numFmtId="0" fontId="10" fillId="12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/>
    <xf numFmtId="0" fontId="15" fillId="12" borderId="2" xfId="0" applyFont="1" applyFill="1" applyBorder="1" applyAlignment="1"/>
    <xf numFmtId="0" fontId="2" fillId="12" borderId="2" xfId="0" applyFont="1" applyFill="1" applyBorder="1" applyAlignment="1">
      <alignment horizontal="left" indent="1"/>
    </xf>
    <xf numFmtId="0" fontId="2" fillId="12" borderId="2" xfId="0" applyFont="1" applyFill="1" applyBorder="1" applyAlignment="1">
      <alignment horizontal="left"/>
    </xf>
    <xf numFmtId="0" fontId="18" fillId="12" borderId="2" xfId="0" applyFont="1" applyFill="1" applyBorder="1" applyAlignment="1">
      <alignment vertical="center"/>
    </xf>
    <xf numFmtId="0" fontId="19" fillId="0" borderId="0" xfId="0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</row>
        <row r="9">
          <cell r="A9">
            <v>4</v>
          </cell>
        </row>
        <row r="9">
          <cell r="D9" t="str">
            <v>FP - Implants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</row>
        <row r="20">
          <cell r="A20">
            <v>17</v>
          </cell>
        </row>
        <row r="20">
          <cell r="D20" t="str">
            <v>Balanced energy supplementation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</row>
        <row r="36">
          <cell r="A36">
            <v>33</v>
          </cell>
        </row>
        <row r="36">
          <cell r="D36" t="str">
            <v>Maternal sepsis case management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</row>
        <row r="53">
          <cell r="D53" t="str">
            <v>Early Initiation of Breastfeeding</v>
          </cell>
        </row>
        <row r="54">
          <cell r="A54">
            <v>49</v>
          </cell>
        </row>
        <row r="54">
          <cell r="D54" t="str">
            <v>Complementary feeding - Education only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</row>
        <row r="65">
          <cell r="A65">
            <v>59</v>
          </cell>
        </row>
        <row r="65">
          <cell r="D65" t="str">
            <v>Malaria vaccine - Three doses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</row>
        <row r="71">
          <cell r="A71">
            <v>65</v>
          </cell>
        </row>
        <row r="71">
          <cell r="D71" t="str">
            <v>Zinc for treatment of diarrhea</v>
          </cell>
        </row>
        <row r="72">
          <cell r="A72">
            <v>66</v>
          </cell>
        </row>
        <row r="72">
          <cell r="D72" t="str">
            <v>Oral antibiotics for pneumonia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B4">
            <v>0</v>
          </cell>
          <cell r="C4">
            <v>0</v>
          </cell>
          <cell r="D4" t="str">
            <v>Family Planning</v>
          </cell>
          <cell r="E4" t="str">
            <v>Contraceptive Use</v>
          </cell>
          <cell r="F4">
            <v>0.65735509</v>
          </cell>
          <cell r="G4">
            <v>0.46039819</v>
          </cell>
          <cell r="H4">
            <v>0.46039819</v>
          </cell>
          <cell r="I4">
            <v>0.5186265378</v>
          </cell>
          <cell r="J4">
            <v>0.591619581</v>
          </cell>
          <cell r="K4">
            <v>0.68627871396</v>
          </cell>
        </row>
        <row r="5">
          <cell r="B5">
            <v>1</v>
          </cell>
          <cell r="C5">
            <v>7</v>
          </cell>
        </row>
        <row r="5">
          <cell r="E5" t="str">
            <v>FP - Pills</v>
          </cell>
          <cell r="F5">
            <v>0.50341753</v>
          </cell>
          <cell r="G5">
            <v>0.3221872192</v>
          </cell>
          <cell r="H5">
            <v>0.3221872192</v>
          </cell>
          <cell r="I5">
            <v>0.373737174272</v>
          </cell>
          <cell r="J5">
            <v>0.453075777</v>
          </cell>
          <cell r="K5">
            <v>0.52556790132</v>
          </cell>
        </row>
        <row r="6">
          <cell r="B6">
            <v>2</v>
          </cell>
          <cell r="C6">
            <v>1</v>
          </cell>
        </row>
        <row r="6">
          <cell r="E6" t="str">
            <v>FP - Condoms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>
            <v>3</v>
          </cell>
          <cell r="C7">
            <v>4</v>
          </cell>
        </row>
        <row r="7">
          <cell r="E7" t="str">
            <v>FP - Injectables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>
            <v>4</v>
          </cell>
          <cell r="C8">
            <v>5</v>
          </cell>
        </row>
        <row r="8">
          <cell r="E8" t="str">
            <v>FP - Implants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>
            <v>5</v>
          </cell>
          <cell r="C9">
            <v>6</v>
          </cell>
        </row>
        <row r="9">
          <cell r="E9" t="str">
            <v>FP - IUD</v>
          </cell>
          <cell r="F9">
            <v>0.04368497</v>
          </cell>
          <cell r="G9">
            <v>0.0279583808</v>
          </cell>
          <cell r="H9">
            <v>0.0279583808</v>
          </cell>
          <cell r="I9">
            <v>0.032431721728</v>
          </cell>
          <cell r="J9">
            <v>0.039316473</v>
          </cell>
          <cell r="K9">
            <v>0.04560710868</v>
          </cell>
        </row>
        <row r="10">
          <cell r="B10">
            <v>6</v>
          </cell>
          <cell r="C10">
            <v>2</v>
          </cell>
        </row>
        <row r="10">
          <cell r="E10" t="str">
            <v>FP - Female Sterilization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7</v>
          </cell>
          <cell r="C11">
            <v>3</v>
          </cell>
        </row>
        <row r="11">
          <cell r="E11" t="str">
            <v>FP - Male Sterilization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8</v>
          </cell>
          <cell r="C12">
            <v>8</v>
          </cell>
        </row>
        <row r="12">
          <cell r="E12" t="str">
            <v>FP - Traditional Methods + Other</v>
          </cell>
          <cell r="F12">
            <v>0.11025259</v>
          </cell>
          <cell r="G12">
            <v>0.11025259</v>
          </cell>
          <cell r="H12">
            <v>0.11025259</v>
          </cell>
          <cell r="I12">
            <v>0.1124576418</v>
          </cell>
          <cell r="J12">
            <v>0.099227331</v>
          </cell>
          <cell r="K12">
            <v>0.11510370396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0.675</v>
          </cell>
          <cell r="G13">
            <v>0.53325</v>
          </cell>
          <cell r="H13">
            <v>0.53325</v>
          </cell>
          <cell r="I13">
            <v>0.61857</v>
          </cell>
          <cell r="J13">
            <v>0.6075</v>
          </cell>
          <cell r="K13">
            <v>0.7047</v>
          </cell>
        </row>
        <row r="14">
          <cell r="B14">
            <v>10</v>
          </cell>
          <cell r="C14">
            <v>15</v>
          </cell>
        </row>
        <row r="14">
          <cell r="E14" t="str">
            <v>Antenatal care (at least 4 visits)</v>
          </cell>
          <cell r="F14">
            <v>0.301</v>
          </cell>
          <cell r="G14">
            <v>0.23779</v>
          </cell>
          <cell r="H14">
            <v>0.23779</v>
          </cell>
          <cell r="I14">
            <v>0.2758364</v>
          </cell>
          <cell r="J14">
            <v>0.2709</v>
          </cell>
          <cell r="K14">
            <v>0.314244</v>
          </cell>
        </row>
        <row r="15">
          <cell r="B15">
            <v>11</v>
          </cell>
          <cell r="C15">
            <v>16</v>
          </cell>
        </row>
        <row r="15">
          <cell r="E15" t="str">
            <v>TT - Tetanus toxoid vaccination</v>
          </cell>
          <cell r="F15">
            <v>0.88</v>
          </cell>
          <cell r="G15">
            <v>0.6952</v>
          </cell>
          <cell r="H15">
            <v>0.6952</v>
          </cell>
          <cell r="I15">
            <v>0.806432</v>
          </cell>
          <cell r="J15">
            <v>0.792</v>
          </cell>
          <cell r="K15">
            <v>0.91872</v>
          </cell>
        </row>
        <row r="16">
          <cell r="B16">
            <v>12</v>
          </cell>
          <cell r="C16">
            <v>17</v>
          </cell>
        </row>
        <row r="16"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13</v>
          </cell>
          <cell r="C17">
            <v>18</v>
          </cell>
        </row>
        <row r="17">
          <cell r="E17" t="str">
            <v>Syphilis detection and treatment</v>
          </cell>
          <cell r="F17">
            <v>0.167</v>
          </cell>
          <cell r="G17">
            <v>0.13193</v>
          </cell>
          <cell r="H17">
            <v>0.13193</v>
          </cell>
          <cell r="I17">
            <v>0.1530388</v>
          </cell>
          <cell r="J17">
            <v>0.1503</v>
          </cell>
          <cell r="K17">
            <v>0.174348</v>
          </cell>
        </row>
        <row r="18">
          <cell r="B18">
            <v>14</v>
          </cell>
          <cell r="C18">
            <v>19</v>
          </cell>
        </row>
        <row r="18"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>
            <v>15</v>
          </cell>
          <cell r="C19">
            <v>20</v>
          </cell>
        </row>
        <row r="19">
          <cell r="E19" t="str">
            <v>Iron and folate supplementation in pregnancy</v>
          </cell>
          <cell r="F19">
            <v>0.052</v>
          </cell>
          <cell r="G19">
            <v>0.04108</v>
          </cell>
          <cell r="H19">
            <v>0.04108</v>
          </cell>
          <cell r="I19">
            <v>0.0476528</v>
          </cell>
          <cell r="J19">
            <v>0.0468</v>
          </cell>
          <cell r="K19">
            <v>0.054288</v>
          </cell>
        </row>
        <row r="20">
          <cell r="B20">
            <v>16</v>
          </cell>
          <cell r="C20">
            <v>21</v>
          </cell>
        </row>
        <row r="20"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>
            <v>17</v>
          </cell>
          <cell r="C21">
            <v>22</v>
          </cell>
        </row>
        <row r="21"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>
            <v>18</v>
          </cell>
          <cell r="C22">
            <v>23</v>
          </cell>
        </row>
        <row r="22">
          <cell r="E22" t="str">
            <v>Hypertensive disorder case management</v>
          </cell>
          <cell r="F22">
            <v>0.072</v>
          </cell>
          <cell r="G22">
            <v>0.05688</v>
          </cell>
          <cell r="H22">
            <v>0.05688</v>
          </cell>
          <cell r="I22">
            <v>0.0659808</v>
          </cell>
          <cell r="J22">
            <v>0.0648</v>
          </cell>
          <cell r="K22">
            <v>0.075168</v>
          </cell>
        </row>
        <row r="23">
          <cell r="B23">
            <v>19</v>
          </cell>
          <cell r="C23">
            <v>24</v>
          </cell>
        </row>
        <row r="23">
          <cell r="E23" t="str">
            <v>Diabetes case management</v>
          </cell>
          <cell r="F23">
            <v>0.056</v>
          </cell>
          <cell r="G23">
            <v>0.04424</v>
          </cell>
          <cell r="H23">
            <v>0.04424</v>
          </cell>
          <cell r="I23">
            <v>0.0513184</v>
          </cell>
          <cell r="J23">
            <v>0.0504</v>
          </cell>
          <cell r="K23">
            <v>0.058464</v>
          </cell>
        </row>
        <row r="24">
          <cell r="B24">
            <v>20</v>
          </cell>
          <cell r="C24">
            <v>25</v>
          </cell>
        </row>
        <row r="24">
          <cell r="E24" t="str">
            <v>Malaria case management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>
            <v>21</v>
          </cell>
          <cell r="C25">
            <v>26</v>
          </cell>
        </row>
        <row r="25">
          <cell r="E25" t="str">
            <v>MgSO4 management of pre-eclampsia</v>
          </cell>
          <cell r="F25">
            <v>0.143</v>
          </cell>
          <cell r="G25">
            <v>0.11297</v>
          </cell>
          <cell r="H25">
            <v>0.11297</v>
          </cell>
          <cell r="I25">
            <v>0.1310452</v>
          </cell>
          <cell r="J25">
            <v>0.1287</v>
          </cell>
          <cell r="K25">
            <v>0.149292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0.727</v>
          </cell>
          <cell r="G26">
            <v>0.62522</v>
          </cell>
          <cell r="H26">
            <v>0.62522</v>
          </cell>
          <cell r="I26">
            <v>0.7252552</v>
          </cell>
          <cell r="J26">
            <v>0.6543</v>
          </cell>
          <cell r="K26">
            <v>0.758988</v>
          </cell>
        </row>
        <row r="27">
          <cell r="B27">
            <v>23</v>
          </cell>
          <cell r="C27">
            <v>28</v>
          </cell>
        </row>
        <row r="27">
          <cell r="E27" t="str">
            <v>Clean birth environment</v>
          </cell>
          <cell r="F27">
            <v>0.596</v>
          </cell>
          <cell r="G27">
            <v>0.51256</v>
          </cell>
          <cell r="H27">
            <v>0.51256</v>
          </cell>
          <cell r="I27">
            <v>0.5945696</v>
          </cell>
          <cell r="J27">
            <v>0.5364</v>
          </cell>
          <cell r="K27">
            <v>0.622224</v>
          </cell>
        </row>
        <row r="28">
          <cell r="B28">
            <v>24</v>
          </cell>
          <cell r="C28">
            <v>32</v>
          </cell>
        </row>
        <row r="28">
          <cell r="E28" t="str">
            <v>Manual removal of placenta</v>
          </cell>
          <cell r="F28">
            <v>0.272</v>
          </cell>
          <cell r="G28">
            <v>0.23392</v>
          </cell>
          <cell r="H28">
            <v>0.23392</v>
          </cell>
          <cell r="I28">
            <v>0.2713472</v>
          </cell>
          <cell r="J28">
            <v>0.2448</v>
          </cell>
          <cell r="K28">
            <v>0.283968</v>
          </cell>
        </row>
        <row r="29">
          <cell r="B29">
            <v>25</v>
          </cell>
          <cell r="C29">
            <v>33</v>
          </cell>
        </row>
        <row r="29">
          <cell r="E29" t="str">
            <v>MgSO4 management of eclampsia</v>
          </cell>
          <cell r="F29">
            <v>0.52</v>
          </cell>
          <cell r="G29">
            <v>0.4472</v>
          </cell>
          <cell r="H29">
            <v>0.4472</v>
          </cell>
          <cell r="I29">
            <v>0.518752</v>
          </cell>
          <cell r="J29">
            <v>0.468</v>
          </cell>
          <cell r="K29">
            <v>0.54288</v>
          </cell>
        </row>
        <row r="30">
          <cell r="B30">
            <v>26</v>
          </cell>
          <cell r="C30">
            <v>34</v>
          </cell>
        </row>
        <row r="30">
          <cell r="E30" t="str">
            <v>Antibiotics for preterm or prolonged PROM</v>
          </cell>
          <cell r="F30">
            <v>0.544</v>
          </cell>
          <cell r="G30">
            <v>0.46784</v>
          </cell>
          <cell r="H30">
            <v>0.46784</v>
          </cell>
          <cell r="I30">
            <v>0.5426944</v>
          </cell>
          <cell r="J30">
            <v>0.4896</v>
          </cell>
          <cell r="K30">
            <v>0.567936</v>
          </cell>
        </row>
        <row r="31">
          <cell r="B31">
            <v>27</v>
          </cell>
          <cell r="C31">
            <v>35</v>
          </cell>
        </row>
        <row r="31">
          <cell r="E31" t="str">
            <v>Parenteral administration of antibiotics</v>
          </cell>
          <cell r="F31">
            <v>0.544</v>
          </cell>
          <cell r="G31">
            <v>0.46784</v>
          </cell>
          <cell r="H31">
            <v>0.46784</v>
          </cell>
          <cell r="I31">
            <v>0.5426944</v>
          </cell>
          <cell r="J31">
            <v>0.4896</v>
          </cell>
          <cell r="K31">
            <v>0.567936</v>
          </cell>
        </row>
        <row r="32">
          <cell r="B32">
            <v>28</v>
          </cell>
          <cell r="C32">
            <v>36</v>
          </cell>
        </row>
        <row r="32">
          <cell r="E32" t="str">
            <v>Assisted vaginal delivery</v>
          </cell>
          <cell r="F32">
            <v>0.184</v>
          </cell>
          <cell r="G32">
            <v>0.15824</v>
          </cell>
          <cell r="H32">
            <v>0.15824</v>
          </cell>
          <cell r="I32">
            <v>0.1835584</v>
          </cell>
          <cell r="J32">
            <v>0.1656</v>
          </cell>
          <cell r="K32">
            <v>0.192096</v>
          </cell>
        </row>
        <row r="33">
          <cell r="B33">
            <v>29</v>
          </cell>
          <cell r="C33">
            <v>38</v>
          </cell>
        </row>
        <row r="33">
          <cell r="E33" t="str">
            <v>Active management of third stage of labor (AMTSL)</v>
          </cell>
          <cell r="F33">
            <v>0.65</v>
          </cell>
          <cell r="G33">
            <v>0.559</v>
          </cell>
          <cell r="H33">
            <v>0.559</v>
          </cell>
          <cell r="I33">
            <v>0.64844</v>
          </cell>
          <cell r="J33">
            <v>0.585</v>
          </cell>
          <cell r="K33">
            <v>0.6786</v>
          </cell>
        </row>
        <row r="34">
          <cell r="B34">
            <v>30</v>
          </cell>
          <cell r="C34">
            <v>39</v>
          </cell>
        </row>
        <row r="34">
          <cell r="E34" t="str">
            <v>Removal of retained products of conception</v>
          </cell>
          <cell r="F34">
            <v>0.241</v>
          </cell>
          <cell r="G34">
            <v>0.20726</v>
          </cell>
          <cell r="H34">
            <v>0.20726</v>
          </cell>
          <cell r="I34">
            <v>0.2404216</v>
          </cell>
          <cell r="J34">
            <v>0.2169</v>
          </cell>
          <cell r="K34">
            <v>0.251604</v>
          </cell>
        </row>
        <row r="35">
          <cell r="B35">
            <v>31</v>
          </cell>
          <cell r="C35">
            <v>40</v>
          </cell>
        </row>
        <row r="35">
          <cell r="E35" t="str">
            <v>Induction of labor for pregnancies lasting 41+ weeks</v>
          </cell>
          <cell r="F35">
            <v>0.013</v>
          </cell>
          <cell r="G35">
            <v>0.01118</v>
          </cell>
          <cell r="H35">
            <v>0.01118</v>
          </cell>
          <cell r="I35">
            <v>0.0129688</v>
          </cell>
          <cell r="J35">
            <v>0.0117</v>
          </cell>
          <cell r="K35">
            <v>0.013572</v>
          </cell>
        </row>
        <row r="36">
          <cell r="B36">
            <v>32</v>
          </cell>
          <cell r="C36">
            <v>41</v>
          </cell>
        </row>
        <row r="36"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B37">
            <v>33</v>
          </cell>
          <cell r="C37">
            <v>65</v>
          </cell>
        </row>
        <row r="37"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B38">
            <v>34</v>
          </cell>
          <cell r="C38">
            <v>10</v>
          </cell>
        </row>
        <row r="38">
          <cell r="E38" t="str">
            <v>Safe abortion services</v>
          </cell>
          <cell r="F38">
            <v>0.022</v>
          </cell>
          <cell r="G38">
            <v>0.01892</v>
          </cell>
          <cell r="H38">
            <v>0.01892</v>
          </cell>
          <cell r="I38">
            <v>0.0219472</v>
          </cell>
          <cell r="J38">
            <v>0.0198</v>
          </cell>
          <cell r="K38">
            <v>0.022968</v>
          </cell>
        </row>
        <row r="39">
          <cell r="B39">
            <v>35</v>
          </cell>
          <cell r="C39">
            <v>11</v>
          </cell>
        </row>
        <row r="39"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B40">
            <v>36</v>
          </cell>
          <cell r="C40">
            <v>42</v>
          </cell>
        </row>
        <row r="40">
          <cell r="E40" t="str">
            <v>Cesarean delivery</v>
          </cell>
          <cell r="F40">
            <v>0.063</v>
          </cell>
          <cell r="G40">
            <v>0.05418</v>
          </cell>
          <cell r="H40">
            <v>0.05418</v>
          </cell>
          <cell r="I40">
            <v>0.0628488</v>
          </cell>
          <cell r="J40">
            <v>0.0567</v>
          </cell>
          <cell r="K40">
            <v>0.065772</v>
          </cell>
        </row>
        <row r="41">
          <cell r="B41">
            <v>37</v>
          </cell>
          <cell r="C41">
            <v>43</v>
          </cell>
        </row>
        <row r="41">
          <cell r="E41" t="str">
            <v>Blood transfusion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B42">
            <v>38</v>
          </cell>
          <cell r="C42">
            <v>12</v>
          </cell>
        </row>
        <row r="42"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0.666</v>
          </cell>
          <cell r="G43">
            <v>0.55944</v>
          </cell>
          <cell r="H43">
            <v>0.55944</v>
          </cell>
          <cell r="I43">
            <v>0.6489504</v>
          </cell>
          <cell r="J43">
            <v>0.5994</v>
          </cell>
          <cell r="K43">
            <v>0.695304</v>
          </cell>
        </row>
        <row r="44">
          <cell r="B44">
            <v>40</v>
          </cell>
          <cell r="C44">
            <v>30</v>
          </cell>
        </row>
        <row r="44">
          <cell r="E44" t="str">
            <v>Thermal protection</v>
          </cell>
          <cell r="F44">
            <v>0.719</v>
          </cell>
          <cell r="G44">
            <v>0.60396</v>
          </cell>
          <cell r="H44">
            <v>0.60396</v>
          </cell>
          <cell r="I44">
            <v>0.7005936</v>
          </cell>
          <cell r="J44">
            <v>0.6471</v>
          </cell>
          <cell r="K44">
            <v>0.750636</v>
          </cell>
        </row>
        <row r="45">
          <cell r="B45">
            <v>41</v>
          </cell>
          <cell r="C45">
            <v>31</v>
          </cell>
        </row>
        <row r="45">
          <cell r="E45" t="str">
            <v>Clean cord care</v>
          </cell>
          <cell r="F45">
            <v>0.694</v>
          </cell>
          <cell r="G45">
            <v>0.58296</v>
          </cell>
          <cell r="H45">
            <v>0.58296</v>
          </cell>
          <cell r="I45">
            <v>0.6762336</v>
          </cell>
          <cell r="J45">
            <v>0.6246</v>
          </cell>
          <cell r="K45">
            <v>0.724536</v>
          </cell>
        </row>
        <row r="46">
          <cell r="B46">
            <v>42</v>
          </cell>
          <cell r="C46">
            <v>37</v>
          </cell>
        </row>
        <row r="46">
          <cell r="E46" t="str">
            <v>Neonatal resuscitation</v>
          </cell>
          <cell r="F46">
            <v>0.4</v>
          </cell>
          <cell r="G46">
            <v>0.336</v>
          </cell>
          <cell r="H46">
            <v>0.336</v>
          </cell>
          <cell r="I46">
            <v>0.38976</v>
          </cell>
          <cell r="J46">
            <v>0.36</v>
          </cell>
          <cell r="K46">
            <v>0.4176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</row>
        <row r="48"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B49">
            <v>44</v>
          </cell>
          <cell r="C49">
            <v>67</v>
          </cell>
        </row>
        <row r="49"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</row>
        <row r="51"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</row>
        <row r="52">
          <cell r="B52">
            <v>46</v>
          </cell>
          <cell r="C52">
            <v>69</v>
          </cell>
        </row>
        <row r="52">
          <cell r="E52" t="str">
            <v>Injectable antibiotics for neonatal sepsis</v>
          </cell>
          <cell r="F52">
            <v>0.727</v>
          </cell>
          <cell r="G52">
            <v>0.61068</v>
          </cell>
          <cell r="H52">
            <v>0.61068</v>
          </cell>
          <cell r="I52">
            <v>0.7083888</v>
          </cell>
          <cell r="J52">
            <v>0.6543</v>
          </cell>
          <cell r="K52">
            <v>0.758988</v>
          </cell>
        </row>
        <row r="53">
          <cell r="B53">
            <v>47</v>
          </cell>
          <cell r="C53">
            <v>70</v>
          </cell>
        </row>
        <row r="53"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0.48</v>
          </cell>
          <cell r="G54">
            <v>0.48</v>
          </cell>
          <cell r="H54">
            <v>0.48</v>
          </cell>
          <cell r="I54">
            <v>0.4896</v>
          </cell>
          <cell r="J54">
            <v>0.432</v>
          </cell>
          <cell r="K54">
            <v>0.50112</v>
          </cell>
        </row>
        <row r="55">
          <cell r="B55">
            <v>49</v>
          </cell>
          <cell r="C55">
            <v>45</v>
          </cell>
        </row>
        <row r="55">
          <cell r="E55" t="str">
            <v>Complementary feeding - Education only</v>
          </cell>
          <cell r="F55">
            <v>0.223</v>
          </cell>
          <cell r="G55">
            <v>0.223</v>
          </cell>
          <cell r="H55">
            <v>0.223</v>
          </cell>
          <cell r="I55">
            <v>0.22746</v>
          </cell>
          <cell r="J55">
            <v>0.2007</v>
          </cell>
          <cell r="K55">
            <v>0.232812</v>
          </cell>
        </row>
        <row r="56">
          <cell r="B56">
            <v>50</v>
          </cell>
          <cell r="C56">
            <v>46</v>
          </cell>
        </row>
        <row r="56">
          <cell r="E56" t="str">
            <v>Complementary feeding - Supplementary feeding + Education</v>
          </cell>
          <cell r="F56">
            <v>0.223</v>
          </cell>
          <cell r="G56">
            <v>0.223</v>
          </cell>
          <cell r="H56">
            <v>0.223</v>
          </cell>
          <cell r="I56">
            <v>0.22746</v>
          </cell>
          <cell r="J56">
            <v>0.2007</v>
          </cell>
          <cell r="K56">
            <v>0.232812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0.99</v>
          </cell>
          <cell r="G57">
            <v>0.8217</v>
          </cell>
          <cell r="H57">
            <v>0.8217</v>
          </cell>
          <cell r="I57">
            <v>0.953172</v>
          </cell>
          <cell r="J57">
            <v>0.891</v>
          </cell>
          <cell r="K57">
            <v>1</v>
          </cell>
        </row>
        <row r="58">
          <cell r="B58">
            <v>52</v>
          </cell>
          <cell r="C58">
            <v>56</v>
          </cell>
        </row>
        <row r="58">
          <cell r="E58" t="str">
            <v>Polio - Three doses</v>
          </cell>
          <cell r="F58">
            <v>0.99</v>
          </cell>
          <cell r="G58">
            <v>0.8217</v>
          </cell>
          <cell r="H58">
            <v>0.8217</v>
          </cell>
          <cell r="I58">
            <v>0.953172</v>
          </cell>
          <cell r="J58">
            <v>0.891</v>
          </cell>
          <cell r="K58">
            <v>1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</row>
        <row r="60">
          <cell r="E60" t="str">
            <v>DPT - Three doses</v>
          </cell>
          <cell r="F60">
            <v>0.99</v>
          </cell>
          <cell r="G60">
            <v>0.8217</v>
          </cell>
          <cell r="H60">
            <v>0.8217</v>
          </cell>
          <cell r="I60">
            <v>0.953172</v>
          </cell>
          <cell r="J60">
            <v>0.891</v>
          </cell>
          <cell r="K60">
            <v>1</v>
          </cell>
        </row>
        <row r="61">
          <cell r="B61">
            <v>54</v>
          </cell>
          <cell r="C61">
            <v>58</v>
          </cell>
        </row>
        <row r="61">
          <cell r="E61" t="str">
            <v>Hib - Three doses</v>
          </cell>
          <cell r="F61">
            <v>0.99</v>
          </cell>
          <cell r="G61">
            <v>0.8217</v>
          </cell>
          <cell r="H61">
            <v>0.8217</v>
          </cell>
          <cell r="I61">
            <v>0.953172</v>
          </cell>
          <cell r="J61">
            <v>0.891</v>
          </cell>
          <cell r="K61">
            <v>1</v>
          </cell>
        </row>
        <row r="62">
          <cell r="B62">
            <v>55</v>
          </cell>
          <cell r="C62">
            <v>59</v>
          </cell>
        </row>
        <row r="62">
          <cell r="E62" t="str">
            <v>HepB - Three doses</v>
          </cell>
          <cell r="F62">
            <v>0.99</v>
          </cell>
          <cell r="G62">
            <v>0.8217</v>
          </cell>
          <cell r="H62">
            <v>0.8217</v>
          </cell>
          <cell r="I62">
            <v>0.953172</v>
          </cell>
          <cell r="J62">
            <v>0.891</v>
          </cell>
          <cell r="K62">
            <v>1</v>
          </cell>
        </row>
        <row r="63">
          <cell r="B63">
            <v>56</v>
          </cell>
          <cell r="C63">
            <v>60</v>
          </cell>
        </row>
        <row r="63">
          <cell r="E63" t="str">
            <v>Pneumococcal - Three doses</v>
          </cell>
          <cell r="F63">
            <v>0.99</v>
          </cell>
          <cell r="G63">
            <v>0.8217</v>
          </cell>
          <cell r="H63">
            <v>0.8217</v>
          </cell>
          <cell r="I63">
            <v>0.953172</v>
          </cell>
          <cell r="J63">
            <v>0.891</v>
          </cell>
          <cell r="K63">
            <v>1</v>
          </cell>
        </row>
        <row r="64">
          <cell r="B64">
            <v>57</v>
          </cell>
          <cell r="C64">
            <v>61</v>
          </cell>
        </row>
        <row r="64">
          <cell r="E64" t="str">
            <v>Rotavirus - Two doses</v>
          </cell>
          <cell r="F64">
            <v>0.99</v>
          </cell>
          <cell r="G64">
            <v>0.8217</v>
          </cell>
          <cell r="H64">
            <v>0.8217</v>
          </cell>
          <cell r="I64">
            <v>0.953172</v>
          </cell>
          <cell r="J64">
            <v>0.891</v>
          </cell>
          <cell r="K64">
            <v>1</v>
          </cell>
        </row>
        <row r="65">
          <cell r="B65">
            <v>58</v>
          </cell>
          <cell r="C65">
            <v>62</v>
          </cell>
        </row>
        <row r="65"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B66">
            <v>59</v>
          </cell>
          <cell r="C66">
            <v>63</v>
          </cell>
        </row>
        <row r="66"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B67">
            <v>60</v>
          </cell>
          <cell r="C67">
            <v>64</v>
          </cell>
        </row>
        <row r="67">
          <cell r="E67" t="str">
            <v>Measles - Single dose</v>
          </cell>
          <cell r="F67">
            <v>0.99</v>
          </cell>
          <cell r="G67">
            <v>0.8217</v>
          </cell>
          <cell r="H67">
            <v>0.8217</v>
          </cell>
          <cell r="I67">
            <v>0.953172</v>
          </cell>
          <cell r="J67">
            <v>0.891</v>
          </cell>
          <cell r="K67">
            <v>1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0.99</v>
          </cell>
          <cell r="G68">
            <v>0.8217</v>
          </cell>
          <cell r="H68">
            <v>0.8217</v>
          </cell>
          <cell r="I68">
            <v>0.953172</v>
          </cell>
          <cell r="J68">
            <v>0.891</v>
          </cell>
          <cell r="K68">
            <v>1</v>
          </cell>
        </row>
        <row r="69">
          <cell r="B69">
            <v>62</v>
          </cell>
          <cell r="C69">
            <v>48</v>
          </cell>
        </row>
        <row r="69"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>
            <v>63</v>
          </cell>
          <cell r="C70">
            <v>71</v>
          </cell>
        </row>
        <row r="70">
          <cell r="E70" t="str">
            <v>ORS - Oral Rehydration Solution</v>
          </cell>
          <cell r="F70">
            <v>0.229</v>
          </cell>
          <cell r="G70">
            <v>0.19007</v>
          </cell>
          <cell r="H70">
            <v>0.19007</v>
          </cell>
          <cell r="I70">
            <v>0.2204812</v>
          </cell>
          <cell r="J70">
            <v>0.2061</v>
          </cell>
          <cell r="K70">
            <v>0.239076</v>
          </cell>
        </row>
        <row r="71">
          <cell r="B71">
            <v>64</v>
          </cell>
          <cell r="C71">
            <v>72</v>
          </cell>
        </row>
        <row r="71"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B72">
            <v>65</v>
          </cell>
          <cell r="C72">
            <v>73</v>
          </cell>
        </row>
        <row r="72">
          <cell r="E72" t="str">
            <v>Zinc for treatment of diarrhea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B73">
            <v>66</v>
          </cell>
          <cell r="C73">
            <v>74</v>
          </cell>
        </row>
        <row r="73">
          <cell r="E73" t="str">
            <v>Oral antibiotics for pneumonia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B74">
            <v>67</v>
          </cell>
          <cell r="C74">
            <v>75</v>
          </cell>
        </row>
        <row r="74">
          <cell r="E74" t="str">
            <v>Vitamin A for treatment of measles</v>
          </cell>
          <cell r="F74">
            <v>0.99</v>
          </cell>
          <cell r="G74">
            <v>0.8217</v>
          </cell>
          <cell r="H74">
            <v>0.8217</v>
          </cell>
          <cell r="I74">
            <v>0.953172</v>
          </cell>
          <cell r="J74">
            <v>0.891</v>
          </cell>
          <cell r="K74">
            <v>1</v>
          </cell>
        </row>
        <row r="75">
          <cell r="B75">
            <v>68</v>
          </cell>
          <cell r="C75">
            <v>76</v>
          </cell>
        </row>
        <row r="75">
          <cell r="E75" t="str">
            <v>ACTs - Artemisinin compounds for treatment of malaria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>
            <v>70</v>
          </cell>
          <cell r="C77">
            <v>78</v>
          </cell>
        </row>
        <row r="77"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"/>
  <sheetViews>
    <sheetView tabSelected="1" topLeftCell="D1" workbookViewId="0">
      <selection activeCell="I1" sqref="D$1:I$1048576"/>
    </sheetView>
  </sheetViews>
  <sheetFormatPr defaultColWidth="9.91818181818182" defaultRowHeight="14"/>
  <cols>
    <col min="1" max="1" width="5.45454545454545" style="1" hidden="1" customWidth="1"/>
    <col min="2" max="3" width="4.36363636363636" style="1" hidden="1" customWidth="1"/>
    <col min="4" max="4" width="81.3636363636364" style="1" customWidth="1"/>
    <col min="5" max="5" width="9.91818181818182" style="1"/>
    <col min="6" max="6" width="69.2727272727273" style="1" customWidth="1"/>
    <col min="7" max="8" width="8" style="1" customWidth="1"/>
    <col min="9" max="9" width="8.45454545454546" style="1" customWidth="1"/>
    <col min="10" max="16384" width="9.91818181818182" style="1"/>
  </cols>
  <sheetData>
    <row r="1" s="1" customFormat="1" ht="17.5" spans="1:8">
      <c r="A1" s="1" t="s">
        <v>0</v>
      </c>
      <c r="D1" s="2" t="s">
        <v>1</v>
      </c>
      <c r="E1" s="3"/>
      <c r="F1" s="4"/>
      <c r="G1" s="4"/>
      <c r="H1" s="4"/>
    </row>
    <row r="3" s="1" customFormat="1" spans="1:4">
      <c r="A3" s="5" t="s">
        <v>2</v>
      </c>
      <c r="B3" s="5"/>
      <c r="C3" s="5"/>
      <c r="D3" s="6" t="s">
        <v>3</v>
      </c>
    </row>
    <row r="4" s="1" customFormat="1" ht="23" spans="1:9">
      <c r="A4" s="7" t="s">
        <v>4</v>
      </c>
      <c r="B4" s="7" t="str">
        <f>IF('[1]1. Select Services'!$E$13="x","x","")</f>
        <v>x</v>
      </c>
      <c r="C4" s="8" t="s">
        <v>5</v>
      </c>
      <c r="D4" s="9"/>
      <c r="E4" s="9"/>
      <c r="F4" s="10"/>
      <c r="G4" s="11" t="s">
        <v>6</v>
      </c>
      <c r="H4" s="11" t="s">
        <v>7</v>
      </c>
      <c r="I4" s="43" t="s">
        <v>8</v>
      </c>
    </row>
    <row r="5" s="1" customFormat="1" spans="1:9">
      <c r="A5" s="12"/>
      <c r="B5" s="13">
        <v>68</v>
      </c>
      <c r="C5" s="13">
        <v>9</v>
      </c>
      <c r="D5" s="14" t="s">
        <v>9</v>
      </c>
      <c r="E5" s="14"/>
      <c r="F5" s="13" t="s">
        <v>10</v>
      </c>
      <c r="G5" s="15" t="str">
        <f>IF($A5="x",VLOOKUP($B5,'[1]4. Coverage Review'!$B$4:$K$78,5,FALSE)*100,"")</f>
        <v/>
      </c>
      <c r="H5" s="15" t="str">
        <f>IF($A5="x",VLOOKUP($B5,'[1]4. Coverage Review'!$B$4:$K$78,6,FALSE)*100,"")</f>
        <v/>
      </c>
      <c r="I5" s="15" t="str">
        <f>IF($A5="x",IF(Chosen_Scenario="Mitigation Impact Only",VLOOKUP($B5,'[1]4. Coverage Review'!$B$4:$K$78,8,FALSE)*100,VLOOKUP($B5,'[1]4. Coverage Review'!$B$4:$K$78,10,FALSE)*100),"")</f>
        <v/>
      </c>
    </row>
    <row r="6" s="1" customFormat="1" spans="1:9">
      <c r="A6" s="12" t="str">
        <f>IF(VLOOKUP(B6,'[1]1. Select Services'!$A$6:$E$77,5,FALSE)="x","x","")</f>
        <v>x</v>
      </c>
      <c r="B6" s="13">
        <v>34</v>
      </c>
      <c r="C6" s="13">
        <v>10</v>
      </c>
      <c r="D6" s="14"/>
      <c r="E6" s="14"/>
      <c r="F6" s="13" t="s">
        <v>11</v>
      </c>
      <c r="G6" s="15">
        <f>IF($A6="x",VLOOKUP($B6,'[1]4. Coverage Review'!$B$4:$K$78,5,FALSE)*100,"")</f>
        <v>2.2</v>
      </c>
      <c r="H6" s="15">
        <f>IF($A6="x",VLOOKUP($B6,'[1]4. Coverage Review'!$B$4:$K$78,6,FALSE)*100,"")</f>
        <v>1.892</v>
      </c>
      <c r="I6" s="15">
        <f>IF($A6="x",IF(Chosen_Scenario="Mitigation Impact Only",VLOOKUP($B6,'[1]4. Coverage Review'!$B$4:$K$78,8,FALSE)*100,VLOOKUP($B6,'[1]4. Coverage Review'!$B$4:$K$78,10,FALSE)*100),"")</f>
        <v>2.19472</v>
      </c>
    </row>
    <row r="7" s="1" customFormat="1" spans="1:9">
      <c r="A7" s="12" t="str">
        <f>IF(VLOOKUP(B7,'[1]1. Select Services'!$A$6:$E$77,5,FALSE)="x","x","")</f>
        <v/>
      </c>
      <c r="B7" s="13">
        <v>35</v>
      </c>
      <c r="C7" s="13">
        <v>11</v>
      </c>
      <c r="D7" s="14"/>
      <c r="E7" s="14"/>
      <c r="F7" s="13" t="s">
        <v>12</v>
      </c>
      <c r="G7" s="15" t="str">
        <f>IF($A7="x",VLOOKUP($B7,'[1]4. Coverage Review'!$B$4:$K$78,5,FALSE)*100,"")</f>
        <v/>
      </c>
      <c r="H7" s="15" t="str">
        <f>IF($A7="x",VLOOKUP($B7,'[1]4. Coverage Review'!$B$4:$K$78,6,FALSE)*100,"")</f>
        <v/>
      </c>
      <c r="I7" s="15" t="str">
        <f>IF($A7="x",IF(Chosen_Scenario="Mitigation Impact Only",VLOOKUP($B7,'[1]4. Coverage Review'!$B$4:$K$78,8,FALSE)*100,VLOOKUP($B7,'[1]4. Coverage Review'!$B$4:$K$78,10,FALSE)*100),"")</f>
        <v/>
      </c>
    </row>
    <row r="8" s="1" customFormat="1" spans="1:9">
      <c r="A8" s="12" t="str">
        <f>IF(VLOOKUP(B8,'[1]1. Select Services'!$A$6:$E$77,5,FALSE)="x","x","")</f>
        <v/>
      </c>
      <c r="B8" s="13">
        <v>38</v>
      </c>
      <c r="C8" s="13">
        <v>12</v>
      </c>
      <c r="D8" s="14"/>
      <c r="E8" s="14"/>
      <c r="F8" s="13" t="s">
        <v>13</v>
      </c>
      <c r="G8" s="15" t="str">
        <f>IF($A8="x",VLOOKUP($B8,'[1]4. Coverage Review'!$B$4:$K$78,5,FALSE)*100,"")</f>
        <v/>
      </c>
      <c r="H8" s="15" t="str">
        <f>IF($A8="x",VLOOKUP($B8,'[1]4. Coverage Review'!$B$4:$K$78,6,FALSE)*100,"")</f>
        <v/>
      </c>
      <c r="I8" s="15" t="str">
        <f>IF($A8="x",IF(Chosen_Scenario="Mitigation Impact Only",VLOOKUP($B8,'[1]4. Coverage Review'!$B$4:$K$78,8,FALSE)*100,VLOOKUP($B8,'[1]4. Coverage Review'!$B$4:$K$78,10,FALSE)*100),"")</f>
        <v/>
      </c>
    </row>
    <row r="9" s="1" customFormat="1" spans="1:9">
      <c r="A9" s="12"/>
      <c r="B9" s="13">
        <v>72</v>
      </c>
      <c r="C9" s="13">
        <v>13</v>
      </c>
      <c r="D9" s="14"/>
      <c r="E9" s="14"/>
      <c r="F9" s="13" t="s">
        <v>14</v>
      </c>
      <c r="G9" s="15" t="str">
        <f>IF($A9="x",VLOOKUP($B9,'[1]4. Coverage Review'!$B$4:$K$78,5,FALSE)*100,"")</f>
        <v/>
      </c>
      <c r="H9" s="15" t="str">
        <f>IF($A9="x",VLOOKUP($B9,'[1]4. Coverage Review'!$B$4:$K$78,6,FALSE)*100,"")</f>
        <v/>
      </c>
      <c r="I9" s="15" t="str">
        <f>IF($A9="x",IF(Chosen_Scenario="Mitigation Impact Only",VLOOKUP($B9,'[1]4. Coverage Review'!$B$4:$K$78,8,FALSE)*100,VLOOKUP($B9,'[1]4. Coverage Review'!$B$4:$K$78,10,FALSE)*100),"")</f>
        <v/>
      </c>
    </row>
    <row r="10" s="1" customFormat="1" ht="13.9" customHeight="1" spans="1:9">
      <c r="A10" s="12" t="s">
        <v>15</v>
      </c>
      <c r="B10" s="16">
        <v>9</v>
      </c>
      <c r="C10" s="16">
        <v>14</v>
      </c>
      <c r="D10" s="17" t="s">
        <v>16</v>
      </c>
      <c r="E10" s="17"/>
      <c r="F10" s="16" t="s">
        <v>17</v>
      </c>
      <c r="G10" s="15">
        <f>IF($A10="x",VLOOKUP($B10,'[1]4. Coverage Review'!$B$4:$K$78,5,FALSE)*100,"")</f>
        <v>67.5</v>
      </c>
      <c r="H10" s="15">
        <f>IF($A10="x",VLOOKUP($B10,'[1]4. Coverage Review'!$B$4:$K$78,6,FALSE)*100,"")</f>
        <v>53.325</v>
      </c>
      <c r="I10" s="15">
        <f>IF($A10="x",IF(Chosen_Scenario="Mitigation Impact Only",VLOOKUP($B10,'[1]4. Coverage Review'!$B$4:$K$78,8,FALSE)*100,VLOOKUP($B10,'[1]4. Coverage Review'!$B$4:$K$78,10,FALSE)*100),"")</f>
        <v>61.857</v>
      </c>
    </row>
    <row r="11" s="1" customFormat="1" ht="14.25" customHeight="1" spans="1:9">
      <c r="A11" s="12" t="s">
        <v>15</v>
      </c>
      <c r="B11" s="16">
        <v>10</v>
      </c>
      <c r="C11" s="16">
        <v>15</v>
      </c>
      <c r="D11" s="17"/>
      <c r="E11" s="17"/>
      <c r="F11" s="16" t="s">
        <v>18</v>
      </c>
      <c r="G11" s="15">
        <f>IF($A11="x",VLOOKUP($B11,'[1]4. Coverage Review'!$B$4:$K$78,5,FALSE)*100,"")</f>
        <v>30.1</v>
      </c>
      <c r="H11" s="15">
        <f>IF($A11="x",VLOOKUP($B11,'[1]4. Coverage Review'!$B$4:$K$78,6,FALSE)*100,"")</f>
        <v>23.779</v>
      </c>
      <c r="I11" s="15">
        <f>IF($A11="x",IF(Chosen_Scenario="Mitigation Impact Only",VLOOKUP($B11,'[1]4. Coverage Review'!$B$4:$K$78,8,FALSE)*100,VLOOKUP($B11,'[1]4. Coverage Review'!$B$4:$K$78,10,FALSE)*100),"")</f>
        <v>27.58364</v>
      </c>
    </row>
    <row r="12" s="1" customFormat="1" ht="14.25" customHeight="1" spans="1:9">
      <c r="A12" s="12"/>
      <c r="B12" s="16"/>
      <c r="C12" s="16"/>
      <c r="D12" s="17"/>
      <c r="E12" s="17"/>
      <c r="F12" s="18" t="s">
        <v>19</v>
      </c>
      <c r="G12" s="15" t="str">
        <f>IF($A12="x",VLOOKUP($B12,'[1]4. Coverage Review'!$B$4:$K$78,5,FALSE)*100,"")</f>
        <v/>
      </c>
      <c r="H12" s="15" t="str">
        <f>IF($A12="x",VLOOKUP($B12,'[1]4. Coverage Review'!$B$4:$K$78,6,FALSE)*100,"")</f>
        <v/>
      </c>
      <c r="I12" s="15" t="str">
        <f>IF($A12="x",IF(Chosen_Scenario="Mitigation Impact Only",VLOOKUP($B12,'[1]4. Coverage Review'!$B$4:$K$78,8,FALSE)*100,VLOOKUP($B12,'[1]4. Coverage Review'!$B$4:$K$78,10,FALSE)*100),"")</f>
        <v/>
      </c>
    </row>
    <row r="13" s="1" customFormat="1" spans="1:9">
      <c r="A13" s="12" t="str">
        <f>IF(VLOOKUP(B13,'[1]1. Select Services'!$A$6:$E$77,5,FALSE)="x","x","")</f>
        <v>x</v>
      </c>
      <c r="B13" s="16">
        <v>11</v>
      </c>
      <c r="C13" s="16">
        <v>16</v>
      </c>
      <c r="D13" s="17"/>
      <c r="E13" s="17"/>
      <c r="F13" s="16" t="s">
        <v>20</v>
      </c>
      <c r="G13" s="15">
        <f>IF($A13="x",VLOOKUP($B13,'[1]4. Coverage Review'!$B$4:$K$78,5,FALSE)*100,"")</f>
        <v>88</v>
      </c>
      <c r="H13" s="15">
        <f>IF($A13="x",VLOOKUP($B13,'[1]4. Coverage Review'!$B$4:$K$78,6,FALSE)*100,"")</f>
        <v>69.52</v>
      </c>
      <c r="I13" s="15">
        <f>IF($A13="x",IF(Chosen_Scenario="Mitigation Impact Only",VLOOKUP($B13,'[1]4. Coverage Review'!$B$4:$K$78,8,FALSE)*100,VLOOKUP($B13,'[1]4. Coverage Review'!$B$4:$K$78,10,FALSE)*100),"")</f>
        <v>80.6432</v>
      </c>
    </row>
    <row r="14" s="1" customFormat="1" spans="1:11">
      <c r="A14" s="12" t="str">
        <f>IF(VLOOKUP(B14,'[1]1. Select Services'!$A$6:$E$77,5,FALSE)="x","x","")</f>
        <v/>
      </c>
      <c r="B14" s="16">
        <v>12</v>
      </c>
      <c r="C14" s="16">
        <v>17</v>
      </c>
      <c r="D14" s="17"/>
      <c r="E14" s="17"/>
      <c r="F14" s="16" t="s">
        <v>21</v>
      </c>
      <c r="G14" s="15" t="str">
        <f>IF($A14="x",VLOOKUP($B14,'[1]4. Coverage Review'!$B$4:$K$78,5,FALSE)*100,"")</f>
        <v/>
      </c>
      <c r="H14" s="15" t="str">
        <f>IF($A14="x",VLOOKUP($B14,'[1]4. Coverage Review'!$B$4:$K$78,6,FALSE)*100,"")</f>
        <v/>
      </c>
      <c r="I14" s="15" t="str">
        <f>IF($A14="x",IF(Chosen_Scenario="Mitigation Impact Only",VLOOKUP($B14,'[1]4. Coverage Review'!$B$4:$K$78,8,FALSE)*100,VLOOKUP($B14,'[1]4. Coverage Review'!$B$4:$K$78,10,FALSE)*100),"")</f>
        <v/>
      </c>
      <c r="K14" s="44"/>
    </row>
    <row r="15" s="1" customFormat="1" spans="1:9">
      <c r="A15" s="12" t="str">
        <f>IF(VLOOKUP(B15,'[1]1. Select Services'!$A$6:$E$77,5,FALSE)="x","x","")</f>
        <v>x</v>
      </c>
      <c r="B15" s="16">
        <v>13</v>
      </c>
      <c r="C15" s="16">
        <v>18</v>
      </c>
      <c r="D15" s="17"/>
      <c r="E15" s="17"/>
      <c r="F15" s="16" t="s">
        <v>22</v>
      </c>
      <c r="G15" s="15">
        <f>IF($A15="x",VLOOKUP($B15,'[1]4. Coverage Review'!$B$4:$K$78,5,FALSE)*100,"")</f>
        <v>16.7</v>
      </c>
      <c r="H15" s="15">
        <f>IF($A15="x",VLOOKUP($B15,'[1]4. Coverage Review'!$B$4:$K$78,6,FALSE)*100,"")</f>
        <v>13.193</v>
      </c>
      <c r="I15" s="15">
        <f>IF($A15="x",IF(Chosen_Scenario="Mitigation Impact Only",VLOOKUP($B15,'[1]4. Coverage Review'!$B$4:$K$78,8,FALSE)*100,VLOOKUP($B15,'[1]4. Coverage Review'!$B$4:$K$78,10,FALSE)*100),"")</f>
        <v>15.30388</v>
      </c>
    </row>
    <row r="16" s="1" customFormat="1" spans="1:9">
      <c r="A16" s="12"/>
      <c r="B16" s="16"/>
      <c r="C16" s="16"/>
      <c r="D16" s="17"/>
      <c r="E16" s="17"/>
      <c r="F16" s="18" t="s">
        <v>23</v>
      </c>
      <c r="G16" s="15" t="str">
        <f>IF($A16="x",VLOOKUP($B16,'[1]4. Coverage Review'!$B$4:$K$78,5,FALSE)*100,"")</f>
        <v/>
      </c>
      <c r="H16" s="15" t="str">
        <f>IF($A16="x",VLOOKUP($B16,'[1]4. Coverage Review'!$B$4:$K$78,6,FALSE)*100,"")</f>
        <v/>
      </c>
      <c r="I16" s="15" t="str">
        <f>IF($A16="x",IF(Chosen_Scenario="Mitigation Impact Only",VLOOKUP($B16,'[1]4. Coverage Review'!$B$4:$K$78,8,FALSE)*100,VLOOKUP($B16,'[1]4. Coverage Review'!$B$4:$K$78,10,FALSE)*100),"")</f>
        <v/>
      </c>
    </row>
    <row r="17" s="1" customFormat="1" spans="1:9">
      <c r="A17" s="12" t="str">
        <f>IF(VLOOKUP(B17,'[1]1. Select Services'!$A$6:$E$77,5,FALSE)="x","x","")</f>
        <v/>
      </c>
      <c r="B17" s="16">
        <v>14</v>
      </c>
      <c r="C17" s="16">
        <v>19</v>
      </c>
      <c r="D17" s="17"/>
      <c r="E17" s="17"/>
      <c r="F17" s="16" t="s">
        <v>24</v>
      </c>
      <c r="G17" s="15" t="str">
        <f>IF($A17="x",VLOOKUP($B17,'[1]4. Coverage Review'!$B$4:$K$78,5,FALSE)*100,"")</f>
        <v/>
      </c>
      <c r="H17" s="15" t="str">
        <f>IF($A17="x",VLOOKUP($B17,'[1]4. Coverage Review'!$B$4:$K$78,6,FALSE)*100,"")</f>
        <v/>
      </c>
      <c r="I17" s="15" t="str">
        <f>IF($A17="x",IF(Chosen_Scenario="Mitigation Impact Only",VLOOKUP($B17,'[1]4. Coverage Review'!$B$4:$K$78,8,FALSE)*100,VLOOKUP($B17,'[1]4. Coverage Review'!$B$4:$K$78,10,FALSE)*100),"")</f>
        <v/>
      </c>
    </row>
    <row r="18" s="1" customFormat="1" spans="1:9">
      <c r="A18" s="12"/>
      <c r="B18" s="16"/>
      <c r="C18" s="16"/>
      <c r="D18" s="17"/>
      <c r="E18" s="17"/>
      <c r="F18" s="19" t="s">
        <v>25</v>
      </c>
      <c r="G18" s="15" t="str">
        <f>IF($A18="x",VLOOKUP($B18,'[1]4. Coverage Review'!$B$4:$K$78,5,FALSE)*100,"")</f>
        <v/>
      </c>
      <c r="H18" s="15" t="str">
        <f>IF($A18="x",VLOOKUP($B18,'[1]4. Coverage Review'!$B$4:$K$78,6,FALSE)*100,"")</f>
        <v/>
      </c>
      <c r="I18" s="15" t="str">
        <f>IF($A18="x",IF(Chosen_Scenario="Mitigation Impact Only",VLOOKUP($B18,'[1]4. Coverage Review'!$B$4:$K$78,8,FALSE)*100,VLOOKUP($B18,'[1]4. Coverage Review'!$B$4:$K$78,10,FALSE)*100),"")</f>
        <v/>
      </c>
    </row>
    <row r="19" s="1" customFormat="1" spans="1:9">
      <c r="A19" s="12" t="str">
        <f>IF(VLOOKUP(B19,'[1]1. Select Services'!$A$6:$E$77,5,FALSE)="x","x","")</f>
        <v>x</v>
      </c>
      <c r="B19" s="16">
        <v>15</v>
      </c>
      <c r="C19" s="16">
        <v>20</v>
      </c>
      <c r="D19" s="17"/>
      <c r="E19" s="17"/>
      <c r="F19" s="20" t="s">
        <v>26</v>
      </c>
      <c r="G19" s="15">
        <f>IF($A19="x",VLOOKUP($B19,'[1]4. Coverage Review'!$B$4:$K$78,5,FALSE)*100,"")</f>
        <v>5.2</v>
      </c>
      <c r="H19" s="15">
        <f>IF($A19="x",VLOOKUP($B19,'[1]4. Coverage Review'!$B$4:$K$78,6,FALSE)*100,"")</f>
        <v>4.108</v>
      </c>
      <c r="I19" s="15">
        <f>IF($A19="x",IF(Chosen_Scenario="Mitigation Impact Only",VLOOKUP($B19,'[1]4. Coverage Review'!$B$4:$K$78,8,FALSE)*100,VLOOKUP($B19,'[1]4. Coverage Review'!$B$4:$K$78,10,FALSE)*100),"")</f>
        <v>4.76528</v>
      </c>
    </row>
    <row r="20" s="1" customFormat="1" spans="1:9">
      <c r="A20" s="12" t="str">
        <f>IF(VLOOKUP(B20,'[1]1. Select Services'!$A$6:$E$77,5,FALSE)="x","x","")</f>
        <v/>
      </c>
      <c r="B20" s="16">
        <v>16</v>
      </c>
      <c r="C20" s="16">
        <v>21</v>
      </c>
      <c r="D20" s="17"/>
      <c r="E20" s="17"/>
      <c r="F20" s="20" t="s">
        <v>27</v>
      </c>
      <c r="G20" s="15" t="str">
        <f>IF($A20="x",VLOOKUP($B20,'[1]4. Coverage Review'!$B$4:$K$78,5,FALSE)*100,"")</f>
        <v/>
      </c>
      <c r="H20" s="15" t="str">
        <f>IF($A20="x",VLOOKUP($B20,'[1]4. Coverage Review'!$B$4:$K$78,6,FALSE)*100,"")</f>
        <v/>
      </c>
      <c r="I20" s="15" t="str">
        <f>IF($A20="x",IF(Chosen_Scenario="Mitigation Impact Only",VLOOKUP($B20,'[1]4. Coverage Review'!$B$4:$K$78,8,FALSE)*100,VLOOKUP($B20,'[1]4. Coverage Review'!$B$4:$K$78,10,FALSE)*100),"")</f>
        <v/>
      </c>
    </row>
    <row r="21" s="1" customFormat="1" spans="1:9">
      <c r="A21" s="12" t="str">
        <f>IF(VLOOKUP(B21,'[1]1. Select Services'!$A$6:$E$77,5,FALSE)="x","x","")</f>
        <v/>
      </c>
      <c r="B21" s="16">
        <v>17</v>
      </c>
      <c r="C21" s="16">
        <v>22</v>
      </c>
      <c r="D21" s="17"/>
      <c r="E21" s="17"/>
      <c r="F21" s="16" t="s">
        <v>28</v>
      </c>
      <c r="G21" s="15" t="str">
        <f>IF($A21="x",VLOOKUP($B21,'[1]4. Coverage Review'!$B$4:$K$78,5,FALSE)*100,"")</f>
        <v/>
      </c>
      <c r="H21" s="15" t="str">
        <f>IF($A21="x",VLOOKUP($B21,'[1]4. Coverage Review'!$B$4:$K$78,6,FALSE)*100,"")</f>
        <v/>
      </c>
      <c r="I21" s="15" t="str">
        <f>IF($A21="x",IF(Chosen_Scenario="Mitigation Impact Only",VLOOKUP($B21,'[1]4. Coverage Review'!$B$4:$K$78,8,FALSE)*100,VLOOKUP($B21,'[1]4. Coverage Review'!$B$4:$K$78,10,FALSE)*100),"")</f>
        <v/>
      </c>
    </row>
    <row r="22" s="1" customFormat="1" spans="1:9">
      <c r="A22" s="12"/>
      <c r="B22" s="16"/>
      <c r="C22" s="16"/>
      <c r="D22" s="17"/>
      <c r="E22" s="17"/>
      <c r="F22" s="18" t="s">
        <v>29</v>
      </c>
      <c r="G22" s="15" t="str">
        <f>IF($A22="x",VLOOKUP($B22,'[1]4. Coverage Review'!$B$4:$K$78,5,FALSE)*100,"")</f>
        <v/>
      </c>
      <c r="H22" s="15" t="str">
        <f>IF($A22="x",VLOOKUP($B22,'[1]4. Coverage Review'!$B$4:$K$78,6,FALSE)*100,"")</f>
        <v/>
      </c>
      <c r="I22" s="15" t="str">
        <f>IF($A22="x",IF(Chosen_Scenario="Mitigation Impact Only",VLOOKUP($B22,'[1]4. Coverage Review'!$B$4:$K$78,8,FALSE)*100,VLOOKUP($B22,'[1]4. Coverage Review'!$B$4:$K$78,10,FALSE)*100),"")</f>
        <v/>
      </c>
    </row>
    <row r="23" s="1" customFormat="1" spans="1:9">
      <c r="A23" s="12" t="str">
        <f>IF(VLOOKUP(B23,'[1]1. Select Services'!$A$6:$E$77,5,FALSE)="x","x","")</f>
        <v>x</v>
      </c>
      <c r="B23" s="16">
        <v>18</v>
      </c>
      <c r="C23" s="16">
        <v>23</v>
      </c>
      <c r="D23" s="17"/>
      <c r="E23" s="17"/>
      <c r="F23" s="16" t="s">
        <v>30</v>
      </c>
      <c r="G23" s="15">
        <f>IF($A23="x",VLOOKUP($B23,'[1]4. Coverage Review'!$B$4:$K$78,5,FALSE)*100,"")</f>
        <v>7.2</v>
      </c>
      <c r="H23" s="15">
        <f>IF($A23="x",VLOOKUP($B23,'[1]4. Coverage Review'!$B$4:$K$78,6,FALSE)*100,"")</f>
        <v>5.688</v>
      </c>
      <c r="I23" s="15">
        <f>IF($A23="x",IF(Chosen_Scenario="Mitigation Impact Only",VLOOKUP($B23,'[1]4. Coverage Review'!$B$4:$K$78,8,FALSE)*100,VLOOKUP($B23,'[1]4. Coverage Review'!$B$4:$K$78,10,FALSE)*100),"")</f>
        <v>6.59808</v>
      </c>
    </row>
    <row r="24" s="1" customFormat="1" spans="1:9">
      <c r="A24" s="12" t="str">
        <f>IF(VLOOKUP(B24,'[1]1. Select Services'!$A$6:$E$77,5,FALSE)="x","x","")</f>
        <v>x</v>
      </c>
      <c r="B24" s="16">
        <v>19</v>
      </c>
      <c r="C24" s="16">
        <v>24</v>
      </c>
      <c r="D24" s="17"/>
      <c r="E24" s="17"/>
      <c r="F24" s="16" t="s">
        <v>31</v>
      </c>
      <c r="G24" s="15">
        <f>IF($A24="x",VLOOKUP($B24,'[1]4. Coverage Review'!$B$4:$K$78,5,FALSE)*100,"")</f>
        <v>5.6</v>
      </c>
      <c r="H24" s="15">
        <f>IF($A24="x",VLOOKUP($B24,'[1]4. Coverage Review'!$B$4:$K$78,6,FALSE)*100,"")</f>
        <v>4.424</v>
      </c>
      <c r="I24" s="15">
        <f>IF($A24="x",IF(Chosen_Scenario="Mitigation Impact Only",VLOOKUP($B24,'[1]4. Coverage Review'!$B$4:$K$78,8,FALSE)*100,VLOOKUP($B24,'[1]4. Coverage Review'!$B$4:$K$78,10,FALSE)*100),"")</f>
        <v>5.13184</v>
      </c>
    </row>
    <row r="25" s="1" customFormat="1" spans="1:9">
      <c r="A25" s="12" t="str">
        <f>IF(VLOOKUP(B25,'[1]1. Select Services'!$A$6:$E$77,5,FALSE)="x","x","")</f>
        <v>x</v>
      </c>
      <c r="B25" s="16">
        <v>20</v>
      </c>
      <c r="C25" s="16">
        <v>25</v>
      </c>
      <c r="D25" s="17"/>
      <c r="E25" s="17"/>
      <c r="F25" s="16" t="s">
        <v>32</v>
      </c>
      <c r="G25" s="15">
        <f>IF($A25="x",VLOOKUP($B25,'[1]4. Coverage Review'!$B$4:$K$78,5,FALSE)*100,"")</f>
        <v>0</v>
      </c>
      <c r="H25" s="15">
        <f>IF($A25="x",VLOOKUP($B25,'[1]4. Coverage Review'!$B$4:$K$78,6,FALSE)*100,"")</f>
        <v>0</v>
      </c>
      <c r="I25" s="15">
        <f>IF($A25="x",IF(Chosen_Scenario="Mitigation Impact Only",VLOOKUP($B25,'[1]4. Coverage Review'!$B$4:$K$78,8,FALSE)*100,VLOOKUP($B25,'[1]4. Coverage Review'!$B$4:$K$78,10,FALSE)*100),"")</f>
        <v>0</v>
      </c>
    </row>
    <row r="26" s="1" customFormat="1" spans="1:9">
      <c r="A26" s="12" t="str">
        <f>IF(VLOOKUP(B26,'[1]1. Select Services'!$A$6:$E$77,5,FALSE)="x","x","")</f>
        <v>x</v>
      </c>
      <c r="B26" s="16">
        <v>21</v>
      </c>
      <c r="C26" s="16">
        <v>26</v>
      </c>
      <c r="D26" s="17"/>
      <c r="E26" s="17"/>
      <c r="F26" s="16" t="s">
        <v>33</v>
      </c>
      <c r="G26" s="15">
        <f>IF($A26="x",VLOOKUP($B26,'[1]4. Coverage Review'!$B$4:$K$78,5,FALSE)*100,"")</f>
        <v>14.3</v>
      </c>
      <c r="H26" s="15">
        <f>IF($A26="x",VLOOKUP($B26,'[1]4. Coverage Review'!$B$4:$K$78,6,FALSE)*100,"")</f>
        <v>11.297</v>
      </c>
      <c r="I26" s="15">
        <f>IF($A26="x",IF(Chosen_Scenario="Mitigation Impact Only",VLOOKUP($B26,'[1]4. Coverage Review'!$B$4:$K$78,8,FALSE)*100,VLOOKUP($B26,'[1]4. Coverage Review'!$B$4:$K$78,10,FALSE)*100),"")</f>
        <v>13.10452</v>
      </c>
    </row>
    <row r="27" s="1" customFormat="1" ht="12.75" customHeight="1" spans="1:9">
      <c r="A27" s="12" t="str">
        <f>IF(VLOOKUP(B27,'[1]1. Select Services'!$A$6:$E$77,5,FALSE)="x","x","")</f>
        <v>x</v>
      </c>
      <c r="B27" s="21">
        <v>22</v>
      </c>
      <c r="C27" s="21">
        <v>27</v>
      </c>
      <c r="D27" s="22" t="s">
        <v>34</v>
      </c>
      <c r="E27" s="23"/>
      <c r="F27" s="24" t="s">
        <v>35</v>
      </c>
      <c r="G27" s="15">
        <f>IF($A27="x",VLOOKUP($B27,'[1]4. Coverage Review'!$B$4:$K$78,5,FALSE)*100,"")</f>
        <v>72.7</v>
      </c>
      <c r="H27" s="15">
        <f>IF($A27="x",VLOOKUP($B27,'[1]4. Coverage Review'!$B$4:$K$78,6,FALSE)*100,"")</f>
        <v>62.522</v>
      </c>
      <c r="I27" s="15">
        <f>IF($A27="x",IF(Chosen_Scenario="Mitigation Impact Only",VLOOKUP($B27,'[1]4. Coverage Review'!$B$4:$K$78,8,FALSE)*100,VLOOKUP($B27,'[1]4. Coverage Review'!$B$4:$K$78,10,FALSE)*100),"")</f>
        <v>72.52552</v>
      </c>
    </row>
    <row r="28" s="1" customFormat="1" spans="1:9">
      <c r="A28" s="12"/>
      <c r="B28" s="21"/>
      <c r="C28" s="21"/>
      <c r="D28" s="25"/>
      <c r="E28" s="26"/>
      <c r="F28" s="27" t="s">
        <v>19</v>
      </c>
      <c r="G28" s="15" t="str">
        <f>IF($A28="x",VLOOKUP($B28,'[1]4. Coverage Review'!$B$4:$K$78,5,FALSE)*100,"")</f>
        <v/>
      </c>
      <c r="H28" s="15" t="str">
        <f>IF($A28="x",VLOOKUP($B28,'[1]4. Coverage Review'!$B$4:$K$78,6,FALSE)*100,"")</f>
        <v/>
      </c>
      <c r="I28" s="15" t="str">
        <f>IF($A28="x",IF(Chosen_Scenario="Mitigation Impact Only",VLOOKUP($B28,'[1]4. Coverage Review'!$B$4:$K$78,8,FALSE)*100,VLOOKUP($B28,'[1]4. Coverage Review'!$B$4:$K$78,10,FALSE)*100),"")</f>
        <v/>
      </c>
    </row>
    <row r="29" s="1" customFormat="1" spans="1:9">
      <c r="A29" s="12" t="str">
        <f>IF(VLOOKUP(B29,'[1]1. Select Services'!$A$6:$E$77,5,FALSE)="x","x","")</f>
        <v>x</v>
      </c>
      <c r="B29" s="21">
        <v>23</v>
      </c>
      <c r="C29" s="21">
        <v>28</v>
      </c>
      <c r="D29" s="25"/>
      <c r="E29" s="26"/>
      <c r="F29" s="24" t="s">
        <v>36</v>
      </c>
      <c r="G29" s="15">
        <f>IF($A29="x",VLOOKUP($B29,'[1]4. Coverage Review'!$B$4:$K$78,5,FALSE)*100,"")</f>
        <v>59.6</v>
      </c>
      <c r="H29" s="15">
        <f>IF($A29="x",VLOOKUP($B29,'[1]4. Coverage Review'!$B$4:$K$78,6,FALSE)*100,"")</f>
        <v>51.256</v>
      </c>
      <c r="I29" s="15">
        <f>IF($A29="x",IF(Chosen_Scenario="Mitigation Impact Only",VLOOKUP($B29,'[1]4. Coverage Review'!$B$4:$K$78,8,FALSE)*100,VLOOKUP($B29,'[1]4. Coverage Review'!$B$4:$K$78,10,FALSE)*100),"")</f>
        <v>59.45696</v>
      </c>
    </row>
    <row r="30" s="1" customFormat="1" spans="1:9">
      <c r="A30" s="12" t="str">
        <f>IF(VLOOKUP(B30,'[1]1. Select Services'!$A$6:$E$77,5,FALSE)="x","x","")</f>
        <v>x</v>
      </c>
      <c r="B30" s="21">
        <v>39</v>
      </c>
      <c r="C30" s="21">
        <v>29</v>
      </c>
      <c r="D30" s="25"/>
      <c r="E30" s="26"/>
      <c r="F30" s="24" t="s">
        <v>37</v>
      </c>
      <c r="G30" s="15">
        <f>IF($A30="x",VLOOKUP($B30,'[1]4. Coverage Review'!$B$4:$K$78,5,FALSE)*100,"")</f>
        <v>66.6</v>
      </c>
      <c r="H30" s="15">
        <f>IF($A30="x",VLOOKUP($B30,'[1]4. Coverage Review'!$B$4:$K$78,6,FALSE)*100,"")</f>
        <v>55.944</v>
      </c>
      <c r="I30" s="15">
        <f>IF($A30="x",IF(Chosen_Scenario="Mitigation Impact Only",VLOOKUP($B30,'[1]4. Coverage Review'!$B$4:$K$78,8,FALSE)*100,VLOOKUP($B30,'[1]4. Coverage Review'!$B$4:$K$78,10,FALSE)*100),"")</f>
        <v>64.89504</v>
      </c>
    </row>
    <row r="31" s="1" customFormat="1" spans="1:9">
      <c r="A31" s="12" t="str">
        <f>IF(VLOOKUP(B31,'[1]1. Select Services'!$A$6:$E$77,5,FALSE)="x","x","")</f>
        <v>x</v>
      </c>
      <c r="B31" s="21">
        <v>40</v>
      </c>
      <c r="C31" s="21">
        <v>30</v>
      </c>
      <c r="D31" s="25"/>
      <c r="E31" s="26"/>
      <c r="F31" s="24" t="s">
        <v>38</v>
      </c>
      <c r="G31" s="15">
        <f>IF($A31="x",VLOOKUP($B31,'[1]4. Coverage Review'!$B$4:$K$78,5,FALSE)*100,"")</f>
        <v>71.9</v>
      </c>
      <c r="H31" s="15">
        <f>IF($A31="x",VLOOKUP($B31,'[1]4. Coverage Review'!$B$4:$K$78,6,FALSE)*100,"")</f>
        <v>60.396</v>
      </c>
      <c r="I31" s="15">
        <f>IF($A31="x",IF(Chosen_Scenario="Mitigation Impact Only",VLOOKUP($B31,'[1]4. Coverage Review'!$B$4:$K$78,8,FALSE)*100,VLOOKUP($B31,'[1]4. Coverage Review'!$B$4:$K$78,10,FALSE)*100),"")</f>
        <v>70.05936</v>
      </c>
    </row>
    <row r="32" s="1" customFormat="1" spans="1:9">
      <c r="A32" s="12" t="str">
        <f>IF(VLOOKUP(B32,'[1]1. Select Services'!$A$6:$E$77,5,FALSE)="x","x","")</f>
        <v>x</v>
      </c>
      <c r="B32" s="21">
        <v>41</v>
      </c>
      <c r="C32" s="21">
        <v>31</v>
      </c>
      <c r="D32" s="25"/>
      <c r="E32" s="26"/>
      <c r="F32" s="24" t="s">
        <v>39</v>
      </c>
      <c r="G32" s="15">
        <f>IF($A32="x",VLOOKUP($B32,'[1]4. Coverage Review'!$B$4:$K$78,5,FALSE)*100,"")</f>
        <v>69.4</v>
      </c>
      <c r="H32" s="15">
        <f>IF($A32="x",VLOOKUP($B32,'[1]4. Coverage Review'!$B$4:$K$78,6,FALSE)*100,"")</f>
        <v>58.296</v>
      </c>
      <c r="I32" s="15">
        <f>IF($A32="x",IF(Chosen_Scenario="Mitigation Impact Only",VLOOKUP($B32,'[1]4. Coverage Review'!$B$4:$K$78,8,FALSE)*100,VLOOKUP($B32,'[1]4. Coverage Review'!$B$4:$K$78,10,FALSE)*100),"")</f>
        <v>67.62336</v>
      </c>
    </row>
    <row r="33" s="1" customFormat="1" spans="1:9">
      <c r="A33" s="12" t="str">
        <f>IF(VLOOKUP(B33,'[1]1. Select Services'!$A$6:$E$77,5,FALSE)="x","x","")</f>
        <v>x</v>
      </c>
      <c r="B33" s="21">
        <v>24</v>
      </c>
      <c r="C33" s="21">
        <v>32</v>
      </c>
      <c r="D33" s="25"/>
      <c r="E33" s="26"/>
      <c r="F33" s="24" t="s">
        <v>40</v>
      </c>
      <c r="G33" s="15">
        <f>IF($A33="x",VLOOKUP($B33,'[1]4. Coverage Review'!$B$4:$K$78,5,FALSE)*100,"")</f>
        <v>27.2</v>
      </c>
      <c r="H33" s="15">
        <f>IF($A33="x",VLOOKUP($B33,'[1]4. Coverage Review'!$B$4:$K$78,6,FALSE)*100,"")</f>
        <v>23.392</v>
      </c>
      <c r="I33" s="15">
        <f>IF($A33="x",IF(Chosen_Scenario="Mitigation Impact Only",VLOOKUP($B33,'[1]4. Coverage Review'!$B$4:$K$78,8,FALSE)*100,VLOOKUP($B33,'[1]4. Coverage Review'!$B$4:$K$78,10,FALSE)*100),"")</f>
        <v>27.13472</v>
      </c>
    </row>
    <row r="34" s="1" customFormat="1" spans="1:9">
      <c r="A34" s="12"/>
      <c r="B34" s="21"/>
      <c r="C34" s="21"/>
      <c r="D34" s="25"/>
      <c r="E34" s="26"/>
      <c r="F34" s="27" t="s">
        <v>41</v>
      </c>
      <c r="G34" s="15" t="str">
        <f>IF($A34="x",VLOOKUP($B34,'[1]4. Coverage Review'!$B$4:$K$78,5,FALSE)*100,"")</f>
        <v/>
      </c>
      <c r="H34" s="15" t="str">
        <f>IF($A34="x",VLOOKUP($B34,'[1]4. Coverage Review'!$B$4:$K$78,6,FALSE)*100,"")</f>
        <v/>
      </c>
      <c r="I34" s="15" t="str">
        <f>IF($A34="x",IF(Chosen_Scenario="Mitigation Impact Only",VLOOKUP($B34,'[1]4. Coverage Review'!$B$4:$K$78,8,FALSE)*100,VLOOKUP($B34,'[1]4. Coverage Review'!$B$4:$K$78,10,FALSE)*100),"")</f>
        <v/>
      </c>
    </row>
    <row r="35" s="1" customFormat="1" spans="1:9">
      <c r="A35" s="12" t="s">
        <v>15</v>
      </c>
      <c r="B35" s="21">
        <v>25</v>
      </c>
      <c r="C35" s="21">
        <v>33</v>
      </c>
      <c r="D35" s="25"/>
      <c r="E35" s="26"/>
      <c r="F35" s="24" t="s">
        <v>42</v>
      </c>
      <c r="G35" s="15">
        <f>IF($A35="x",VLOOKUP($B35,'[1]4. Coverage Review'!$B$4:$K$78,5,FALSE)*100,"")</f>
        <v>52</v>
      </c>
      <c r="H35" s="15">
        <f>IF($A35="x",VLOOKUP($B35,'[1]4. Coverage Review'!$B$4:$K$78,6,FALSE)*100,"")</f>
        <v>44.72</v>
      </c>
      <c r="I35" s="15">
        <f>IF($A35="x",IF(Chosen_Scenario="Mitigation Impact Only",VLOOKUP($B35,'[1]4. Coverage Review'!$B$4:$K$78,8,FALSE)*100,VLOOKUP($B35,'[1]4. Coverage Review'!$B$4:$K$78,10,FALSE)*100),"")</f>
        <v>51.8752</v>
      </c>
    </row>
    <row r="36" s="1" customFormat="1" spans="1:9">
      <c r="A36" s="12" t="str">
        <f>IF(VLOOKUP(B36,'[1]1. Select Services'!$A$6:$E$77,5,FALSE)="x","x","")</f>
        <v>x</v>
      </c>
      <c r="B36" s="21">
        <v>26</v>
      </c>
      <c r="C36" s="21">
        <v>34</v>
      </c>
      <c r="D36" s="25"/>
      <c r="E36" s="26"/>
      <c r="F36" s="24" t="s">
        <v>43</v>
      </c>
      <c r="G36" s="15">
        <f>IF($A36="x",VLOOKUP($B36,'[1]4. Coverage Review'!$B$4:$K$78,5,FALSE)*100,"")</f>
        <v>54.4</v>
      </c>
      <c r="H36" s="15">
        <f>IF($A36="x",VLOOKUP($B36,'[1]4. Coverage Review'!$B$4:$K$78,6,FALSE)*100,"")</f>
        <v>46.784</v>
      </c>
      <c r="I36" s="15">
        <f>IF($A36="x",IF(Chosen_Scenario="Mitigation Impact Only",VLOOKUP($B36,'[1]4. Coverage Review'!$B$4:$K$78,8,FALSE)*100,VLOOKUP($B36,'[1]4. Coverage Review'!$B$4:$K$78,10,FALSE)*100),"")</f>
        <v>54.26944</v>
      </c>
    </row>
    <row r="37" s="1" customFormat="1" spans="1:9">
      <c r="A37" s="12" t="str">
        <f>IF(VLOOKUP(B37,'[1]1. Select Services'!$A$6:$E$77,5,FALSE)="x","x","")</f>
        <v>x</v>
      </c>
      <c r="B37" s="21">
        <v>27</v>
      </c>
      <c r="C37" s="21">
        <v>35</v>
      </c>
      <c r="D37" s="25"/>
      <c r="E37" s="26"/>
      <c r="F37" s="24" t="s">
        <v>44</v>
      </c>
      <c r="G37" s="15">
        <f>IF($A37="x",VLOOKUP($B37,'[1]4. Coverage Review'!$B$4:$K$78,5,FALSE)*100,"")</f>
        <v>54.4</v>
      </c>
      <c r="H37" s="15">
        <f>IF($A37="x",VLOOKUP($B37,'[1]4. Coverage Review'!$B$4:$K$78,6,FALSE)*100,"")</f>
        <v>46.784</v>
      </c>
      <c r="I37" s="15">
        <f>IF($A37="x",IF(Chosen_Scenario="Mitigation Impact Only",VLOOKUP($B37,'[1]4. Coverage Review'!$B$4:$K$78,8,FALSE)*100,VLOOKUP($B37,'[1]4. Coverage Review'!$B$4:$K$78,10,FALSE)*100),"")</f>
        <v>54.26944</v>
      </c>
    </row>
    <row r="38" s="1" customFormat="1" spans="1:9">
      <c r="A38" s="12" t="str">
        <f>IF(VLOOKUP(B38,'[1]1. Select Services'!$A$6:$E$77,5,FALSE)="x","x","")</f>
        <v>x</v>
      </c>
      <c r="B38" s="21">
        <v>28</v>
      </c>
      <c r="C38" s="21">
        <v>36</v>
      </c>
      <c r="D38" s="25"/>
      <c r="E38" s="26"/>
      <c r="F38" s="24" t="s">
        <v>45</v>
      </c>
      <c r="G38" s="15">
        <f>IF($A38="x",VLOOKUP($B38,'[1]4. Coverage Review'!$B$4:$K$78,5,FALSE)*100,"")</f>
        <v>18.4</v>
      </c>
      <c r="H38" s="15">
        <f>IF($A38="x",VLOOKUP($B38,'[1]4. Coverage Review'!$B$4:$K$78,6,FALSE)*100,"")</f>
        <v>15.824</v>
      </c>
      <c r="I38" s="15">
        <f>IF($A38="x",IF(Chosen_Scenario="Mitigation Impact Only",VLOOKUP($B38,'[1]4. Coverage Review'!$B$4:$K$78,8,FALSE)*100,VLOOKUP($B38,'[1]4. Coverage Review'!$B$4:$K$78,10,FALSE)*100),"")</f>
        <v>18.35584</v>
      </c>
    </row>
    <row r="39" s="1" customFormat="1" spans="1:9">
      <c r="A39" s="12" t="str">
        <f>IF(VLOOKUP(B39,'[1]1. Select Services'!$A$6:$E$77,5,FALSE)="x","x","")</f>
        <v>x</v>
      </c>
      <c r="B39" s="21">
        <v>42</v>
      </c>
      <c r="C39" s="21">
        <v>37</v>
      </c>
      <c r="D39" s="25"/>
      <c r="E39" s="26"/>
      <c r="F39" s="24" t="s">
        <v>46</v>
      </c>
      <c r="G39" s="15">
        <f>IF($A39="x",VLOOKUP($B39,'[1]4. Coverage Review'!$B$4:$K$78,5,FALSE)*100,"")</f>
        <v>40</v>
      </c>
      <c r="H39" s="15">
        <f>IF($A39="x",VLOOKUP($B39,'[1]4. Coverage Review'!$B$4:$K$78,6,FALSE)*100,"")</f>
        <v>33.6</v>
      </c>
      <c r="I39" s="15">
        <f>IF($A39="x",IF(Chosen_Scenario="Mitigation Impact Only",VLOOKUP($B39,'[1]4. Coverage Review'!$B$4:$K$78,8,FALSE)*100,VLOOKUP($B39,'[1]4. Coverage Review'!$B$4:$K$78,10,FALSE)*100),"")</f>
        <v>38.976</v>
      </c>
    </row>
    <row r="40" s="1" customFormat="1" spans="1:9">
      <c r="A40" s="12" t="str">
        <f>IF(VLOOKUP(B40,'[1]1. Select Services'!$A$6:$E$77,5,FALSE)="x","x","")</f>
        <v>x</v>
      </c>
      <c r="B40" s="21">
        <v>29</v>
      </c>
      <c r="C40" s="21">
        <v>38</v>
      </c>
      <c r="D40" s="25"/>
      <c r="E40" s="26"/>
      <c r="F40" s="24" t="s">
        <v>47</v>
      </c>
      <c r="G40" s="15">
        <f>IF($A40="x",VLOOKUP($B40,'[1]4. Coverage Review'!$B$4:$K$78,5,FALSE)*100,"")</f>
        <v>65</v>
      </c>
      <c r="H40" s="15">
        <f>IF($A40="x",VLOOKUP($B40,'[1]4. Coverage Review'!$B$4:$K$78,6,FALSE)*100,"")</f>
        <v>55.9</v>
      </c>
      <c r="I40" s="15">
        <f>IF($A40="x",IF(Chosen_Scenario="Mitigation Impact Only",VLOOKUP($B40,'[1]4. Coverage Review'!$B$4:$K$78,8,FALSE)*100,VLOOKUP($B40,'[1]4. Coverage Review'!$B$4:$K$78,10,FALSE)*100),"")</f>
        <v>64.844</v>
      </c>
    </row>
    <row r="41" s="1" customFormat="1" spans="1:9">
      <c r="A41" s="12" t="str">
        <f>IF(VLOOKUP(B41,'[1]1. Select Services'!$A$6:$E$77,5,FALSE)="x","x","")</f>
        <v>x</v>
      </c>
      <c r="B41" s="21">
        <v>30</v>
      </c>
      <c r="C41" s="21">
        <v>39</v>
      </c>
      <c r="D41" s="25"/>
      <c r="E41" s="26"/>
      <c r="F41" s="24" t="s">
        <v>48</v>
      </c>
      <c r="G41" s="15">
        <f>IF($A41="x",VLOOKUP($B41,'[1]4. Coverage Review'!$B$4:$K$78,5,FALSE)*100,"")</f>
        <v>24.1</v>
      </c>
      <c r="H41" s="15">
        <f>IF($A41="x",VLOOKUP($B41,'[1]4. Coverage Review'!$B$4:$K$78,6,FALSE)*100,"")</f>
        <v>20.726</v>
      </c>
      <c r="I41" s="15">
        <f>IF($A41="x",IF(Chosen_Scenario="Mitigation Impact Only",VLOOKUP($B41,'[1]4. Coverage Review'!$B$4:$K$78,8,FALSE)*100,VLOOKUP($B41,'[1]4. Coverage Review'!$B$4:$K$78,10,FALSE)*100),"")</f>
        <v>24.04216</v>
      </c>
    </row>
    <row r="42" s="1" customFormat="1" spans="1:9">
      <c r="A42" s="12" t="str">
        <f>IF(VLOOKUP(B42,'[1]1. Select Services'!$A$6:$E$77,5,FALSE)="x","x","")</f>
        <v>x</v>
      </c>
      <c r="B42" s="21">
        <v>31</v>
      </c>
      <c r="C42" s="21">
        <v>40</v>
      </c>
      <c r="D42" s="25"/>
      <c r="E42" s="26"/>
      <c r="F42" s="28" t="s">
        <v>49</v>
      </c>
      <c r="G42" s="15">
        <f>IF($A42="x",VLOOKUP($B42,'[1]4. Coverage Review'!$B$4:$K$78,5,FALSE)*100,"")</f>
        <v>1.3</v>
      </c>
      <c r="H42" s="15">
        <f>IF($A42="x",VLOOKUP($B42,'[1]4. Coverage Review'!$B$4:$K$78,6,FALSE)*100,"")</f>
        <v>1.118</v>
      </c>
      <c r="I42" s="15">
        <f>IF($A42="x",IF(Chosen_Scenario="Mitigation Impact Only",VLOOKUP($B42,'[1]4. Coverage Review'!$B$4:$K$78,8,FALSE)*100,VLOOKUP($B42,'[1]4. Coverage Review'!$B$4:$K$78,10,FALSE)*100),"")</f>
        <v>1.29688</v>
      </c>
    </row>
    <row r="43" s="1" customFormat="1" spans="1:9">
      <c r="A43" s="12" t="str">
        <f>IF(VLOOKUP(B43,'[1]1. Select Services'!$A$6:$E$77,5,FALSE)="x","x","")</f>
        <v/>
      </c>
      <c r="B43" s="21">
        <v>32</v>
      </c>
      <c r="C43" s="21">
        <v>41</v>
      </c>
      <c r="D43" s="25"/>
      <c r="E43" s="26"/>
      <c r="F43" s="24" t="s">
        <v>50</v>
      </c>
      <c r="G43" s="15" t="str">
        <f>IF($A43="x",VLOOKUP($B43,'[1]4. Coverage Review'!$B$4:$K$78,5,FALSE)*100,"")</f>
        <v/>
      </c>
      <c r="H43" s="15" t="str">
        <f>IF($A43="x",VLOOKUP($B43,'[1]4. Coverage Review'!$B$4:$K$78,6,FALSE)*100,"")</f>
        <v/>
      </c>
      <c r="I43" s="15" t="str">
        <f>IF($A43="x",IF(Chosen_Scenario="Mitigation Impact Only",VLOOKUP($B43,'[1]4. Coverage Review'!$B$4:$K$78,8,FALSE)*100,VLOOKUP($B43,'[1]4. Coverage Review'!$B$4:$K$78,10,FALSE)*100),"")</f>
        <v/>
      </c>
    </row>
    <row r="44" s="1" customFormat="1" spans="1:9">
      <c r="A44" s="12"/>
      <c r="B44" s="21"/>
      <c r="C44" s="21"/>
      <c r="D44" s="25"/>
      <c r="E44" s="26"/>
      <c r="F44" s="29" t="s">
        <v>51</v>
      </c>
      <c r="G44" s="15" t="str">
        <f>IF($A44="x",VLOOKUP($B44,'[1]4. Coverage Review'!$B$4:$K$78,5,FALSE)*100,"")</f>
        <v/>
      </c>
      <c r="H44" s="15" t="str">
        <f>IF($A44="x",VLOOKUP($B44,'[1]4. Coverage Review'!$B$4:$K$78,6,FALSE)*100,"")</f>
        <v/>
      </c>
      <c r="I44" s="15" t="str">
        <f>IF($A44="x",IF(Chosen_Scenario="Mitigation Impact Only",VLOOKUP($B44,'[1]4. Coverage Review'!$B$4:$K$78,8,FALSE)*100,VLOOKUP($B44,'[1]4. Coverage Review'!$B$4:$K$78,10,FALSE)*100),"")</f>
        <v/>
      </c>
    </row>
    <row r="45" s="1" customFormat="1" spans="1:9">
      <c r="A45" s="12" t="str">
        <f>IF(VLOOKUP(B45,'[1]1. Select Services'!$A$6:$E$77,5,FALSE)="x","x","")</f>
        <v>x</v>
      </c>
      <c r="B45" s="21">
        <v>36</v>
      </c>
      <c r="C45" s="21">
        <v>42</v>
      </c>
      <c r="D45" s="25"/>
      <c r="E45" s="26"/>
      <c r="F45" s="24" t="s">
        <v>52</v>
      </c>
      <c r="G45" s="15">
        <f>IF($A45="x",VLOOKUP($B45,'[1]4. Coverage Review'!$B$4:$K$78,5,FALSE)*100,"")</f>
        <v>6.3</v>
      </c>
      <c r="H45" s="15">
        <f>IF($A45="x",VLOOKUP($B45,'[1]4. Coverage Review'!$B$4:$K$78,6,FALSE)*100,"")</f>
        <v>5.418</v>
      </c>
      <c r="I45" s="15">
        <f>IF($A45="x",IF(Chosen_Scenario="Mitigation Impact Only",VLOOKUP($B45,'[1]4. Coverage Review'!$B$4:$K$78,8,FALSE)*100,VLOOKUP($B45,'[1]4. Coverage Review'!$B$4:$K$78,10,FALSE)*100),"")</f>
        <v>6.28488</v>
      </c>
    </row>
    <row r="46" s="1" customFormat="1" spans="1:9">
      <c r="A46" s="12" t="str">
        <f>IF(VLOOKUP(B46,'[1]1. Select Services'!$A$6:$E$77,5,FALSE)="x","x","")</f>
        <v/>
      </c>
      <c r="B46" s="21">
        <v>37</v>
      </c>
      <c r="C46" s="21">
        <v>43</v>
      </c>
      <c r="D46" s="30"/>
      <c r="E46" s="31"/>
      <c r="F46" s="24" t="s">
        <v>53</v>
      </c>
      <c r="G46" s="15" t="str">
        <f>IF($A46="x",VLOOKUP($B46,'[1]4. Coverage Review'!$B$4:$K$78,5,FALSE)*100,"")</f>
        <v/>
      </c>
      <c r="H46" s="15" t="str">
        <f>IF($A46="x",VLOOKUP($B46,'[1]4. Coverage Review'!$B$4:$K$78,6,FALSE)*100,"")</f>
        <v/>
      </c>
      <c r="I46" s="15" t="str">
        <f>IF($A46="x",IF(Chosen_Scenario="Mitigation Impact Only",VLOOKUP($B46,'[1]4. Coverage Review'!$B$4:$K$78,8,FALSE)*100,VLOOKUP($B46,'[1]4. Coverage Review'!$B$4:$K$78,10,FALSE)*100),"")</f>
        <v/>
      </c>
    </row>
    <row r="47" s="1" customFormat="1" spans="1:9">
      <c r="A47" s="32"/>
      <c r="B47" s="32"/>
      <c r="C47" s="32"/>
      <c r="D47" s="33" t="s">
        <v>54</v>
      </c>
      <c r="E47" s="32"/>
      <c r="F47" s="32"/>
      <c r="G47" s="32"/>
      <c r="H47" s="32"/>
      <c r="I47" s="32"/>
    </row>
    <row r="48" s="1" customFormat="1" spans="1:9">
      <c r="A48" s="12"/>
      <c r="B48" s="34"/>
      <c r="C48" s="34"/>
      <c r="D48" s="35" t="s">
        <v>55</v>
      </c>
      <c r="E48" s="35"/>
      <c r="F48" s="36" t="s">
        <v>56</v>
      </c>
      <c r="G48" s="15" t="str">
        <f>IF($A48="x",VLOOKUP($B48,'[1]4. Coverage Review'!$B$4:$K$78,5,FALSE)*100,"")</f>
        <v/>
      </c>
      <c r="H48" s="15" t="str">
        <f>IF($A48="x",VLOOKUP($B48,'[1]4. Coverage Review'!$B$4:$K$78,6,FALSE)*100,"")</f>
        <v/>
      </c>
      <c r="I48" s="15" t="str">
        <f>IF($A48="x",IF(Chosen_Scenario="Mitigation Impact Only",VLOOKUP($B48,'[1]4. Coverage Review'!$B$4:$K$78,8,FALSE)*100,VLOOKUP($B48,'[1]4. Coverage Review'!$B$4:$K$78,10,FALSE)*100),"")</f>
        <v/>
      </c>
    </row>
    <row r="49" s="1" customFormat="1" spans="1:9">
      <c r="A49" s="12" t="str">
        <f>IF(VLOOKUP(B49,'[1]1. Select Services'!$A$6:$E$77,5,FALSE)="x","x","")</f>
        <v/>
      </c>
      <c r="B49" s="34">
        <v>49</v>
      </c>
      <c r="C49" s="34">
        <v>45</v>
      </c>
      <c r="D49" s="35"/>
      <c r="E49" s="35"/>
      <c r="F49" s="34" t="s">
        <v>57</v>
      </c>
      <c r="G49" s="15" t="str">
        <f>IF($A49="x",VLOOKUP($B49,'[1]4. Coverage Review'!$B$4:$K$78,5,FALSE)*100,"")</f>
        <v/>
      </c>
      <c r="H49" s="15" t="str">
        <f>IF($A49="x",VLOOKUP($B49,'[1]4. Coverage Review'!$B$4:$K$78,6,FALSE)*100,"")</f>
        <v/>
      </c>
      <c r="I49" s="15" t="str">
        <f>IF($A49="x",IF(Chosen_Scenario="Mitigation Impact Only",VLOOKUP($B49,'[1]4. Coverage Review'!$B$4:$K$78,8,FALSE)*100,VLOOKUP($B49,'[1]4. Coverage Review'!$B$4:$K$78,10,FALSE)*100),"")</f>
        <v/>
      </c>
    </row>
    <row r="50" s="1" customFormat="1" spans="1:11">
      <c r="A50" s="12" t="str">
        <f>IF(VLOOKUP(B50,'[1]1. Select Services'!$A$6:$E$77,5,FALSE)="x","x","")</f>
        <v/>
      </c>
      <c r="B50" s="34">
        <v>50</v>
      </c>
      <c r="C50" s="34">
        <v>46</v>
      </c>
      <c r="D50" s="35"/>
      <c r="E50" s="35"/>
      <c r="F50" s="34" t="s">
        <v>58</v>
      </c>
      <c r="G50" s="15" t="str">
        <f>IF($A50="x",VLOOKUP($B50,'[1]4. Coverage Review'!$B$4:$K$78,5,FALSE)*100,"")</f>
        <v/>
      </c>
      <c r="H50" s="15" t="str">
        <f>IF($A50="x",VLOOKUP($B50,'[1]4. Coverage Review'!$B$4:$K$78,6,FALSE)*100,"")</f>
        <v/>
      </c>
      <c r="I50" s="15" t="str">
        <f>IF($A50="x",IF(Chosen_Scenario="Mitigation Impact Only",VLOOKUP($B50,'[1]4. Coverage Review'!$B$4:$K$78,8,FALSE)*100,VLOOKUP($B50,'[1]4. Coverage Review'!$B$4:$K$78,10,FALSE)*100),"")</f>
        <v/>
      </c>
      <c r="K50" s="45"/>
    </row>
    <row r="51" s="1" customFormat="1" spans="1:9">
      <c r="A51" s="12" t="str">
        <f>IF(VLOOKUP(B51,'[1]1. Select Services'!$A$6:$E$77,5,FALSE)="x","x","")</f>
        <v>x</v>
      </c>
      <c r="B51" s="34">
        <v>61</v>
      </c>
      <c r="C51" s="34">
        <v>47</v>
      </c>
      <c r="D51" s="35"/>
      <c r="E51" s="35"/>
      <c r="F51" s="34" t="s">
        <v>59</v>
      </c>
      <c r="G51" s="15">
        <f>IF($A51="x",VLOOKUP($B51,'[1]4. Coverage Review'!$B$4:$K$78,5,FALSE)*100,"")</f>
        <v>99</v>
      </c>
      <c r="H51" s="15">
        <f>IF($A51="x",VLOOKUP($B51,'[1]4. Coverage Review'!$B$4:$K$78,6,FALSE)*100,"")</f>
        <v>82.17</v>
      </c>
      <c r="I51" s="15">
        <f>IF($A51="x",IF(Chosen_Scenario="Mitigation Impact Only",VLOOKUP($B51,'[1]4. Coverage Review'!$B$4:$K$78,8,FALSE)*100,VLOOKUP($B51,'[1]4. Coverage Review'!$B$4:$K$78,10,FALSE)*100),"")</f>
        <v>95.3172</v>
      </c>
    </row>
    <row r="52" s="1" customFormat="1" ht="14.65" customHeight="1" spans="1:9">
      <c r="A52" s="12" t="str">
        <f>IF(VLOOKUP(B52,'[1]1. Select Services'!$A$6:$E$77,5,FALSE)="x","x","")</f>
        <v/>
      </c>
      <c r="B52" s="34">
        <v>62</v>
      </c>
      <c r="C52" s="34">
        <v>48</v>
      </c>
      <c r="D52" s="35"/>
      <c r="E52" s="35"/>
      <c r="F52" s="34" t="s">
        <v>60</v>
      </c>
      <c r="G52" s="15" t="str">
        <f>IF($A52="x",VLOOKUP($B52,'[1]4. Coverage Review'!$B$4:$K$78,5,FALSE)*100,"")</f>
        <v/>
      </c>
      <c r="H52" s="15" t="str">
        <f>IF($A52="x",VLOOKUP($B52,'[1]4. Coverage Review'!$B$4:$K$78,6,FALSE)*100,"")</f>
        <v/>
      </c>
      <c r="I52" s="15" t="str">
        <f>IF($A52="x",IF(Chosen_Scenario="Mitigation Impact Only",VLOOKUP($B52,'[1]4. Coverage Review'!$B$4:$K$78,8,FALSE)*100,VLOOKUP($B52,'[1]4. Coverage Review'!$B$4:$K$78,10,FALSE)*100),"")</f>
        <v/>
      </c>
    </row>
    <row r="53" s="1" customFormat="1" spans="1:9">
      <c r="A53" s="12"/>
      <c r="B53" s="34"/>
      <c r="C53" s="34"/>
      <c r="D53" s="35"/>
      <c r="E53" s="35"/>
      <c r="F53" s="36" t="s">
        <v>61</v>
      </c>
      <c r="G53" s="15" t="str">
        <f>IF($A53="x",VLOOKUP($B53,'[1]4. Coverage Review'!$B$4:$K$78,5,FALSE)*100,"")</f>
        <v/>
      </c>
      <c r="H53" s="15" t="str">
        <f>IF($A53="x",VLOOKUP($B53,'[1]4. Coverage Review'!$B$4:$K$78,6,FALSE)*100,"")</f>
        <v/>
      </c>
      <c r="I53" s="15" t="str">
        <f>IF($A53="x",IF(Chosen_Scenario="Mitigation Impact Only",VLOOKUP($B53,'[1]4. Coverage Review'!$B$4:$K$78,8,FALSE)*100,VLOOKUP($B53,'[1]4. Coverage Review'!$B$4:$K$78,10,FALSE)*100),"")</f>
        <v/>
      </c>
    </row>
    <row r="54" s="1" customFormat="1" ht="14.25" customHeight="1" spans="1:9">
      <c r="A54" s="12"/>
      <c r="B54" s="37">
        <v>73</v>
      </c>
      <c r="C54" s="34">
        <v>49</v>
      </c>
      <c r="D54" s="35"/>
      <c r="E54" s="35"/>
      <c r="F54" s="34" t="s">
        <v>62</v>
      </c>
      <c r="G54" s="15" t="str">
        <f>IF($A54="x",VLOOKUP($B54,'[1]4. Coverage Review'!$B$4:$K$78,5,FALSE)*100,"")</f>
        <v/>
      </c>
      <c r="H54" s="15" t="str">
        <f>IF($A54="x",VLOOKUP($B54,'[1]4. Coverage Review'!$B$4:$K$78,6,FALSE)*100,"")</f>
        <v/>
      </c>
      <c r="I54" s="15" t="str">
        <f>IF($A54="x",IF(Chosen_Scenario="Mitigation Impact Only",VLOOKUP($B54,'[1]4. Coverage Review'!$B$4:$K$78,8,FALSE)*100,VLOOKUP($B54,'[1]4. Coverage Review'!$B$4:$K$78,10,FALSE)*100),"")</f>
        <v/>
      </c>
    </row>
    <row r="55" s="1" customFormat="1" spans="1:9">
      <c r="A55" s="12"/>
      <c r="B55" s="37">
        <v>74</v>
      </c>
      <c r="C55" s="34">
        <v>50</v>
      </c>
      <c r="D55" s="35"/>
      <c r="E55" s="35"/>
      <c r="F55" s="34" t="s">
        <v>63</v>
      </c>
      <c r="G55" s="15" t="str">
        <f>IF($A55="x",VLOOKUP($B55,'[1]4. Coverage Review'!$B$4:$K$78,5,FALSE)*100,"")</f>
        <v/>
      </c>
      <c r="H55" s="15" t="str">
        <f>IF($A55="x",VLOOKUP($B55,'[1]4. Coverage Review'!$B$4:$K$78,6,FALSE)*100,"")</f>
        <v/>
      </c>
      <c r="I55" s="15" t="str">
        <f>IF($A55="x",IF(Chosen_Scenario="Mitigation Impact Only",VLOOKUP($B55,'[1]4. Coverage Review'!$B$4:$K$78,8,FALSE)*100,VLOOKUP($B55,'[1]4. Coverage Review'!$B$4:$K$78,10,FALSE)*100),"")</f>
        <v/>
      </c>
    </row>
    <row r="56" s="1" customFormat="1" spans="1:9">
      <c r="A56" s="12"/>
      <c r="B56" s="37">
        <v>75</v>
      </c>
      <c r="C56" s="34">
        <v>51</v>
      </c>
      <c r="D56" s="35"/>
      <c r="E56" s="35"/>
      <c r="F56" s="34" t="s">
        <v>64</v>
      </c>
      <c r="G56" s="15" t="str">
        <f>IF($A56="x",VLOOKUP($B56,'[1]4. Coverage Review'!$B$4:$K$78,5,FALSE)*100,"")</f>
        <v/>
      </c>
      <c r="H56" s="15" t="str">
        <f>IF($A56="x",VLOOKUP($B56,'[1]4. Coverage Review'!$B$4:$K$78,6,FALSE)*100,"")</f>
        <v/>
      </c>
      <c r="I56" s="15" t="str">
        <f>IF($A56="x",IF(Chosen_Scenario="Mitigation Impact Only",VLOOKUP($B56,'[1]4. Coverage Review'!$B$4:$K$78,8,FALSE)*100,VLOOKUP($B56,'[1]4. Coverage Review'!$B$4:$K$78,10,FALSE)*100),"")</f>
        <v/>
      </c>
    </row>
    <row r="57" s="1" customFormat="1" spans="1:9">
      <c r="A57" s="12"/>
      <c r="B57" s="37">
        <v>76</v>
      </c>
      <c r="C57" s="34">
        <v>52</v>
      </c>
      <c r="D57" s="35"/>
      <c r="E57" s="35"/>
      <c r="F57" s="34" t="s">
        <v>65</v>
      </c>
      <c r="G57" s="15" t="str">
        <f>IF($A57="x",VLOOKUP($B57,'[1]4. Coverage Review'!$B$4:$K$78,5,FALSE)*100,"")</f>
        <v/>
      </c>
      <c r="H57" s="15" t="str">
        <f>IF($A57="x",VLOOKUP($B57,'[1]4. Coverage Review'!$B$4:$K$78,6,FALSE)*100,"")</f>
        <v/>
      </c>
      <c r="I57" s="15" t="str">
        <f>IF($A57="x",IF(Chosen_Scenario="Mitigation Impact Only",VLOOKUP($B57,'[1]4. Coverage Review'!$B$4:$K$78,8,FALSE)*100,VLOOKUP($B57,'[1]4. Coverage Review'!$B$4:$K$78,10,FALSE)*100),"")</f>
        <v/>
      </c>
    </row>
    <row r="58" s="1" customFormat="1" ht="14.25" customHeight="1" spans="1:9">
      <c r="A58" s="12"/>
      <c r="B58" s="37">
        <v>77</v>
      </c>
      <c r="C58" s="34">
        <v>53</v>
      </c>
      <c r="D58" s="35"/>
      <c r="E58" s="35"/>
      <c r="F58" s="34" t="s">
        <v>66</v>
      </c>
      <c r="G58" s="15" t="str">
        <f>IF($A58="x",VLOOKUP($B58,'[1]4. Coverage Review'!$B$4:$K$78,5,FALSE)*100,"")</f>
        <v/>
      </c>
      <c r="H58" s="15" t="str">
        <f>IF($A58="x",VLOOKUP($B58,'[1]4. Coverage Review'!$B$4:$K$78,6,FALSE)*100,"")</f>
        <v/>
      </c>
      <c r="I58" s="15" t="str">
        <f>IF($A58="x",IF(Chosen_Scenario="Mitigation Impact Only",VLOOKUP($B58,'[1]4. Coverage Review'!$B$4:$K$78,8,FALSE)*100,VLOOKUP($B58,'[1]4. Coverage Review'!$B$4:$K$78,10,FALSE)*100),"")</f>
        <v/>
      </c>
    </row>
    <row r="59" s="1" customFormat="1" spans="1:9">
      <c r="A59" s="12"/>
      <c r="B59" s="38"/>
      <c r="C59" s="34"/>
      <c r="D59" s="35"/>
      <c r="E59" s="35"/>
      <c r="F59" s="36" t="s">
        <v>67</v>
      </c>
      <c r="G59" s="15" t="str">
        <f>IF($A59="x",VLOOKUP($B59,'[1]4. Coverage Review'!$B$4:$K$78,5,FALSE)*100,"")</f>
        <v/>
      </c>
      <c r="H59" s="15" t="str">
        <f>IF($A59="x",VLOOKUP($B59,'[1]4. Coverage Review'!$B$4:$K$78,6,FALSE)*100,"")</f>
        <v/>
      </c>
      <c r="I59" s="15" t="str">
        <f>IF($A59="x",IF(Chosen_Scenario="Mitigation Impact Only",VLOOKUP($B59,'[1]4. Coverage Review'!$B$4:$K$78,8,FALSE)*100,VLOOKUP($B59,'[1]4. Coverage Review'!$B$4:$K$78,10,FALSE)*100),"")</f>
        <v/>
      </c>
    </row>
    <row r="60" s="1" customFormat="1" spans="1:9">
      <c r="A60" s="12" t="str">
        <f>IF(VLOOKUP(B60,'[1]1. Select Services'!$A$6:$E$77,5,FALSE)="x","x","")</f>
        <v/>
      </c>
      <c r="B60" s="34">
        <v>71</v>
      </c>
      <c r="C60" s="34">
        <v>54</v>
      </c>
      <c r="D60" s="35"/>
      <c r="E60" s="35"/>
      <c r="F60" s="34" t="s">
        <v>68</v>
      </c>
      <c r="G60" s="15" t="str">
        <f>IF($A60="x",VLOOKUP($B60,'[1]4. Coverage Review'!$B$4:$K$78,5,FALSE)*100,"")</f>
        <v/>
      </c>
      <c r="H60" s="15" t="str">
        <f>IF($A60="x",VLOOKUP($B60,'[1]4. Coverage Review'!$B$4:$K$78,6,FALSE)*100,"")</f>
        <v/>
      </c>
      <c r="I60" s="15" t="str">
        <f>IF($A60="x",IF(Chosen_Scenario="Mitigation Impact Only",VLOOKUP($B60,'[1]4. Coverage Review'!$B$4:$K$78,8,FALSE)*100,VLOOKUP($B60,'[1]4. Coverage Review'!$B$4:$K$78,10,FALSE)*100),"")</f>
        <v/>
      </c>
    </row>
    <row r="61" s="1" customFormat="1" spans="1:9">
      <c r="A61" s="12" t="str">
        <f>IF(VLOOKUP(B61,'[1]1. Select Services'!$A$6:$E$77,5,FALSE)="x","x","")</f>
        <v>x</v>
      </c>
      <c r="B61" s="39">
        <v>51</v>
      </c>
      <c r="C61" s="39">
        <v>55</v>
      </c>
      <c r="D61" s="40" t="s">
        <v>69</v>
      </c>
      <c r="E61" s="40"/>
      <c r="F61" s="39" t="s">
        <v>70</v>
      </c>
      <c r="G61" s="15">
        <f>IF($A61="x",VLOOKUP($B61,'[1]4. Coverage Review'!$B$4:$K$78,5,FALSE)*100,"")</f>
        <v>99</v>
      </c>
      <c r="H61" s="15">
        <f>IF($A61="x",VLOOKUP($B61,'[1]4. Coverage Review'!$B$4:$K$78,6,FALSE)*100,"")</f>
        <v>82.17</v>
      </c>
      <c r="I61" s="15">
        <f>IF($A61="x",IF(Chosen_Scenario="Mitigation Impact Only",VLOOKUP($B61,'[1]4. Coverage Review'!$B$4:$K$78,8,FALSE)*100,VLOOKUP($B61,'[1]4. Coverage Review'!$B$4:$K$78,10,FALSE)*100),"")</f>
        <v>95.3172</v>
      </c>
    </row>
    <row r="62" s="1" customFormat="1" spans="1:9">
      <c r="A62" s="12" t="str">
        <f>IF(VLOOKUP(B62,'[1]1. Select Services'!$A$6:$E$77,5,FALSE)="x","x","")</f>
        <v>x</v>
      </c>
      <c r="B62" s="39">
        <v>52</v>
      </c>
      <c r="C62" s="39">
        <v>56</v>
      </c>
      <c r="D62" s="40"/>
      <c r="E62" s="40"/>
      <c r="F62" s="39" t="s">
        <v>71</v>
      </c>
      <c r="G62" s="15">
        <f>IF($A62="x",VLOOKUP($B62,'[1]4. Coverage Review'!$B$4:$K$78,5,FALSE)*100,"")</f>
        <v>99</v>
      </c>
      <c r="H62" s="15">
        <f>IF($A62="x",VLOOKUP($B62,'[1]4. Coverage Review'!$B$4:$K$78,6,FALSE)*100,"")</f>
        <v>82.17</v>
      </c>
      <c r="I62" s="15">
        <f>IF($A62="x",IF(Chosen_Scenario="Mitigation Impact Only",VLOOKUP($B62,'[1]4. Coverage Review'!$B$4:$K$78,8,FALSE)*100,VLOOKUP($B62,'[1]4. Coverage Review'!$B$4:$K$78,10,FALSE)*100),"")</f>
        <v>95.3172</v>
      </c>
    </row>
    <row r="63" s="1" customFormat="1" spans="1:9">
      <c r="A63" s="12"/>
      <c r="B63" s="39"/>
      <c r="C63" s="39"/>
      <c r="D63" s="40"/>
      <c r="E63" s="40"/>
      <c r="F63" s="41" t="s">
        <v>72</v>
      </c>
      <c r="G63" s="15" t="str">
        <f>IF($A63="x",VLOOKUP($B63,'[1]4. Coverage Review'!$B$4:$K$78,5,FALSE)*100,"")</f>
        <v/>
      </c>
      <c r="H63" s="15" t="str">
        <f>IF($A63="x",VLOOKUP($B63,'[1]4. Coverage Review'!$B$4:$K$78,6,FALSE)*100,"")</f>
        <v/>
      </c>
      <c r="I63" s="15" t="str">
        <f>IF($A63="x",IF(Chosen_Scenario="Mitigation Impact Only",VLOOKUP($B63,'[1]4. Coverage Review'!$B$4:$K$78,8,FALSE)*100,VLOOKUP($B63,'[1]4. Coverage Review'!$B$4:$K$78,10,FALSE)*100),"")</f>
        <v/>
      </c>
    </row>
    <row r="64" s="1" customFormat="1" spans="1:9">
      <c r="A64" s="12" t="str">
        <f>IF(VLOOKUP(B64,'[1]1. Select Services'!$A$6:$E$77,5,FALSE)="x","x","")</f>
        <v>x</v>
      </c>
      <c r="B64" s="39">
        <v>53</v>
      </c>
      <c r="C64" s="39">
        <v>57</v>
      </c>
      <c r="D64" s="40"/>
      <c r="E64" s="40"/>
      <c r="F64" s="42" t="s">
        <v>73</v>
      </c>
      <c r="G64" s="15">
        <f>IF($A64="x",VLOOKUP($B64,'[1]4. Coverage Review'!$B$4:$K$78,5,FALSE)*100,"")</f>
        <v>99</v>
      </c>
      <c r="H64" s="15">
        <f>IF($A64="x",VLOOKUP($B64,'[1]4. Coverage Review'!$B$4:$K$78,6,FALSE)*100,"")</f>
        <v>82.17</v>
      </c>
      <c r="I64" s="15">
        <f>IF($A64="x",IF(Chosen_Scenario="Mitigation Impact Only",VLOOKUP($B64,'[1]4. Coverage Review'!$B$4:$K$78,8,FALSE)*100,VLOOKUP($B64,'[1]4. Coverage Review'!$B$4:$K$78,10,FALSE)*100),"")</f>
        <v>95.3172</v>
      </c>
    </row>
    <row r="65" s="1" customFormat="1" spans="1:9">
      <c r="A65" s="12" t="str">
        <f>IF(VLOOKUP(B65,'[1]1. Select Services'!$A$6:$E$77,5,FALSE)="x","x","")</f>
        <v>x</v>
      </c>
      <c r="B65" s="39">
        <v>54</v>
      </c>
      <c r="C65" s="39">
        <v>58</v>
      </c>
      <c r="D65" s="40"/>
      <c r="E65" s="40"/>
      <c r="F65" s="42" t="s">
        <v>74</v>
      </c>
      <c r="G65" s="15">
        <f>IF($A65="x",VLOOKUP($B65,'[1]4. Coverage Review'!$B$4:$K$78,5,FALSE)*100,"")</f>
        <v>99</v>
      </c>
      <c r="H65" s="15">
        <f>IF($A65="x",VLOOKUP($B65,'[1]4. Coverage Review'!$B$4:$K$78,6,FALSE)*100,"")</f>
        <v>82.17</v>
      </c>
      <c r="I65" s="15">
        <f>IF($A65="x",IF(Chosen_Scenario="Mitigation Impact Only",VLOOKUP($B65,'[1]4. Coverage Review'!$B$4:$K$78,8,FALSE)*100,VLOOKUP($B65,'[1]4. Coverage Review'!$B$4:$K$78,10,FALSE)*100),"")</f>
        <v>95.3172</v>
      </c>
    </row>
    <row r="66" s="1" customFormat="1" spans="1:9">
      <c r="A66" s="12" t="str">
        <f>IF(VLOOKUP(B66,'[1]1. Select Services'!$A$6:$E$77,5,FALSE)="x","x","")</f>
        <v>x</v>
      </c>
      <c r="B66" s="39">
        <v>55</v>
      </c>
      <c r="C66" s="39">
        <v>59</v>
      </c>
      <c r="D66" s="40"/>
      <c r="E66" s="40"/>
      <c r="F66" s="42" t="s">
        <v>75</v>
      </c>
      <c r="G66" s="15">
        <f>IF($A66="x",VLOOKUP($B66,'[1]4. Coverage Review'!$B$4:$K$78,5,FALSE)*100,"")</f>
        <v>99</v>
      </c>
      <c r="H66" s="15">
        <f>IF($A66="x",VLOOKUP($B66,'[1]4. Coverage Review'!$B$4:$K$78,6,FALSE)*100,"")</f>
        <v>82.17</v>
      </c>
      <c r="I66" s="15">
        <f>IF($A66="x",IF(Chosen_Scenario="Mitigation Impact Only",VLOOKUP($B66,'[1]4. Coverage Review'!$B$4:$K$78,8,FALSE)*100,VLOOKUP($B66,'[1]4. Coverage Review'!$B$4:$K$78,10,FALSE)*100),"")</f>
        <v>95.3172</v>
      </c>
    </row>
    <row r="67" s="1" customFormat="1" spans="1:9">
      <c r="A67" s="12" t="str">
        <f>IF(VLOOKUP(B67,'[1]1. Select Services'!$A$6:$E$77,5,FALSE)="x","x","")</f>
        <v>x</v>
      </c>
      <c r="B67" s="39">
        <v>56</v>
      </c>
      <c r="C67" s="39">
        <v>60</v>
      </c>
      <c r="D67" s="40"/>
      <c r="E67" s="40"/>
      <c r="F67" s="39" t="s">
        <v>76</v>
      </c>
      <c r="G67" s="15">
        <f>IF($A67="x",VLOOKUP($B67,'[1]4. Coverage Review'!$B$4:$K$78,5,FALSE)*100,"")</f>
        <v>99</v>
      </c>
      <c r="H67" s="15">
        <f>IF($A67="x",VLOOKUP($B67,'[1]4. Coverage Review'!$B$4:$K$78,6,FALSE)*100,"")</f>
        <v>82.17</v>
      </c>
      <c r="I67" s="15">
        <f>IF($A67="x",IF(Chosen_Scenario="Mitigation Impact Only",VLOOKUP($B67,'[1]4. Coverage Review'!$B$4:$K$78,8,FALSE)*100,VLOOKUP($B67,'[1]4. Coverage Review'!$B$4:$K$78,10,FALSE)*100),"")</f>
        <v>95.3172</v>
      </c>
    </row>
    <row r="68" s="1" customFormat="1" spans="1:9">
      <c r="A68" s="12" t="str">
        <f>IF(VLOOKUP(B68,'[1]1. Select Services'!$A$6:$E$77,5,FALSE)="x","x","")</f>
        <v>x</v>
      </c>
      <c r="B68" s="39">
        <v>57</v>
      </c>
      <c r="C68" s="39">
        <v>61</v>
      </c>
      <c r="D68" s="40"/>
      <c r="E68" s="40"/>
      <c r="F68" s="39" t="s">
        <v>77</v>
      </c>
      <c r="G68" s="15">
        <f>IF($A68="x",VLOOKUP($B68,'[1]4. Coverage Review'!$B$4:$K$78,5,FALSE)*100,"")</f>
        <v>99</v>
      </c>
      <c r="H68" s="15">
        <f>IF($A68="x",VLOOKUP($B68,'[1]4. Coverage Review'!$B$4:$K$78,6,FALSE)*100,"")</f>
        <v>82.17</v>
      </c>
      <c r="I68" s="15">
        <f>IF($A68="x",IF(Chosen_Scenario="Mitigation Impact Only",VLOOKUP($B68,'[1]4. Coverage Review'!$B$4:$K$78,8,FALSE)*100,VLOOKUP($B68,'[1]4. Coverage Review'!$B$4:$K$78,10,FALSE)*100),"")</f>
        <v>95.3172</v>
      </c>
    </row>
    <row r="69" s="1" customFormat="1" spans="1:9">
      <c r="A69" s="12" t="str">
        <f>IF(VLOOKUP(B69,'[1]1. Select Services'!$A$6:$E$77,5,FALSE)="x","x","")</f>
        <v/>
      </c>
      <c r="B69" s="39">
        <v>58</v>
      </c>
      <c r="C69" s="39">
        <v>62</v>
      </c>
      <c r="D69" s="40"/>
      <c r="E69" s="40"/>
      <c r="F69" s="39" t="s">
        <v>78</v>
      </c>
      <c r="G69" s="15" t="str">
        <f>IF($A69="x",VLOOKUP($B69,'[1]4. Coverage Review'!$B$4:$K$78,5,FALSE)*100,"")</f>
        <v/>
      </c>
      <c r="H69" s="15" t="str">
        <f>IF($A69="x",VLOOKUP($B69,'[1]4. Coverage Review'!$B$4:$K$78,6,FALSE)*100,"")</f>
        <v/>
      </c>
      <c r="I69" s="15" t="str">
        <f>IF($A69="x",IF(Chosen_Scenario="Mitigation Impact Only",VLOOKUP($B69,'[1]4. Coverage Review'!$B$4:$K$78,8,FALSE)*100,VLOOKUP($B69,'[1]4. Coverage Review'!$B$4:$K$78,10,FALSE)*100),"")</f>
        <v/>
      </c>
    </row>
    <row r="70" s="1" customFormat="1" spans="1:9">
      <c r="A70" s="12" t="str">
        <f>IF(VLOOKUP(B70,'[1]1. Select Services'!$A$6:$E$77,5,FALSE)="x","x","")</f>
        <v/>
      </c>
      <c r="B70" s="39">
        <v>59</v>
      </c>
      <c r="C70" s="39">
        <v>63</v>
      </c>
      <c r="D70" s="40"/>
      <c r="E70" s="40"/>
      <c r="F70" s="39" t="s">
        <v>79</v>
      </c>
      <c r="G70" s="15" t="str">
        <f>IF($A70="x",VLOOKUP($B70,'[1]4. Coverage Review'!$B$4:$K$78,5,FALSE)*100,"")</f>
        <v/>
      </c>
      <c r="H70" s="15" t="str">
        <f>IF($A70="x",VLOOKUP($B70,'[1]4. Coverage Review'!$B$4:$K$78,6,FALSE)*100,"")</f>
        <v/>
      </c>
      <c r="I70" s="15" t="str">
        <f>IF($A70="x",IF(Chosen_Scenario="Mitigation Impact Only",VLOOKUP($B70,'[1]4. Coverage Review'!$B$4:$K$78,8,FALSE)*100,VLOOKUP($B70,'[1]4. Coverage Review'!$B$4:$K$78,10,FALSE)*100),"")</f>
        <v/>
      </c>
    </row>
    <row r="71" s="1" customFormat="1" spans="1:9">
      <c r="A71" s="12" t="str">
        <f>IF(VLOOKUP(B71,'[1]1. Select Services'!$A$6:$E$77,5,FALSE)="x","x","")</f>
        <v>x</v>
      </c>
      <c r="B71" s="39">
        <v>60</v>
      </c>
      <c r="C71" s="39">
        <v>64</v>
      </c>
      <c r="D71" s="40"/>
      <c r="E71" s="40"/>
      <c r="F71" s="39" t="s">
        <v>80</v>
      </c>
      <c r="G71" s="15">
        <f>IF($A71="x",VLOOKUP($B71,'[1]4. Coverage Review'!$B$4:$K$78,5,FALSE)*100,"")</f>
        <v>99</v>
      </c>
      <c r="H71" s="15">
        <f>IF($A71="x",VLOOKUP($B71,'[1]4. Coverage Review'!$B$4:$K$78,6,FALSE)*100,"")</f>
        <v>82.17</v>
      </c>
      <c r="I71" s="15">
        <f>IF($A71="x",IF(Chosen_Scenario="Mitigation Impact Only",VLOOKUP($B71,'[1]4. Coverage Review'!$B$4:$K$78,8,FALSE)*100,VLOOKUP($B71,'[1]4. Coverage Review'!$B$4:$K$78,10,FALSE)*100),"")</f>
        <v>95.3172</v>
      </c>
    </row>
    <row r="72" s="1" customFormat="1" spans="1:9">
      <c r="A72" s="12"/>
      <c r="B72" s="46"/>
      <c r="C72" s="46"/>
      <c r="D72" s="47" t="s">
        <v>81</v>
      </c>
      <c r="E72" s="47"/>
      <c r="F72" s="48" t="s">
        <v>82</v>
      </c>
      <c r="G72" s="15" t="str">
        <f>IF($A72="x",VLOOKUP($B72,'[1]4. Coverage Review'!$B$4:$K$78,5,FALSE)*100,"")</f>
        <v/>
      </c>
      <c r="H72" s="15" t="str">
        <f>IF($A72="x",VLOOKUP($B72,'[1]4. Coverage Review'!$B$4:$K$78,6,FALSE)*100,"")</f>
        <v/>
      </c>
      <c r="I72" s="15" t="str">
        <f>IF($A72="x",IF(Chosen_Scenario="Mitigation Impact Only",VLOOKUP($B72,'[1]4. Coverage Review'!$B$4:$K$78,8,FALSE)*100,VLOOKUP($B72,'[1]4. Coverage Review'!$B$4:$K$78,10,FALSE)*100),"")</f>
        <v/>
      </c>
    </row>
    <row r="73" s="1" customFormat="1" spans="1:9">
      <c r="A73" s="12" t="str">
        <f>IF(VLOOKUP(B73,'[1]1. Select Services'!$A$6:$E$77,5,FALSE)="x","x","")</f>
        <v/>
      </c>
      <c r="B73" s="46">
        <v>33</v>
      </c>
      <c r="C73" s="46">
        <v>65</v>
      </c>
      <c r="D73" s="47"/>
      <c r="E73" s="47"/>
      <c r="F73" s="46" t="s">
        <v>83</v>
      </c>
      <c r="G73" s="15" t="str">
        <f>IF($A73="x",VLOOKUP($B73,'[1]4. Coverage Review'!$B$4:$K$78,5,FALSE)*100,"")</f>
        <v/>
      </c>
      <c r="H73" s="15" t="str">
        <f>IF($A73="x",VLOOKUP($B73,'[1]4. Coverage Review'!$B$4:$K$78,6,FALSE)*100,"")</f>
        <v/>
      </c>
      <c r="I73" s="15" t="str">
        <f>IF($A73="x",IF(Chosen_Scenario="Mitigation Impact Only",VLOOKUP($B73,'[1]4. Coverage Review'!$B$4:$K$78,8,FALSE)*100,VLOOKUP($B73,'[1]4. Coverage Review'!$B$4:$K$78,10,FALSE)*100),"")</f>
        <v/>
      </c>
    </row>
    <row r="74" s="1" customFormat="1" spans="1:9">
      <c r="A74" s="12"/>
      <c r="B74" s="46"/>
      <c r="C74" s="46"/>
      <c r="D74" s="47"/>
      <c r="E74" s="47"/>
      <c r="F74" s="48" t="s">
        <v>84</v>
      </c>
      <c r="G74" s="15" t="str">
        <f>IF($A74="x",VLOOKUP($B74,'[1]4. Coverage Review'!$B$4:$K$78,5,FALSE)*100,"")</f>
        <v/>
      </c>
      <c r="H74" s="15" t="str">
        <f>IF($A74="x",VLOOKUP($B74,'[1]4. Coverage Review'!$B$4:$K$78,6,FALSE)*100,"")</f>
        <v/>
      </c>
      <c r="I74" s="15" t="str">
        <f>IF($A74="x",IF(Chosen_Scenario="Mitigation Impact Only",VLOOKUP($B74,'[1]4. Coverage Review'!$B$4:$K$78,8,FALSE)*100,VLOOKUP($B74,'[1]4. Coverage Review'!$B$4:$K$78,10,FALSE)*100),"")</f>
        <v/>
      </c>
    </row>
    <row r="75" s="1" customFormat="1" spans="1:9">
      <c r="A75" s="12"/>
      <c r="B75" s="46"/>
      <c r="C75" s="46"/>
      <c r="D75" s="47"/>
      <c r="E75" s="47"/>
      <c r="F75" s="49" t="s">
        <v>85</v>
      </c>
      <c r="G75" s="15" t="str">
        <f>IF($A75="x",VLOOKUP($B75,'[1]4. Coverage Review'!$B$4:$K$78,5,FALSE)*100,"")</f>
        <v/>
      </c>
      <c r="H75" s="15" t="str">
        <f>IF($A75="x",VLOOKUP($B75,'[1]4. Coverage Review'!$B$4:$K$78,6,FALSE)*100,"")</f>
        <v/>
      </c>
      <c r="I75" s="15" t="str">
        <f>IF($A75="x",IF(Chosen_Scenario="Mitigation Impact Only",VLOOKUP($B75,'[1]4. Coverage Review'!$B$4:$K$78,8,FALSE)*100,VLOOKUP($B75,'[1]4. Coverage Review'!$B$4:$K$78,10,FALSE)*100),"")</f>
        <v/>
      </c>
    </row>
    <row r="76" s="1" customFormat="1" ht="14.25" customHeight="1" spans="1:9">
      <c r="A76" s="12" t="str">
        <f>IF(VLOOKUP(B76,'[1]1. Select Services'!$A$6:$E$77,5,FALSE)="x","x","")</f>
        <v/>
      </c>
      <c r="B76" s="46">
        <v>43</v>
      </c>
      <c r="C76" s="46">
        <v>66</v>
      </c>
      <c r="D76" s="47"/>
      <c r="E76" s="47"/>
      <c r="F76" s="50" t="s">
        <v>86</v>
      </c>
      <c r="G76" s="15" t="str">
        <f>IF($A76="x",VLOOKUP($B76,'[1]4. Coverage Review'!$B$4:$K$78,5,FALSE)*100,"")</f>
        <v/>
      </c>
      <c r="H76" s="15" t="str">
        <f>IF($A76="x",VLOOKUP($B76,'[1]4. Coverage Review'!$B$4:$K$78,6,FALSE)*100,"")</f>
        <v/>
      </c>
      <c r="I76" s="15" t="str">
        <f>IF($A76="x",IF(Chosen_Scenario="Mitigation Impact Only",VLOOKUP($B76,'[1]4. Coverage Review'!$B$4:$K$78,8,FALSE)*100,VLOOKUP($B76,'[1]4. Coverage Review'!$B$4:$K$78,10,FALSE)*100),"")</f>
        <v/>
      </c>
    </row>
    <row r="77" s="1" customFormat="1" spans="1:9">
      <c r="A77" s="12" t="str">
        <f>IF(VLOOKUP(B77,'[1]1. Select Services'!$A$6:$E$77,5,FALSE)="x","x","")</f>
        <v/>
      </c>
      <c r="B77" s="46">
        <v>44</v>
      </c>
      <c r="C77" s="46">
        <v>67</v>
      </c>
      <c r="D77" s="47"/>
      <c r="E77" s="47"/>
      <c r="F77" s="50" t="s">
        <v>87</v>
      </c>
      <c r="G77" s="15" t="str">
        <f>IF($A77="x",VLOOKUP($B77,'[1]4. Coverage Review'!$B$4:$K$78,5,FALSE)*100,"")</f>
        <v/>
      </c>
      <c r="H77" s="15" t="str">
        <f>IF($A77="x",VLOOKUP($B77,'[1]4. Coverage Review'!$B$4:$K$78,6,FALSE)*100,"")</f>
        <v/>
      </c>
      <c r="I77" s="15" t="str">
        <f>IF($A77="x",IF(Chosen_Scenario="Mitigation Impact Only",VLOOKUP($B77,'[1]4. Coverage Review'!$B$4:$K$78,8,FALSE)*100,VLOOKUP($B77,'[1]4. Coverage Review'!$B$4:$K$78,10,FALSE)*100),"")</f>
        <v/>
      </c>
    </row>
    <row r="78" s="1" customFormat="1" spans="1:9">
      <c r="A78" s="12"/>
      <c r="B78" s="46"/>
      <c r="C78" s="46"/>
      <c r="D78" s="47"/>
      <c r="E78" s="47"/>
      <c r="F78" s="49" t="s">
        <v>88</v>
      </c>
      <c r="G78" s="15" t="str">
        <f>IF($A78="x",VLOOKUP($B78,'[1]4. Coverage Review'!$B$4:$K$78,5,FALSE)*100,"")</f>
        <v/>
      </c>
      <c r="H78" s="15" t="str">
        <f>IF($A78="x",VLOOKUP($B78,'[1]4. Coverage Review'!$B$4:$K$78,6,FALSE)*100,"")</f>
        <v/>
      </c>
      <c r="I78" s="15" t="str">
        <f>IF($A78="x",IF(Chosen_Scenario="Mitigation Impact Only",VLOOKUP($B78,'[1]4. Coverage Review'!$B$4:$K$78,8,FALSE)*100,VLOOKUP($B78,'[1]4. Coverage Review'!$B$4:$K$78,10,FALSE)*100),"")</f>
        <v/>
      </c>
    </row>
    <row r="79" s="1" customFormat="1" spans="1:9">
      <c r="A79" s="12" t="str">
        <f>IF(VLOOKUP(B79,'[1]1. Select Services'!$A$6:$E$77,5,FALSE)="x","x","")</f>
        <v/>
      </c>
      <c r="B79" s="46">
        <v>45</v>
      </c>
      <c r="C79" s="46">
        <v>68</v>
      </c>
      <c r="D79" s="47"/>
      <c r="E79" s="47"/>
      <c r="F79" s="50" t="s">
        <v>89</v>
      </c>
      <c r="G79" s="15" t="str">
        <f>IF($A79="x",VLOOKUP($B79,'[1]4. Coverage Review'!$B$4:$K$78,5,FALSE)*100,"")</f>
        <v/>
      </c>
      <c r="H79" s="15" t="str">
        <f>IF($A79="x",VLOOKUP($B79,'[1]4. Coverage Review'!$B$4:$K$78,6,FALSE)*100,"")</f>
        <v/>
      </c>
      <c r="I79" s="15" t="str">
        <f>IF($A79="x",IF(Chosen_Scenario="Mitigation Impact Only",VLOOKUP($B79,'[1]4. Coverage Review'!$B$4:$K$78,8,FALSE)*100,VLOOKUP($B79,'[1]4. Coverage Review'!$B$4:$K$78,10,FALSE)*100),"")</f>
        <v/>
      </c>
    </row>
    <row r="80" s="1" customFormat="1" spans="1:9">
      <c r="A80" s="12" t="str">
        <f>IF(VLOOKUP(B80,'[1]1. Select Services'!$A$6:$E$77,5,FALSE)="x","x","")</f>
        <v>x</v>
      </c>
      <c r="B80" s="46">
        <v>46</v>
      </c>
      <c r="C80" s="46">
        <v>69</v>
      </c>
      <c r="D80" s="47"/>
      <c r="E80" s="47"/>
      <c r="F80" s="50" t="s">
        <v>90</v>
      </c>
      <c r="G80" s="15">
        <f>IF($A80="x",VLOOKUP($B80,'[1]4. Coverage Review'!$B$4:$K$78,5,FALSE)*100,"")</f>
        <v>72.7</v>
      </c>
      <c r="H80" s="15">
        <f>IF($A80="x",VLOOKUP($B80,'[1]4. Coverage Review'!$B$4:$K$78,6,FALSE)*100,"")</f>
        <v>61.068</v>
      </c>
      <c r="I80" s="15">
        <f>IF($A80="x",IF(Chosen_Scenario="Mitigation Impact Only",VLOOKUP($B80,'[1]4. Coverage Review'!$B$4:$K$78,8,FALSE)*100,VLOOKUP($B80,'[1]4. Coverage Review'!$B$4:$K$78,10,FALSE)*100),"")</f>
        <v>70.83888</v>
      </c>
    </row>
    <row r="81" s="1" customFormat="1" spans="1:9">
      <c r="A81" s="12" t="str">
        <f>IF(VLOOKUP(B81,'[1]1. Select Services'!$A$6:$E$77,5,FALSE)="x","x","")</f>
        <v/>
      </c>
      <c r="B81" s="46">
        <v>47</v>
      </c>
      <c r="C81" s="46">
        <v>70</v>
      </c>
      <c r="D81" s="47"/>
      <c r="E81" s="47"/>
      <c r="F81" s="50" t="s">
        <v>91</v>
      </c>
      <c r="G81" s="15" t="str">
        <f>IF($A81="x",VLOOKUP($B81,'[1]4. Coverage Review'!$B$4:$K$78,5,FALSE)*100,"")</f>
        <v/>
      </c>
      <c r="H81" s="15" t="str">
        <f>IF($A81="x",VLOOKUP($B81,'[1]4. Coverage Review'!$B$4:$K$78,6,FALSE)*100,"")</f>
        <v/>
      </c>
      <c r="I81" s="15" t="str">
        <f>IF($A81="x",IF(Chosen_Scenario="Mitigation Impact Only",VLOOKUP($B81,'[1]4. Coverage Review'!$B$4:$K$78,8,FALSE)*100,VLOOKUP($B81,'[1]4. Coverage Review'!$B$4:$K$78,10,FALSE)*100),"")</f>
        <v/>
      </c>
    </row>
    <row r="82" s="1" customFormat="1" spans="1:9">
      <c r="A82" s="12"/>
      <c r="B82" s="46"/>
      <c r="C82" s="46"/>
      <c r="D82" s="47"/>
      <c r="E82" s="47"/>
      <c r="F82" s="48" t="s">
        <v>92</v>
      </c>
      <c r="G82" s="15" t="str">
        <f>IF($A82="x",VLOOKUP($B82,'[1]4. Coverage Review'!$B$4:$K$78,5,FALSE)*100,"")</f>
        <v/>
      </c>
      <c r="H82" s="15" t="str">
        <f>IF($A82="x",VLOOKUP($B82,'[1]4. Coverage Review'!$B$4:$K$78,6,FALSE)*100,"")</f>
        <v/>
      </c>
      <c r="I82" s="15" t="str">
        <f>IF($A82="x",IF(Chosen_Scenario="Mitigation Impact Only",VLOOKUP($B82,'[1]4. Coverage Review'!$B$4:$K$78,8,FALSE)*100,VLOOKUP($B82,'[1]4. Coverage Review'!$B$4:$K$78,10,FALSE)*100),"")</f>
        <v/>
      </c>
    </row>
    <row r="83" s="1" customFormat="1" spans="1:9">
      <c r="A83" s="12" t="str">
        <f>IF(VLOOKUP(B83,'[1]1. Select Services'!$A$6:$E$77,5,FALSE)="x","x","")</f>
        <v>x</v>
      </c>
      <c r="B83" s="46">
        <v>63</v>
      </c>
      <c r="C83" s="46">
        <v>71</v>
      </c>
      <c r="D83" s="47"/>
      <c r="E83" s="47"/>
      <c r="F83" s="51" t="s">
        <v>93</v>
      </c>
      <c r="G83" s="15">
        <f>IF($A83="x",VLOOKUP($B83,'[1]4. Coverage Review'!$B$4:$K$78,5,FALSE)*100,"")</f>
        <v>22.9</v>
      </c>
      <c r="H83" s="15">
        <f>IF($A83="x",VLOOKUP($B83,'[1]4. Coverage Review'!$B$4:$K$78,6,FALSE)*100,"")</f>
        <v>19.007</v>
      </c>
      <c r="I83" s="15">
        <f>IF($A83="x",IF(Chosen_Scenario="Mitigation Impact Only",VLOOKUP($B83,'[1]4. Coverage Review'!$B$4:$K$78,8,FALSE)*100,VLOOKUP($B83,'[1]4. Coverage Review'!$B$4:$K$78,10,FALSE)*100),"")</f>
        <v>22.04812</v>
      </c>
    </row>
    <row r="84" s="1" customFormat="1" spans="1:9">
      <c r="A84" s="12" t="str">
        <f>IF(VLOOKUP(B84,'[1]1. Select Services'!$A$6:$E$77,5,FALSE)="x","x","")</f>
        <v/>
      </c>
      <c r="B84" s="46">
        <v>64</v>
      </c>
      <c r="C84" s="46">
        <v>72</v>
      </c>
      <c r="D84" s="47"/>
      <c r="E84" s="47"/>
      <c r="F84" s="51" t="s">
        <v>94</v>
      </c>
      <c r="G84" s="15" t="str">
        <f>IF($A84="x",VLOOKUP($B84,'[1]4. Coverage Review'!$B$4:$K$78,5,FALSE)*100,"")</f>
        <v/>
      </c>
      <c r="H84" s="15" t="str">
        <f>IF($A84="x",VLOOKUP($B84,'[1]4. Coverage Review'!$B$4:$K$78,6,FALSE)*100,"")</f>
        <v/>
      </c>
      <c r="I84" s="15" t="str">
        <f>IF($A84="x",IF(Chosen_Scenario="Mitigation Impact Only",VLOOKUP($B84,'[1]4. Coverage Review'!$B$4:$K$78,8,FALSE)*100,VLOOKUP($B84,'[1]4. Coverage Review'!$B$4:$K$78,10,FALSE)*100),"")</f>
        <v/>
      </c>
    </row>
    <row r="85" s="1" customFormat="1" spans="1:9">
      <c r="A85" s="12" t="str">
        <f>IF(VLOOKUP(B85,'[1]1. Select Services'!$A$6:$E$77,5,FALSE)="x","x","")</f>
        <v/>
      </c>
      <c r="B85" s="46">
        <v>65</v>
      </c>
      <c r="C85" s="46">
        <v>73</v>
      </c>
      <c r="D85" s="47"/>
      <c r="E85" s="47"/>
      <c r="F85" s="51" t="s">
        <v>95</v>
      </c>
      <c r="G85" s="15" t="str">
        <f>IF($A85="x",VLOOKUP($B85,'[1]4. Coverage Review'!$B$4:$K$78,5,FALSE)*100,"")</f>
        <v/>
      </c>
      <c r="H85" s="15" t="str">
        <f>IF($A85="x",VLOOKUP($B85,'[1]4. Coverage Review'!$B$4:$K$78,6,FALSE)*100,"")</f>
        <v/>
      </c>
      <c r="I85" s="15" t="str">
        <f>IF($A85="x",IF(Chosen_Scenario="Mitigation Impact Only",VLOOKUP($B85,'[1]4. Coverage Review'!$B$4:$K$78,8,FALSE)*100,VLOOKUP($B85,'[1]4. Coverage Review'!$B$4:$K$78,10,FALSE)*100),"")</f>
        <v/>
      </c>
    </row>
    <row r="86" s="1" customFormat="1" spans="1:9">
      <c r="A86" s="12"/>
      <c r="B86" s="46"/>
      <c r="C86" s="46"/>
      <c r="D86" s="47"/>
      <c r="E86" s="47"/>
      <c r="F86" s="52" t="s">
        <v>96</v>
      </c>
      <c r="G86" s="15" t="str">
        <f>IF($A86="x",VLOOKUP($B86,'[1]4. Coverage Review'!$B$4:$K$78,5,FALSE)*100,"")</f>
        <v/>
      </c>
      <c r="H86" s="15" t="str">
        <f>IF($A86="x",VLOOKUP($B86,'[1]4. Coverage Review'!$B$4:$K$78,6,FALSE)*100,"")</f>
        <v/>
      </c>
      <c r="I86" s="15" t="str">
        <f>IF($A86="x",IF(Chosen_Scenario="Mitigation Impact Only",VLOOKUP($B86,'[1]4. Coverage Review'!$B$4:$K$78,8,FALSE)*100,VLOOKUP($B86,'[1]4. Coverage Review'!$B$4:$K$78,10,FALSE)*100),"")</f>
        <v/>
      </c>
    </row>
    <row r="87" s="1" customFormat="1" spans="1:9">
      <c r="A87" s="12" t="str">
        <f>IF(VLOOKUP(B87,'[1]1. Select Services'!$A$6:$E$77,5,FALSE)="x","x","")</f>
        <v/>
      </c>
      <c r="B87" s="46">
        <v>66</v>
      </c>
      <c r="C87" s="46">
        <v>74</v>
      </c>
      <c r="D87" s="47"/>
      <c r="E87" s="47"/>
      <c r="F87" s="51" t="s">
        <v>97</v>
      </c>
      <c r="G87" s="15" t="str">
        <f>IF($A87="x",VLOOKUP($B87,'[1]4. Coverage Review'!$B$4:$K$78,5,FALSE)*100,"")</f>
        <v/>
      </c>
      <c r="H87" s="15" t="str">
        <f>IF($A87="x",VLOOKUP($B87,'[1]4. Coverage Review'!$B$4:$K$78,6,FALSE)*100,"")</f>
        <v/>
      </c>
      <c r="I87" s="15" t="str">
        <f>IF($A87="x",IF(Chosen_Scenario="Mitigation Impact Only",VLOOKUP($B87,'[1]4. Coverage Review'!$B$4:$K$78,8,FALSE)*100,VLOOKUP($B87,'[1]4. Coverage Review'!$B$4:$K$78,10,FALSE)*100),"")</f>
        <v/>
      </c>
    </row>
    <row r="88" s="1" customFormat="1" spans="1:9">
      <c r="A88" s="12" t="str">
        <f>IF(VLOOKUP(B88,'[1]1. Select Services'!$A$6:$E$77,5,FALSE)="x","x","")</f>
        <v>x</v>
      </c>
      <c r="B88" s="46">
        <v>67</v>
      </c>
      <c r="C88" s="46">
        <v>75</v>
      </c>
      <c r="D88" s="47"/>
      <c r="E88" s="47"/>
      <c r="F88" s="51" t="s">
        <v>98</v>
      </c>
      <c r="G88" s="15">
        <f>IF($A88="x",VLOOKUP($B88,'[1]4. Coverage Review'!$B$4:$K$78,5,FALSE)*100,"")</f>
        <v>99</v>
      </c>
      <c r="H88" s="15">
        <f>IF($A88="x",VLOOKUP($B88,'[1]4. Coverage Review'!$B$4:$K$78,6,FALSE)*100,"")</f>
        <v>82.17</v>
      </c>
      <c r="I88" s="15">
        <f>IF($A88="x",IF(Chosen_Scenario="Mitigation Impact Only",VLOOKUP($B88,'[1]4. Coverage Review'!$B$4:$K$78,8,FALSE)*100,VLOOKUP($B88,'[1]4. Coverage Review'!$B$4:$K$78,10,FALSE)*100),"")</f>
        <v>95.3172</v>
      </c>
    </row>
    <row r="89" s="1" customFormat="1" spans="1:9">
      <c r="A89" s="12" t="str">
        <f>IF(VLOOKUP(B89,'[1]1. Select Services'!$A$6:$E$77,5,FALSE)="x","x","")</f>
        <v/>
      </c>
      <c r="B89" s="46">
        <v>68</v>
      </c>
      <c r="C89" s="46">
        <v>76</v>
      </c>
      <c r="D89" s="47"/>
      <c r="E89" s="47"/>
      <c r="F89" s="51" t="s">
        <v>99</v>
      </c>
      <c r="G89" s="15" t="str">
        <f>IF($A89="x",VLOOKUP($B89,'[1]4. Coverage Review'!$B$4:$K$78,5,FALSE)*100,"")</f>
        <v/>
      </c>
      <c r="H89" s="15" t="str">
        <f>IF($A89="x",VLOOKUP($B89,'[1]4. Coverage Review'!$B$4:$K$78,6,FALSE)*100,"")</f>
        <v/>
      </c>
      <c r="I89" s="15" t="str">
        <f>IF($A89="x",IF(Chosen_Scenario="Mitigation Impact Only",VLOOKUP($B89,'[1]4. Coverage Review'!$B$4:$K$78,8,FALSE)*100,VLOOKUP($B89,'[1]4. Coverage Review'!$B$4:$K$78,10,FALSE)*100),"")</f>
        <v/>
      </c>
    </row>
    <row r="90" s="1" customFormat="1" spans="1:9">
      <c r="A90" s="12"/>
      <c r="B90" s="46"/>
      <c r="C90" s="46"/>
      <c r="D90" s="47"/>
      <c r="E90" s="47"/>
      <c r="F90" s="52" t="s">
        <v>100</v>
      </c>
      <c r="G90" s="15" t="str">
        <f>IF($A90="x",VLOOKUP($B90,'[1]4. Coverage Review'!$B$4:$K$78,5,FALSE)*100,"")</f>
        <v/>
      </c>
      <c r="H90" s="15" t="str">
        <f>IF($A90="x",VLOOKUP($B90,'[1]4. Coverage Review'!$B$4:$K$78,6,FALSE)*100,"")</f>
        <v/>
      </c>
      <c r="I90" s="15" t="str">
        <f>IF($A90="x",IF(Chosen_Scenario="Mitigation Impact Only",VLOOKUP($B90,'[1]4. Coverage Review'!$B$4:$K$78,8,FALSE)*100,VLOOKUP($B90,'[1]4. Coverage Review'!$B$4:$K$78,10,FALSE)*100),"")</f>
        <v/>
      </c>
    </row>
    <row r="91" s="1" customFormat="1" spans="1:9">
      <c r="A91" s="12" t="str">
        <f>IF(VLOOKUP(B91,'[1]1. Select Services'!$A$6:$E$77,5,FALSE)="x","x","")</f>
        <v/>
      </c>
      <c r="B91" s="46">
        <v>69</v>
      </c>
      <c r="C91" s="46">
        <v>77</v>
      </c>
      <c r="D91" s="47"/>
      <c r="E91" s="47"/>
      <c r="F91" s="51" t="s">
        <v>101</v>
      </c>
      <c r="G91" s="15" t="str">
        <f>IF($A91="x",VLOOKUP($B91,'[1]4. Coverage Review'!$B$4:$K$78,5,FALSE)*100,"")</f>
        <v/>
      </c>
      <c r="H91" s="15" t="str">
        <f>IF($A91="x",VLOOKUP($B91,'[1]4. Coverage Review'!$B$4:$K$78,6,FALSE)*100,"")</f>
        <v/>
      </c>
      <c r="I91" s="15" t="str">
        <f>IF($A91="x",IF(Chosen_Scenario="Mitigation Impact Only",VLOOKUP($B91,'[1]4. Coverage Review'!$B$4:$K$78,8,FALSE)*100,VLOOKUP($B91,'[1]4. Coverage Review'!$B$4:$K$78,10,FALSE)*100),"")</f>
        <v/>
      </c>
    </row>
    <row r="92" s="1" customFormat="1" spans="1:9">
      <c r="A92" s="12" t="str">
        <f>IF(VLOOKUP(B92,'[1]1. Select Services'!$A$6:$E$77,5,FALSE)="x","x","")</f>
        <v/>
      </c>
      <c r="B92" s="46">
        <v>70</v>
      </c>
      <c r="C92" s="46">
        <v>78</v>
      </c>
      <c r="D92" s="47"/>
      <c r="E92" s="47"/>
      <c r="F92" s="51" t="s">
        <v>102</v>
      </c>
      <c r="G92" s="15" t="str">
        <f>IF($A92="x",VLOOKUP($B92,'[1]4. Coverage Review'!$B$4:$K$78,5,FALSE)*100,"")</f>
        <v/>
      </c>
      <c r="H92" s="15" t="str">
        <f>IF($A92="x",VLOOKUP($B92,'[1]4. Coverage Review'!$B$4:$K$78,6,FALSE)*100,"")</f>
        <v/>
      </c>
      <c r="I92" s="15" t="str">
        <f>IF($A92="x",IF(Chosen_Scenario="Mitigation Impact Only",VLOOKUP($B92,'[1]4. Coverage Review'!$B$4:$K$78,8,FALSE)*100,VLOOKUP($B92,'[1]4. Coverage Review'!$B$4:$K$78,10,FALSE)*100),"")</f>
        <v/>
      </c>
    </row>
    <row r="95" s="1" customFormat="1" spans="7:7">
      <c r="G95" s="53"/>
    </row>
  </sheetData>
  <mergeCells count="6">
    <mergeCell ref="D5:E9"/>
    <mergeCell ref="D10:E26"/>
    <mergeCell ref="D27:E46"/>
    <mergeCell ref="D48:E60"/>
    <mergeCell ref="D61:E71"/>
    <mergeCell ref="D72:E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2024-11-19T07:12:00Z</dcterms:created>
  <dcterms:modified xsi:type="dcterms:W3CDTF">2024-12-26T10:09:31Z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89C2D2E6516F434283AEB56E8F534BD7_11</vt:lpwstr>
  </property>
  <property fmtid="{D5CDD505-2E9C-101B-9397-08002B2CF9AE}" pid="3" name="KSOProductBuildVer">
    <vt:lpwstr>2052-12.1.0.19302</vt:lpwstr>
  </property>
</Properties>
</file>