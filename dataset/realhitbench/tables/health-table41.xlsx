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<sst xmlns="http://schemas.openxmlformats.org/spreadsheetml/2006/main" count="80" uniqueCount="20">
  <si>
    <t>Densitometry</t>
  </si>
  <si>
    <t>EMSA</t>
  </si>
  <si>
    <t>Expt-1</t>
  </si>
  <si>
    <t>Pr1</t>
  </si>
  <si>
    <t>Pr2</t>
  </si>
  <si>
    <t>Pr1/Oct1</t>
  </si>
  <si>
    <t>Pr2/Oct1</t>
  </si>
  <si>
    <t>Area</t>
  </si>
  <si>
    <t>Intensity</t>
  </si>
  <si>
    <t>Intensity/Area</t>
  </si>
  <si>
    <t>Set1</t>
  </si>
  <si>
    <t>Uninf</t>
  </si>
  <si>
    <t xml:space="preserve">DC- SAG </t>
  </si>
  <si>
    <t>Set2</t>
  </si>
  <si>
    <t>DC + SAG</t>
  </si>
  <si>
    <t>Set3</t>
  </si>
  <si>
    <t>LDPm 24h</t>
  </si>
  <si>
    <t>Set4</t>
  </si>
  <si>
    <t>Expt-2</t>
  </si>
  <si>
    <t>Expt-3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</si>
</sst>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/>
    <xf numFmtId="0" fontId="3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  <xf numFmtId="17" fontId="4" fillId="0" borderId="3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G30" sqref="G30"/>
    </sheetView>
  </sheetViews>
  <sheetFormatPr defaultColWidth="8.72727272727273" defaultRowHeight="14"/>
  <cols>
    <col min="2" max="2" width="9.90909090909091" customWidth="1"/>
    <col min="5" max="5" width="10.5454545454545" customWidth="1"/>
    <col min="6" max="6" width="17.9090909090909" customWidth="1"/>
    <col min="9" max="9" width="11.8181818181818" customWidth="1"/>
    <col min="10" max="10" width="15.4545454545455" customWidth="1"/>
    <col min="13" max="13" width="12.8181818181818" customWidth="1"/>
    <col min="14" max="14" width="17.3636363636364" customWidth="1"/>
    <col min="15" max="15" width="12.2727272727273" customWidth="1"/>
    <col min="16" max="16" width="16.1818181818182" customWidth="1"/>
  </cols>
  <sheetData>
    <row r="1" ht="21" spans="1:16">
      <c r="A1" s="1" t="s">
        <v>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7.5" spans="1:16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6"/>
      <c r="B4" s="7"/>
      <c r="C4" s="7"/>
      <c r="D4" s="8" t="s">
        <v>3</v>
      </c>
      <c r="E4" s="9"/>
      <c r="F4" s="10"/>
      <c r="G4" s="7"/>
      <c r="H4" s="8" t="s">
        <v>4</v>
      </c>
      <c r="I4" s="9"/>
      <c r="J4" s="10"/>
      <c r="K4" s="7"/>
      <c r="L4" s="24">
        <v>37165</v>
      </c>
      <c r="M4" s="25"/>
      <c r="N4" s="26"/>
      <c r="O4" s="9" t="s">
        <v>5</v>
      </c>
      <c r="P4" s="10" t="s">
        <v>6</v>
      </c>
    </row>
    <row r="5" spans="1:16">
      <c r="A5" s="11"/>
      <c r="B5" s="12"/>
      <c r="C5" s="12"/>
      <c r="D5" s="13" t="s">
        <v>7</v>
      </c>
      <c r="E5" s="14" t="s">
        <v>8</v>
      </c>
      <c r="F5" s="15" t="s">
        <v>9</v>
      </c>
      <c r="G5" s="14"/>
      <c r="H5" s="13" t="s">
        <v>7</v>
      </c>
      <c r="I5" s="14" t="s">
        <v>8</v>
      </c>
      <c r="J5" s="15" t="s">
        <v>9</v>
      </c>
      <c r="K5" s="14"/>
      <c r="L5" s="13" t="s">
        <v>7</v>
      </c>
      <c r="M5" s="14" t="s">
        <v>8</v>
      </c>
      <c r="N5" s="15" t="s">
        <v>9</v>
      </c>
      <c r="O5" s="14"/>
      <c r="P5" s="15"/>
    </row>
    <row r="6" spans="1:16">
      <c r="A6" s="6" t="s">
        <v>10</v>
      </c>
      <c r="B6" s="7" t="s">
        <v>11</v>
      </c>
      <c r="C6" s="7" t="s">
        <v>12</v>
      </c>
      <c r="D6" s="16">
        <v>0.04</v>
      </c>
      <c r="E6" s="17">
        <v>37.71</v>
      </c>
      <c r="F6" s="18">
        <f t="shared" ref="F6:F9" si="0">(E6/D6)</f>
        <v>942.75</v>
      </c>
      <c r="G6" s="17"/>
      <c r="H6" s="16">
        <v>0.04</v>
      </c>
      <c r="I6" s="17">
        <v>24.58</v>
      </c>
      <c r="J6" s="18">
        <f t="shared" ref="J6:J9" si="1">(I6/H6)</f>
        <v>614.5</v>
      </c>
      <c r="K6" s="17"/>
      <c r="L6" s="16">
        <v>0.02</v>
      </c>
      <c r="M6" s="17">
        <v>182.3</v>
      </c>
      <c r="N6" s="18">
        <f t="shared" ref="N6:N9" si="2">(M6/L6)</f>
        <v>9115</v>
      </c>
      <c r="O6" s="17">
        <f t="shared" ref="O6:O9" si="3">(F6/N6)</f>
        <v>0.103428414701042</v>
      </c>
      <c r="P6" s="18">
        <f t="shared" ref="P6:P9" si="4">(J6/N6)</f>
        <v>0.0674163466812946</v>
      </c>
    </row>
    <row r="7" spans="1:16">
      <c r="A7" s="19" t="s">
        <v>13</v>
      </c>
      <c r="B7" s="20" t="s">
        <v>11</v>
      </c>
      <c r="C7" s="20" t="s">
        <v>14</v>
      </c>
      <c r="D7" s="21">
        <v>0.04</v>
      </c>
      <c r="E7" s="22">
        <v>159.44</v>
      </c>
      <c r="F7" s="23">
        <f t="shared" si="0"/>
        <v>3986</v>
      </c>
      <c r="G7" s="22"/>
      <c r="H7" s="21">
        <v>0.04</v>
      </c>
      <c r="I7" s="22">
        <v>131.33</v>
      </c>
      <c r="J7" s="23">
        <f t="shared" si="1"/>
        <v>3283.25</v>
      </c>
      <c r="K7" s="22"/>
      <c r="L7" s="21">
        <v>0.02</v>
      </c>
      <c r="M7" s="22">
        <v>192.23</v>
      </c>
      <c r="N7" s="23">
        <f t="shared" si="2"/>
        <v>9611.5</v>
      </c>
      <c r="O7" s="22">
        <f t="shared" si="3"/>
        <v>0.414711543463559</v>
      </c>
      <c r="P7" s="23">
        <f t="shared" si="4"/>
        <v>0.341596004785934</v>
      </c>
    </row>
    <row r="8" spans="1:16">
      <c r="A8" s="11" t="s">
        <v>15</v>
      </c>
      <c r="B8" s="12" t="s">
        <v>16</v>
      </c>
      <c r="C8" s="7" t="s">
        <v>12</v>
      </c>
      <c r="D8" s="13">
        <v>0.04</v>
      </c>
      <c r="E8" s="14">
        <v>40.75</v>
      </c>
      <c r="F8" s="15">
        <f t="shared" si="0"/>
        <v>1018.75</v>
      </c>
      <c r="G8" s="14"/>
      <c r="H8" s="13">
        <v>0.04</v>
      </c>
      <c r="I8" s="14">
        <v>20.72</v>
      </c>
      <c r="J8" s="15">
        <f t="shared" si="1"/>
        <v>518</v>
      </c>
      <c r="K8" s="14"/>
      <c r="L8" s="13">
        <v>0.02</v>
      </c>
      <c r="M8" s="14">
        <v>188.47</v>
      </c>
      <c r="N8" s="15">
        <f t="shared" si="2"/>
        <v>9423.5</v>
      </c>
      <c r="O8" s="14">
        <f t="shared" si="3"/>
        <v>0.108107391096726</v>
      </c>
      <c r="P8" s="15">
        <f t="shared" si="4"/>
        <v>0.0549689605772802</v>
      </c>
    </row>
    <row r="9" spans="1:16">
      <c r="A9" s="19" t="s">
        <v>17</v>
      </c>
      <c r="B9" s="20" t="s">
        <v>16</v>
      </c>
      <c r="C9" s="20" t="s">
        <v>14</v>
      </c>
      <c r="D9" s="21">
        <v>0.04</v>
      </c>
      <c r="E9" s="22">
        <v>147.07</v>
      </c>
      <c r="F9" s="23">
        <f t="shared" si="0"/>
        <v>3676.75</v>
      </c>
      <c r="G9" s="22"/>
      <c r="H9" s="21">
        <v>0.04</v>
      </c>
      <c r="I9" s="22">
        <v>123.81</v>
      </c>
      <c r="J9" s="23">
        <f t="shared" si="1"/>
        <v>3095.25</v>
      </c>
      <c r="K9" s="22"/>
      <c r="L9" s="21">
        <v>0.02</v>
      </c>
      <c r="M9" s="22">
        <v>177.84</v>
      </c>
      <c r="N9" s="23">
        <f t="shared" si="2"/>
        <v>8892</v>
      </c>
      <c r="O9" s="22">
        <f t="shared" si="3"/>
        <v>0.413489653621233</v>
      </c>
      <c r="P9" s="23">
        <f t="shared" si="4"/>
        <v>0.34809379217274</v>
      </c>
    </row>
    <row r="11" spans="1:16">
      <c r="A11" s="5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6"/>
      <c r="B12" s="7"/>
      <c r="C12" s="7"/>
      <c r="D12" s="8" t="s">
        <v>3</v>
      </c>
      <c r="E12" s="9"/>
      <c r="F12" s="10"/>
      <c r="G12" s="7"/>
      <c r="H12" s="8" t="s">
        <v>4</v>
      </c>
      <c r="I12" s="9"/>
      <c r="J12" s="10"/>
      <c r="K12" s="7"/>
      <c r="L12" s="24">
        <v>37165</v>
      </c>
      <c r="M12" s="25"/>
      <c r="N12" s="26"/>
      <c r="O12" s="9" t="s">
        <v>5</v>
      </c>
      <c r="P12" s="10" t="s">
        <v>6</v>
      </c>
    </row>
    <row r="13" spans="1:16">
      <c r="A13" s="11"/>
      <c r="B13" s="12"/>
      <c r="C13" s="12"/>
      <c r="D13" s="13" t="s">
        <v>7</v>
      </c>
      <c r="E13" s="14" t="s">
        <v>8</v>
      </c>
      <c r="F13" s="15" t="s">
        <v>9</v>
      </c>
      <c r="G13" s="14"/>
      <c r="H13" s="13" t="s">
        <v>7</v>
      </c>
      <c r="I13" s="14" t="s">
        <v>8</v>
      </c>
      <c r="J13" s="15" t="s">
        <v>9</v>
      </c>
      <c r="K13" s="14"/>
      <c r="L13" s="13" t="s">
        <v>7</v>
      </c>
      <c r="M13" s="14" t="s">
        <v>8</v>
      </c>
      <c r="N13" s="15" t="s">
        <v>9</v>
      </c>
      <c r="O13" s="14"/>
      <c r="P13" s="15"/>
    </row>
    <row r="14" spans="1:16">
      <c r="A14" s="6" t="s">
        <v>10</v>
      </c>
      <c r="B14" s="7" t="s">
        <v>11</v>
      </c>
      <c r="C14" s="7" t="s">
        <v>12</v>
      </c>
      <c r="D14" s="16">
        <v>0.07</v>
      </c>
      <c r="E14" s="17">
        <v>48.05</v>
      </c>
      <c r="F14" s="18">
        <f t="shared" ref="F14:F17" si="5">(E14/D14)</f>
        <v>686.428571428571</v>
      </c>
      <c r="G14" s="17"/>
      <c r="H14" s="16">
        <v>0.07</v>
      </c>
      <c r="I14" s="17">
        <v>44.21</v>
      </c>
      <c r="J14" s="18">
        <f t="shared" ref="J14:J17" si="6">(I14/H14)</f>
        <v>631.571428571429</v>
      </c>
      <c r="K14" s="17"/>
      <c r="L14" s="16">
        <v>0.06</v>
      </c>
      <c r="M14" s="17">
        <v>149.64</v>
      </c>
      <c r="N14" s="18">
        <f t="shared" ref="N14:N17" si="7">(M14/L14)</f>
        <v>2494</v>
      </c>
      <c r="O14" s="17">
        <f t="shared" ref="O14:O17" si="8">(F14/N14)</f>
        <v>0.275231985336235</v>
      </c>
      <c r="P14" s="18">
        <f t="shared" ref="P14:P17" si="9">(J14/N14)</f>
        <v>0.253236338641311</v>
      </c>
    </row>
    <row r="15" spans="1:16">
      <c r="A15" s="19" t="s">
        <v>13</v>
      </c>
      <c r="B15" s="20" t="s">
        <v>11</v>
      </c>
      <c r="C15" s="20" t="s">
        <v>14</v>
      </c>
      <c r="D15" s="21">
        <v>0.07</v>
      </c>
      <c r="E15" s="22">
        <v>161.11</v>
      </c>
      <c r="F15" s="23">
        <f t="shared" si="5"/>
        <v>2301.57142857143</v>
      </c>
      <c r="G15" s="22"/>
      <c r="H15" s="21">
        <v>0.07</v>
      </c>
      <c r="I15" s="22">
        <v>185.64</v>
      </c>
      <c r="J15" s="23">
        <f t="shared" si="6"/>
        <v>2652</v>
      </c>
      <c r="K15" s="22"/>
      <c r="L15" s="21">
        <v>0.06</v>
      </c>
      <c r="M15" s="22">
        <v>153.99</v>
      </c>
      <c r="N15" s="23">
        <f t="shared" si="7"/>
        <v>2566.5</v>
      </c>
      <c r="O15" s="22">
        <f t="shared" si="8"/>
        <v>0.896774373104005</v>
      </c>
      <c r="P15" s="23">
        <f t="shared" si="9"/>
        <v>1.0333138515488</v>
      </c>
    </row>
    <row r="16" spans="1:16">
      <c r="A16" s="11" t="s">
        <v>15</v>
      </c>
      <c r="B16" s="12" t="s">
        <v>16</v>
      </c>
      <c r="C16" s="7" t="s">
        <v>12</v>
      </c>
      <c r="D16" s="13">
        <v>0.07</v>
      </c>
      <c r="E16" s="14">
        <v>33.5</v>
      </c>
      <c r="F16" s="15">
        <f t="shared" si="5"/>
        <v>478.571428571428</v>
      </c>
      <c r="G16" s="14"/>
      <c r="H16" s="13">
        <v>0.07</v>
      </c>
      <c r="I16" s="14">
        <v>51.98</v>
      </c>
      <c r="J16" s="15">
        <f t="shared" si="6"/>
        <v>742.571428571428</v>
      </c>
      <c r="K16" s="14"/>
      <c r="L16" s="13">
        <v>0.06</v>
      </c>
      <c r="M16" s="14">
        <v>159.54</v>
      </c>
      <c r="N16" s="15">
        <f t="shared" si="7"/>
        <v>2659</v>
      </c>
      <c r="O16" s="14">
        <f t="shared" si="8"/>
        <v>0.179981733197228</v>
      </c>
      <c r="P16" s="15">
        <f t="shared" si="9"/>
        <v>0.279267178853489</v>
      </c>
    </row>
    <row r="17" spans="1:16">
      <c r="A17" s="19" t="s">
        <v>17</v>
      </c>
      <c r="B17" s="20" t="s">
        <v>16</v>
      </c>
      <c r="C17" s="20" t="s">
        <v>14</v>
      </c>
      <c r="D17" s="21">
        <v>0.07</v>
      </c>
      <c r="E17" s="22">
        <v>137.07</v>
      </c>
      <c r="F17" s="23">
        <f t="shared" si="5"/>
        <v>1958.14285714286</v>
      </c>
      <c r="G17" s="22"/>
      <c r="H17" s="21">
        <v>0.07</v>
      </c>
      <c r="I17" s="22">
        <v>179.31</v>
      </c>
      <c r="J17" s="23">
        <f t="shared" si="6"/>
        <v>2561.57142857143</v>
      </c>
      <c r="K17" s="22"/>
      <c r="L17" s="21">
        <v>0.06</v>
      </c>
      <c r="M17" s="22">
        <v>151.83</v>
      </c>
      <c r="N17" s="23">
        <f t="shared" si="7"/>
        <v>2530.5</v>
      </c>
      <c r="O17" s="22">
        <f t="shared" si="8"/>
        <v>0.773816580574138</v>
      </c>
      <c r="P17" s="23">
        <f t="shared" si="9"/>
        <v>1.01227877042933</v>
      </c>
    </row>
    <row r="19" spans="1:16">
      <c r="A19" s="5" t="s">
        <v>19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6"/>
      <c r="B20" s="7"/>
      <c r="C20" s="7"/>
      <c r="D20" s="8" t="s">
        <v>3</v>
      </c>
      <c r="E20" s="9"/>
      <c r="F20" s="10"/>
      <c r="G20" s="7"/>
      <c r="H20" s="8" t="s">
        <v>4</v>
      </c>
      <c r="I20" s="9"/>
      <c r="J20" s="10"/>
      <c r="K20" s="7"/>
      <c r="L20" s="24">
        <v>37165</v>
      </c>
      <c r="M20" s="25"/>
      <c r="N20" s="26"/>
      <c r="O20" s="9" t="s">
        <v>5</v>
      </c>
      <c r="P20" s="10" t="s">
        <v>6</v>
      </c>
    </row>
    <row r="21" spans="1:16">
      <c r="A21" s="11"/>
      <c r="B21" s="12"/>
      <c r="C21" s="12"/>
      <c r="D21" s="13" t="s">
        <v>7</v>
      </c>
      <c r="E21" s="14" t="s">
        <v>8</v>
      </c>
      <c r="F21" s="15" t="s">
        <v>9</v>
      </c>
      <c r="G21" s="14"/>
      <c r="H21" s="13" t="s">
        <v>7</v>
      </c>
      <c r="I21" s="14" t="s">
        <v>8</v>
      </c>
      <c r="J21" s="15" t="s">
        <v>9</v>
      </c>
      <c r="K21" s="14"/>
      <c r="L21" s="13" t="s">
        <v>7</v>
      </c>
      <c r="M21" s="14" t="s">
        <v>8</v>
      </c>
      <c r="N21" s="15" t="s">
        <v>9</v>
      </c>
      <c r="O21" s="14"/>
      <c r="P21" s="15"/>
    </row>
    <row r="22" spans="1:16">
      <c r="A22" s="6" t="s">
        <v>10</v>
      </c>
      <c r="B22" s="7" t="s">
        <v>11</v>
      </c>
      <c r="C22" s="7" t="s">
        <v>12</v>
      </c>
      <c r="D22" s="16">
        <v>0.04</v>
      </c>
      <c r="E22" s="17">
        <v>24.99</v>
      </c>
      <c r="F22" s="18">
        <f t="shared" ref="F22:F25" si="10">(E22/D22)</f>
        <v>624.75</v>
      </c>
      <c r="G22" s="17"/>
      <c r="H22" s="16">
        <v>0.04</v>
      </c>
      <c r="I22" s="17">
        <v>41.93</v>
      </c>
      <c r="J22" s="18">
        <f t="shared" ref="J22:J25" si="11">(I22/H22)</f>
        <v>1048.25</v>
      </c>
      <c r="K22" s="17"/>
      <c r="L22" s="16">
        <v>0.05</v>
      </c>
      <c r="M22" s="17">
        <v>162.87</v>
      </c>
      <c r="N22" s="18">
        <f t="shared" ref="N22:N25" si="12">(M22/L22)</f>
        <v>3257.4</v>
      </c>
      <c r="O22" s="17">
        <f t="shared" ref="O22:O25" si="13">(F22/N22)</f>
        <v>0.191794068889298</v>
      </c>
      <c r="P22" s="18">
        <f t="shared" ref="P22:P25" si="14">(J22/N22)</f>
        <v>0.321805734634985</v>
      </c>
    </row>
    <row r="23" spans="1:16">
      <c r="A23" s="19" t="s">
        <v>13</v>
      </c>
      <c r="B23" s="20" t="s">
        <v>11</v>
      </c>
      <c r="C23" s="20" t="s">
        <v>14</v>
      </c>
      <c r="D23" s="21">
        <v>0.04</v>
      </c>
      <c r="E23" s="22">
        <v>118.45</v>
      </c>
      <c r="F23" s="23">
        <f t="shared" si="10"/>
        <v>2961.25</v>
      </c>
      <c r="G23" s="22"/>
      <c r="H23" s="21">
        <v>0.04</v>
      </c>
      <c r="I23" s="22">
        <v>165.39</v>
      </c>
      <c r="J23" s="23">
        <f t="shared" si="11"/>
        <v>4134.75</v>
      </c>
      <c r="K23" s="22"/>
      <c r="L23" s="21">
        <v>0.05</v>
      </c>
      <c r="M23" s="22">
        <v>168.21</v>
      </c>
      <c r="N23" s="23">
        <f t="shared" si="12"/>
        <v>3364.2</v>
      </c>
      <c r="O23" s="22">
        <f t="shared" si="13"/>
        <v>0.880224124606147</v>
      </c>
      <c r="P23" s="23">
        <f t="shared" si="14"/>
        <v>1.22904405207776</v>
      </c>
    </row>
    <row r="24" spans="1:16">
      <c r="A24" s="11" t="s">
        <v>15</v>
      </c>
      <c r="B24" s="12" t="s">
        <v>16</v>
      </c>
      <c r="C24" s="7" t="s">
        <v>12</v>
      </c>
      <c r="D24" s="13">
        <v>0.04</v>
      </c>
      <c r="E24" s="14">
        <v>32.65</v>
      </c>
      <c r="F24" s="15">
        <f t="shared" si="10"/>
        <v>816.25</v>
      </c>
      <c r="G24" s="14"/>
      <c r="H24" s="13">
        <v>0.04</v>
      </c>
      <c r="I24" s="14">
        <v>31.31</v>
      </c>
      <c r="J24" s="15">
        <f t="shared" si="11"/>
        <v>782.75</v>
      </c>
      <c r="K24" s="14"/>
      <c r="L24" s="13">
        <v>0.05</v>
      </c>
      <c r="M24" s="14">
        <v>159.4</v>
      </c>
      <c r="N24" s="15">
        <f t="shared" si="12"/>
        <v>3188</v>
      </c>
      <c r="O24" s="14">
        <f t="shared" si="13"/>
        <v>0.256038268506901</v>
      </c>
      <c r="P24" s="15">
        <f t="shared" si="14"/>
        <v>0.245530112923463</v>
      </c>
    </row>
    <row r="25" spans="1:16">
      <c r="A25" s="19" t="s">
        <v>17</v>
      </c>
      <c r="B25" s="20" t="s">
        <v>16</v>
      </c>
      <c r="C25" s="20" t="s">
        <v>14</v>
      </c>
      <c r="D25" s="21">
        <v>0.04</v>
      </c>
      <c r="E25" s="22">
        <v>92.09</v>
      </c>
      <c r="F25" s="23">
        <f t="shared" si="10"/>
        <v>2302.25</v>
      </c>
      <c r="G25" s="22"/>
      <c r="H25" s="21">
        <v>0.04</v>
      </c>
      <c r="I25" s="22">
        <v>112.71</v>
      </c>
      <c r="J25" s="23">
        <f t="shared" si="11"/>
        <v>2817.75</v>
      </c>
      <c r="K25" s="22"/>
      <c r="L25" s="21">
        <v>0.05</v>
      </c>
      <c r="M25" s="22">
        <v>144.71</v>
      </c>
      <c r="N25" s="23">
        <f t="shared" si="12"/>
        <v>2894.2</v>
      </c>
      <c r="O25" s="22">
        <f t="shared" si="13"/>
        <v>0.795470250846521</v>
      </c>
      <c r="P25" s="23">
        <f t="shared" si="14"/>
        <v>0.973585101236957</v>
      </c>
    </row>
  </sheetData>
  <mergeCells count="13">
    <mergeCell ref="A1:B1"/>
    <mergeCell ref="A3:P3"/>
    <mergeCell ref="D4:F4"/>
    <mergeCell ref="H4:J4"/>
    <mergeCell ref="L4:N4"/>
    <mergeCell ref="A11:P11"/>
    <mergeCell ref="D12:F12"/>
    <mergeCell ref="H12:J12"/>
    <mergeCell ref="L12:N12"/>
    <mergeCell ref="A19:P19"/>
    <mergeCell ref="D20:F20"/>
    <mergeCell ref="H20:J20"/>
    <mergeCell ref="L20:N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2024-12-05T13:16:00Z</dcterms:created>
  <dcterms:modified xsi:type="dcterms:W3CDTF">2024-12-26T09:20:45Z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55CB040A8B8F431D8367F5310C2C9D83_11</vt:lpwstr>
  </property>
  <property fmtid="{D5CDD505-2E9C-101B-9397-08002B2CF9AE}" pid="3" name="KSOProductBuildVer">
    <vt:lpwstr>2052-12.1.0.19302</vt:lpwstr>
  </property>
</Properties>
</file>