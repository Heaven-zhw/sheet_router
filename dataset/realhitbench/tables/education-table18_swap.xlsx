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 tabRatio="500"/>
  </bookViews>
  <sheets>
    <sheet name="AL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<sst xmlns="http://schemas.openxmlformats.org/spreadsheetml/2006/main" count="162" uniqueCount="39">
  <si>
    <t>Number and percentage of public school students retained, by race/ethnicity, disability status, and English proficiency, by gender and grade: School Year 2011-12</t>
  </si>
  <si>
    <t>Grade</t>
  </si>
  <si>
    <t>Gender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</si>
  <si>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</si>
  <si>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</si>
  <si>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</si>
  <si>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</si>
  <si>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</si>
  <si>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</si>
  <si>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</si>
  <si>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</si>
  <si>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</si>
  <si>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</si>
  <si>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</si>
  <si>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</si>
  <si>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</si>
  <si>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</si>
  <si>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</si>
  <si>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</si>
  <si>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Percent </t>
  </si>
  <si>
    <t>Male</t>
  </si>
  <si>
    <t>1</t>
  </si>
  <si>
    <t>Female</t>
  </si>
  <si>
    <t xml:space="preserve">1-3 </t>
  </si>
  <si>
    <t>Total</t>
  </si>
  <si>
    <t>Kindergarten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</si>
  <si>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</si>
  <si>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</si>
  <si>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</si>
  <si>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</si>
  <si>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</si>
  <si>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</si>
  <si>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</si>
  <si>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</si>
  <si>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</si>
  <si>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</si>
  <si>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</si>
  <si>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 xml:space="preserve">            The ‘1-3’ reference indicates that the data have been suppressed based on the schools’ reported n-size, and that the midpoint was used to calculate the total.</t>
  </si>
  <si>
    <r>
      <rPr>
        <sz val="10"/>
        <rFont val="Arial"/>
        <charset val="134"/>
      </rPr>
      <t xml:space="preserve">SOURCE: U.S. Department of Education, Office for Civil Rights, Civil Rights Data Collection, 2011-12,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http://ocrdata.ed.gov/downloads/DataNotes.docx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</si>
</sst>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"/>
    <numFmt numFmtId="177" formatCode="#,##0.0_)"/>
  </numFmts>
  <fonts count="36"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4"/>
      <color theme="1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4"/>
      <name val="Arial"/>
      <charset val="134"/>
    </font>
    <font>
      <sz val="11"/>
      <color rgb="FF333399"/>
      <name val="Arial"/>
      <charset val="134"/>
    </font>
    <font>
      <b/>
      <sz val="14"/>
      <color rgb="FF333399"/>
      <name val="Arial"/>
      <charset val="134"/>
    </font>
    <font>
      <b/>
      <sz val="11"/>
      <color rgb="FF333399"/>
      <name val="Arial"/>
      <charset val="134"/>
    </font>
    <font>
      <b/>
      <sz val="10"/>
      <name val="Arial"/>
      <charset val="134"/>
    </font>
    <font>
      <sz val="10"/>
      <color theme="0" tint="-0.0499893185216834"/>
      <name val="Arial"/>
      <charset val="134"/>
    </font>
    <font>
      <sz val="10"/>
      <color theme="1"/>
      <name val="Arial"/>
      <charset val="134"/>
    </font>
    <font>
      <sz val="10"/>
      <color theme="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  <font>
      <u/>
      <sz val="10"/>
      <color theme="3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4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0" borderId="4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7" applyNumberFormat="0" applyAlignment="0" applyProtection="0">
      <alignment vertical="center"/>
    </xf>
    <xf numFmtId="0" fontId="23" fillId="6" borderId="48" applyNumberFormat="0" applyAlignment="0" applyProtection="0">
      <alignment vertical="center"/>
    </xf>
    <xf numFmtId="0" fontId="24" fillId="6" borderId="47" applyNumberFormat="0" applyAlignment="0" applyProtection="0">
      <alignment vertical="center"/>
    </xf>
    <xf numFmtId="0" fontId="25" fillId="7" borderId="49" applyNumberFormat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7" fillId="0" borderId="5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  <xf numFmtId="0" fontId="13" fillId="0" borderId="0"/>
    <xf numFmtId="0" fontId="33" fillId="0" borderId="0"/>
    <xf numFmtId="0" fontId="34" fillId="0" borderId="0"/>
    <xf numFmtId="0" fontId="34" fillId="0" borderId="0"/>
  </cellStyleXfs>
  <cellXfs count="123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left"/>
    </xf>
    <xf numFmtId="0" fontId="3" fillId="0" borderId="0" xfId="50" applyFont="1" applyFill="1" applyAlignment="1"/>
    <xf numFmtId="0" fontId="3" fillId="0" borderId="0" xfId="49" applyFont="1" applyFill="1"/>
    <xf numFmtId="0" fontId="3" fillId="0" borderId="0" xfId="49" applyFont="1" applyFill="1" applyBorder="1"/>
    <xf numFmtId="0" fontId="4" fillId="0" borderId="0" xfId="49" applyFont="1"/>
    <xf numFmtId="0" fontId="3" fillId="0" borderId="0" xfId="49" applyFont="1"/>
    <xf numFmtId="0" fontId="1" fillId="0" borderId="0" xfId="50" applyFont="1" applyBorder="1"/>
    <xf numFmtId="0" fontId="4" fillId="0" borderId="0" xfId="49" applyFont="1" applyBorder="1"/>
    <xf numFmtId="0" fontId="5" fillId="0" borderId="0" xfId="49" applyFont="1" applyFill="1"/>
    <xf numFmtId="1" fontId="6" fillId="0" borderId="0" xfId="52" applyNumberFormat="1" applyFont="1" applyAlignment="1">
      <alignment wrapText="1"/>
    </xf>
    <xf numFmtId="37" fontId="7" fillId="0" borderId="0" xfId="53" applyNumberFormat="1" applyFont="1" applyAlignment="1">
      <alignment horizontal="left" wrapText="1"/>
    </xf>
    <xf numFmtId="0" fontId="8" fillId="0" borderId="1" xfId="52" applyFont="1" applyBorder="1"/>
    <xf numFmtId="1" fontId="6" fillId="0" borderId="1" xfId="52" applyNumberFormat="1" applyFont="1" applyBorder="1" applyAlignment="1">
      <alignment wrapText="1"/>
    </xf>
    <xf numFmtId="0" fontId="9" fillId="0" borderId="2" xfId="51" applyFont="1" applyFill="1" applyBorder="1" applyAlignment="1">
      <alignment horizontal="center" vertical="center" wrapText="1"/>
    </xf>
    <xf numFmtId="0" fontId="9" fillId="0" borderId="3" xfId="51" applyFont="1" applyFill="1" applyBorder="1" applyAlignment="1">
      <alignment horizontal="center" vertical="center"/>
    </xf>
    <xf numFmtId="1" fontId="9" fillId="0" borderId="4" xfId="51" applyNumberFormat="1" applyFont="1" applyFill="1" applyBorder="1" applyAlignment="1">
      <alignment horizontal="center" wrapText="1"/>
    </xf>
    <xf numFmtId="1" fontId="9" fillId="0" borderId="3" xfId="51" applyNumberFormat="1" applyFont="1" applyFill="1" applyBorder="1" applyAlignment="1">
      <alignment horizontal="center" wrapText="1"/>
    </xf>
    <xf numFmtId="0" fontId="9" fillId="0" borderId="0" xfId="51" applyFont="1" applyFill="1" applyBorder="1" applyAlignment="1">
      <alignment horizontal="center" vertical="center" wrapText="1"/>
    </xf>
    <xf numFmtId="0" fontId="9" fillId="0" borderId="5" xfId="51" applyFont="1" applyFill="1" applyBorder="1" applyAlignment="1">
      <alignment horizontal="center" vertical="center"/>
    </xf>
    <xf numFmtId="1" fontId="9" fillId="0" borderId="6" xfId="51" applyNumberFormat="1" applyFont="1" applyFill="1" applyBorder="1" applyAlignment="1">
      <alignment horizontal="center" wrapText="1"/>
    </xf>
    <xf numFmtId="1" fontId="9" fillId="0" borderId="7" xfId="51" applyNumberFormat="1" applyFont="1" applyFill="1" applyBorder="1" applyAlignment="1">
      <alignment horizontal="center" wrapText="1"/>
    </xf>
    <xf numFmtId="0" fontId="9" fillId="0" borderId="1" xfId="51" applyFont="1" applyFill="1" applyBorder="1" applyAlignment="1">
      <alignment horizontal="center" vertical="center" wrapText="1"/>
    </xf>
    <xf numFmtId="0" fontId="9" fillId="0" borderId="8" xfId="51" applyFont="1" applyFill="1" applyBorder="1" applyAlignment="1">
      <alignment horizontal="center" vertical="center"/>
    </xf>
    <xf numFmtId="1" fontId="9" fillId="0" borderId="1" xfId="51" applyNumberFormat="1" applyFont="1" applyFill="1" applyBorder="1" applyAlignment="1">
      <alignment horizontal="right" wrapText="1"/>
    </xf>
    <xf numFmtId="1" fontId="9" fillId="0" borderId="8" xfId="51" applyNumberFormat="1" applyFont="1" applyFill="1" applyBorder="1" applyAlignment="1">
      <alignment horizontal="right" wrapText="1"/>
    </xf>
    <xf numFmtId="0" fontId="3" fillId="0" borderId="9" xfId="53" applyFont="1" applyFill="1" applyBorder="1" applyAlignment="1">
      <alignment horizontal="center"/>
    </xf>
    <xf numFmtId="0" fontId="3" fillId="0" borderId="9" xfId="53" applyFont="1" applyFill="1" applyBorder="1"/>
    <xf numFmtId="176" fontId="3" fillId="0" borderId="10" xfId="50" applyNumberFormat="1" applyFont="1" applyFill="1" applyBorder="1" applyAlignment="1">
      <alignment horizontal="right"/>
    </xf>
    <xf numFmtId="177" fontId="3" fillId="0" borderId="0" xfId="50" applyNumberFormat="1" applyFont="1" applyFill="1" applyBorder="1" applyAlignment="1">
      <alignment horizontal="right"/>
    </xf>
    <xf numFmtId="0" fontId="3" fillId="2" borderId="9" xfId="53" applyFont="1" applyFill="1" applyBorder="1" applyAlignment="1">
      <alignment horizontal="center"/>
    </xf>
    <xf numFmtId="0" fontId="3" fillId="2" borderId="11" xfId="53" applyFont="1" applyFill="1" applyBorder="1"/>
    <xf numFmtId="176" fontId="3" fillId="2" borderId="12" xfId="50" applyNumberFormat="1" applyFont="1" applyFill="1" applyBorder="1" applyAlignment="1">
      <alignment horizontal="right"/>
    </xf>
    <xf numFmtId="177" fontId="3" fillId="2" borderId="13" xfId="50" applyNumberFormat="1" applyFont="1" applyFill="1" applyBorder="1" applyAlignment="1">
      <alignment horizontal="right"/>
    </xf>
    <xf numFmtId="0" fontId="3" fillId="0" borderId="14" xfId="53" applyFont="1" applyFill="1" applyBorder="1" applyAlignment="1">
      <alignment horizontal="center"/>
    </xf>
    <xf numFmtId="0" fontId="3" fillId="0" borderId="14" xfId="53" applyFont="1" applyFill="1" applyBorder="1"/>
    <xf numFmtId="176" fontId="3" fillId="0" borderId="6" xfId="50" applyNumberFormat="1" applyFont="1" applyFill="1" applyBorder="1" applyAlignment="1">
      <alignment horizontal="right"/>
    </xf>
    <xf numFmtId="177" fontId="3" fillId="0" borderId="15" xfId="50" applyNumberFormat="1" applyFont="1" applyFill="1" applyBorder="1" applyAlignment="1">
      <alignment horizontal="right"/>
    </xf>
    <xf numFmtId="0" fontId="3" fillId="2" borderId="16" xfId="51" applyFont="1" applyFill="1" applyBorder="1" applyAlignment="1">
      <alignment horizontal="center" vertical="center"/>
    </xf>
    <xf numFmtId="0" fontId="3" fillId="2" borderId="16" xfId="51" applyFont="1" applyFill="1" applyBorder="1" applyAlignment="1">
      <alignment horizontal="left" vertical="center"/>
    </xf>
    <xf numFmtId="176" fontId="3" fillId="2" borderId="4" xfId="50" applyNumberFormat="1" applyFont="1" applyFill="1" applyBorder="1" applyAlignment="1">
      <alignment horizontal="right"/>
    </xf>
    <xf numFmtId="177" fontId="3" fillId="2" borderId="0" xfId="50" applyNumberFormat="1" applyFont="1" applyFill="1" applyBorder="1" applyAlignment="1">
      <alignment horizontal="right"/>
    </xf>
    <xf numFmtId="0" fontId="3" fillId="0" borderId="11" xfId="53" applyFont="1" applyFill="1" applyBorder="1"/>
    <xf numFmtId="176" fontId="3" fillId="0" borderId="12" xfId="50" applyNumberFormat="1" applyFont="1" applyFill="1" applyBorder="1" applyAlignment="1">
      <alignment horizontal="right"/>
    </xf>
    <xf numFmtId="177" fontId="3" fillId="0" borderId="13" xfId="50" applyNumberFormat="1" applyFont="1" applyFill="1" applyBorder="1" applyAlignment="1">
      <alignment horizontal="right"/>
    </xf>
    <xf numFmtId="0" fontId="3" fillId="2" borderId="14" xfId="53" applyFont="1" applyFill="1" applyBorder="1" applyAlignment="1">
      <alignment horizontal="center"/>
    </xf>
    <xf numFmtId="0" fontId="3" fillId="2" borderId="14" xfId="53" applyFont="1" applyFill="1" applyBorder="1"/>
    <xf numFmtId="176" fontId="3" fillId="2" borderId="6" xfId="50" applyNumberFormat="1" applyFont="1" applyFill="1" applyBorder="1" applyAlignment="1">
      <alignment horizontal="right"/>
    </xf>
    <xf numFmtId="177" fontId="3" fillId="2" borderId="15" xfId="50" applyNumberFormat="1" applyFont="1" applyFill="1" applyBorder="1" applyAlignment="1">
      <alignment horizontal="right"/>
    </xf>
    <xf numFmtId="0" fontId="3" fillId="2" borderId="9" xfId="53" applyFont="1" applyFill="1" applyBorder="1"/>
    <xf numFmtId="176" fontId="3" fillId="2" borderId="10" xfId="50" applyNumberFormat="1" applyFont="1" applyFill="1" applyBorder="1" applyAlignment="1">
      <alignment horizontal="right"/>
    </xf>
    <xf numFmtId="0" fontId="10" fillId="2" borderId="17" xfId="53" applyFont="1" applyFill="1" applyBorder="1" applyAlignment="1">
      <alignment horizontal="center"/>
    </xf>
    <xf numFmtId="0" fontId="3" fillId="2" borderId="17" xfId="53" applyFont="1" applyFill="1" applyBorder="1"/>
    <xf numFmtId="176" fontId="3" fillId="2" borderId="18" xfId="50" applyNumberFormat="1" applyFont="1" applyFill="1" applyBorder="1" applyAlignment="1">
      <alignment horizontal="right"/>
    </xf>
    <xf numFmtId="177" fontId="3" fillId="2" borderId="1" xfId="50" applyNumberFormat="1" applyFont="1" applyFill="1" applyBorder="1" applyAlignment="1">
      <alignment horizontal="right"/>
    </xf>
    <xf numFmtId="0" fontId="3" fillId="0" borderId="0" xfId="50" applyFont="1" applyFill="1" applyAlignment="1">
      <alignment horizontal="left"/>
    </xf>
    <xf numFmtId="0" fontId="11" fillId="0" borderId="0" xfId="50" applyFont="1"/>
    <xf numFmtId="0" fontId="3" fillId="0" borderId="0" xfId="50" applyFont="1" applyFill="1" applyBorder="1"/>
    <xf numFmtId="0" fontId="3" fillId="0" borderId="0" xfId="50" applyFont="1" applyFill="1"/>
    <xf numFmtId="1" fontId="9" fillId="0" borderId="19" xfId="51" applyNumberFormat="1" applyFont="1" applyFill="1" applyBorder="1" applyAlignment="1">
      <alignment horizontal="center" vertical="center"/>
    </xf>
    <xf numFmtId="1" fontId="9" fillId="0" borderId="20" xfId="51" applyNumberFormat="1" applyFont="1" applyFill="1" applyBorder="1" applyAlignment="1">
      <alignment horizontal="center" vertical="center"/>
    </xf>
    <xf numFmtId="1" fontId="9" fillId="0" borderId="21" xfId="51" applyNumberFormat="1" applyFont="1" applyFill="1" applyBorder="1" applyAlignment="1">
      <alignment horizontal="center" wrapText="1"/>
    </xf>
    <xf numFmtId="1" fontId="9" fillId="0" borderId="22" xfId="51" applyNumberFormat="1" applyFont="1" applyFill="1" applyBorder="1" applyAlignment="1">
      <alignment horizontal="center" wrapText="1"/>
    </xf>
    <xf numFmtId="1" fontId="9" fillId="0" borderId="23" xfId="51" applyNumberFormat="1" applyFont="1" applyFill="1" applyBorder="1" applyAlignment="1">
      <alignment horizontal="center" wrapText="1"/>
    </xf>
    <xf numFmtId="1" fontId="9" fillId="0" borderId="18" xfId="51" applyNumberFormat="1" applyFont="1" applyFill="1" applyBorder="1" applyAlignment="1">
      <alignment horizontal="right" wrapText="1"/>
    </xf>
    <xf numFmtId="1" fontId="9" fillId="0" borderId="24" xfId="0" applyNumberFormat="1" applyFont="1" applyBorder="1" applyAlignment="1">
      <alignment horizontal="right" wrapText="1"/>
    </xf>
    <xf numFmtId="177" fontId="3" fillId="0" borderId="25" xfId="50" applyNumberFormat="1" applyFont="1" applyFill="1" applyBorder="1" applyAlignment="1">
      <alignment horizontal="right"/>
    </xf>
    <xf numFmtId="176" fontId="3" fillId="0" borderId="0" xfId="50" applyNumberFormat="1" applyFont="1" applyFill="1" applyBorder="1" applyAlignment="1">
      <alignment horizontal="right"/>
    </xf>
    <xf numFmtId="177" fontId="3" fillId="2" borderId="26" xfId="50" applyNumberFormat="1" applyFont="1" applyFill="1" applyBorder="1" applyAlignment="1">
      <alignment horizontal="right"/>
    </xf>
    <xf numFmtId="176" fontId="3" fillId="2" borderId="13" xfId="50" applyNumberFormat="1" applyFont="1" applyFill="1" applyBorder="1" applyAlignment="1">
      <alignment horizontal="right"/>
    </xf>
    <xf numFmtId="177" fontId="3" fillId="0" borderId="27" xfId="50" applyNumberFormat="1" applyFont="1" applyFill="1" applyBorder="1" applyAlignment="1">
      <alignment horizontal="right"/>
    </xf>
    <xf numFmtId="176" fontId="3" fillId="0" borderId="15" xfId="50" applyNumberFormat="1" applyFont="1" applyFill="1" applyBorder="1" applyAlignment="1">
      <alignment horizontal="right"/>
    </xf>
    <xf numFmtId="177" fontId="3" fillId="2" borderId="25" xfId="50" applyNumberFormat="1" applyFont="1" applyFill="1" applyBorder="1" applyAlignment="1">
      <alignment horizontal="right"/>
    </xf>
    <xf numFmtId="176" fontId="3" fillId="2" borderId="0" xfId="50" applyNumberFormat="1" applyFont="1" applyFill="1" applyBorder="1" applyAlignment="1">
      <alignment horizontal="right"/>
    </xf>
    <xf numFmtId="177" fontId="3" fillId="0" borderId="26" xfId="50" applyNumberFormat="1" applyFont="1" applyFill="1" applyBorder="1" applyAlignment="1">
      <alignment horizontal="right"/>
    </xf>
    <xf numFmtId="176" fontId="3" fillId="0" borderId="13" xfId="50" applyNumberFormat="1" applyFont="1" applyFill="1" applyBorder="1" applyAlignment="1">
      <alignment horizontal="right"/>
    </xf>
    <xf numFmtId="177" fontId="3" fillId="2" borderId="27" xfId="50" applyNumberFormat="1" applyFont="1" applyFill="1" applyBorder="1" applyAlignment="1">
      <alignment horizontal="right"/>
    </xf>
    <xf numFmtId="176" fontId="3" fillId="2" borderId="15" xfId="50" applyNumberFormat="1" applyFont="1" applyFill="1" applyBorder="1" applyAlignment="1">
      <alignment horizontal="right"/>
    </xf>
    <xf numFmtId="177" fontId="3" fillId="2" borderId="28" xfId="50" applyNumberFormat="1" applyFont="1" applyFill="1" applyBorder="1" applyAlignment="1">
      <alignment horizontal="right"/>
    </xf>
    <xf numFmtId="176" fontId="3" fillId="2" borderId="1" xfId="50" applyNumberFormat="1" applyFont="1" applyFill="1" applyBorder="1" applyAlignment="1">
      <alignment horizontal="right"/>
    </xf>
    <xf numFmtId="0" fontId="12" fillId="3" borderId="0" xfId="50" applyFont="1" applyFill="1" applyBorder="1"/>
    <xf numFmtId="1" fontId="9" fillId="0" borderId="29" xfId="51" applyNumberFormat="1" applyFont="1" applyFill="1" applyBorder="1" applyAlignment="1">
      <alignment horizontal="center" wrapText="1"/>
    </xf>
    <xf numFmtId="1" fontId="9" fillId="0" borderId="30" xfId="51" applyNumberFormat="1" applyFont="1" applyFill="1" applyBorder="1" applyAlignment="1">
      <alignment horizontal="center" vertical="center"/>
    </xf>
    <xf numFmtId="1" fontId="9" fillId="0" borderId="31" xfId="51" applyNumberFormat="1" applyFont="1" applyFill="1" applyBorder="1" applyAlignment="1">
      <alignment horizontal="center" wrapText="1"/>
    </xf>
    <xf numFmtId="1" fontId="9" fillId="0" borderId="32" xfId="0" applyNumberFormat="1" applyFont="1" applyBorder="1" applyAlignment="1">
      <alignment horizontal="right" wrapText="1"/>
    </xf>
    <xf numFmtId="176" fontId="3" fillId="0" borderId="33" xfId="50" applyNumberFormat="1" applyFont="1" applyFill="1" applyBorder="1" applyAlignment="1">
      <alignment horizontal="right"/>
    </xf>
    <xf numFmtId="177" fontId="3" fillId="0" borderId="5" xfId="50" applyNumberFormat="1" applyFont="1" applyFill="1" applyBorder="1" applyAlignment="1">
      <alignment horizontal="right"/>
    </xf>
    <xf numFmtId="176" fontId="3" fillId="2" borderId="34" xfId="50" applyNumberFormat="1" applyFont="1" applyFill="1" applyBorder="1" applyAlignment="1">
      <alignment horizontal="right"/>
    </xf>
    <xf numFmtId="177" fontId="3" fillId="2" borderId="35" xfId="50" applyNumberFormat="1" applyFont="1" applyFill="1" applyBorder="1" applyAlignment="1">
      <alignment horizontal="right"/>
    </xf>
    <xf numFmtId="176" fontId="3" fillId="0" borderId="36" xfId="50" applyNumberFormat="1" applyFont="1" applyFill="1" applyBorder="1" applyAlignment="1">
      <alignment horizontal="right"/>
    </xf>
    <xf numFmtId="177" fontId="3" fillId="0" borderId="7" xfId="50" applyNumberFormat="1" applyFont="1" applyFill="1" applyBorder="1" applyAlignment="1">
      <alignment horizontal="right"/>
    </xf>
    <xf numFmtId="176" fontId="3" fillId="2" borderId="33" xfId="50" applyNumberFormat="1" applyFont="1" applyFill="1" applyBorder="1" applyAlignment="1">
      <alignment horizontal="right"/>
    </xf>
    <xf numFmtId="177" fontId="3" fillId="2" borderId="5" xfId="50" applyNumberFormat="1" applyFont="1" applyFill="1" applyBorder="1" applyAlignment="1">
      <alignment horizontal="right"/>
    </xf>
    <xf numFmtId="176" fontId="3" fillId="0" borderId="34" xfId="50" applyNumberFormat="1" applyFont="1" applyFill="1" applyBorder="1" applyAlignment="1">
      <alignment horizontal="right"/>
    </xf>
    <xf numFmtId="177" fontId="3" fillId="0" borderId="35" xfId="50" applyNumberFormat="1" applyFont="1" applyFill="1" applyBorder="1" applyAlignment="1">
      <alignment horizontal="right"/>
    </xf>
    <xf numFmtId="176" fontId="3" fillId="2" borderId="36" xfId="50" applyNumberFormat="1" applyFont="1" applyFill="1" applyBorder="1" applyAlignment="1">
      <alignment horizontal="right"/>
    </xf>
    <xf numFmtId="177" fontId="3" fillId="2" borderId="7" xfId="50" applyNumberFormat="1" applyFont="1" applyFill="1" applyBorder="1" applyAlignment="1">
      <alignment horizontal="right"/>
    </xf>
    <xf numFmtId="176" fontId="3" fillId="2" borderId="37" xfId="50" applyNumberFormat="1" applyFont="1" applyFill="1" applyBorder="1" applyAlignment="1">
      <alignment horizontal="right"/>
    </xf>
    <xf numFmtId="177" fontId="3" fillId="2" borderId="8" xfId="50" applyNumberFormat="1" applyFont="1" applyFill="1" applyBorder="1" applyAlignment="1">
      <alignment horizontal="right"/>
    </xf>
    <xf numFmtId="1" fontId="6" fillId="0" borderId="0" xfId="52" applyNumberFormat="1" applyFont="1" applyBorder="1" applyAlignment="1">
      <alignment wrapText="1"/>
    </xf>
    <xf numFmtId="0" fontId="11" fillId="0" borderId="0" xfId="50" applyFont="1" applyBorder="1"/>
    <xf numFmtId="1" fontId="9" fillId="0" borderId="38" xfId="51" applyNumberFormat="1" applyFont="1" applyFill="1" applyBorder="1" applyAlignment="1">
      <alignment horizontal="center" vertical="center" wrapText="1"/>
    </xf>
    <xf numFmtId="1" fontId="9" fillId="0" borderId="39" xfId="51" applyNumberFormat="1" applyFont="1" applyFill="1" applyBorder="1" applyAlignment="1">
      <alignment horizontal="center" vertical="center" wrapText="1"/>
    </xf>
    <xf numFmtId="1" fontId="9" fillId="0" borderId="40" xfId="51" applyNumberFormat="1" applyFont="1" applyFill="1" applyBorder="1" applyAlignment="1">
      <alignment horizontal="center" vertical="center" wrapText="1"/>
    </xf>
    <xf numFmtId="1" fontId="9" fillId="0" borderId="33" xfId="51" applyNumberFormat="1" applyFont="1" applyFill="1" applyBorder="1" applyAlignment="1">
      <alignment horizontal="center" vertical="center" wrapText="1"/>
    </xf>
    <xf numFmtId="1" fontId="9" fillId="0" borderId="41" xfId="51" applyNumberFormat="1" applyFont="1" applyFill="1" applyBorder="1" applyAlignment="1">
      <alignment horizontal="center" vertical="center" wrapText="1"/>
    </xf>
    <xf numFmtId="1" fontId="9" fillId="0" borderId="37" xfId="51" applyNumberFormat="1" applyFont="1" applyFill="1" applyBorder="1" applyAlignment="1">
      <alignment horizontal="center" vertical="center" wrapText="1"/>
    </xf>
    <xf numFmtId="37" fontId="3" fillId="0" borderId="40" xfId="49" applyNumberFormat="1" applyFont="1" applyFill="1" applyBorder="1"/>
    <xf numFmtId="177" fontId="3" fillId="0" borderId="33" xfId="50" applyNumberFormat="1" applyFont="1" applyFill="1" applyBorder="1"/>
    <xf numFmtId="37" fontId="3" fillId="2" borderId="42" xfId="49" applyNumberFormat="1" applyFont="1" applyFill="1" applyBorder="1"/>
    <xf numFmtId="177" fontId="3" fillId="2" borderId="34" xfId="50" applyNumberFormat="1" applyFont="1" applyFill="1" applyBorder="1"/>
    <xf numFmtId="37" fontId="3" fillId="0" borderId="43" xfId="49" applyNumberFormat="1" applyFont="1" applyFill="1" applyBorder="1"/>
    <xf numFmtId="177" fontId="3" fillId="0" borderId="36" xfId="50" applyNumberFormat="1" applyFont="1" applyFill="1" applyBorder="1"/>
    <xf numFmtId="37" fontId="3" fillId="2" borderId="40" xfId="49" applyNumberFormat="1" applyFont="1" applyFill="1" applyBorder="1"/>
    <xf numFmtId="177" fontId="3" fillId="2" borderId="33" xfId="50" applyNumberFormat="1" applyFont="1" applyFill="1" applyBorder="1"/>
    <xf numFmtId="37" fontId="3" fillId="0" borderId="42" xfId="49" applyNumberFormat="1" applyFont="1" applyFill="1" applyBorder="1"/>
    <xf numFmtId="177" fontId="3" fillId="0" borderId="34" xfId="50" applyNumberFormat="1" applyFont="1" applyFill="1" applyBorder="1"/>
    <xf numFmtId="37" fontId="3" fillId="2" borderId="43" xfId="49" applyNumberFormat="1" applyFont="1" applyFill="1" applyBorder="1"/>
    <xf numFmtId="177" fontId="3" fillId="2" borderId="36" xfId="50" applyNumberFormat="1" applyFont="1" applyFill="1" applyBorder="1"/>
    <xf numFmtId="37" fontId="3" fillId="2" borderId="41" xfId="49" applyNumberFormat="1" applyFont="1" applyFill="1" applyBorder="1"/>
    <xf numFmtId="177" fontId="3" fillId="2" borderId="37" xfId="50" applyNumberFormat="1" applyFont="1" applyFill="1" applyBorder="1"/>
    <xf numFmtId="0" fontId="3" fillId="0" borderId="0" xfId="49" applyFont="1" applyBorder="1"/>
    <xf numFmtId="176" fontId="3" fillId="2" borderId="13" xfId="50" applyNumberFormat="1" applyFont="1" applyFill="1" applyBorder="1" applyAlignment="1" quotePrefix="1">
      <alignment horizontal="right"/>
    </xf>
    <xf numFmtId="176" fontId="3" fillId="2" borderId="12" xfId="50" applyNumberFormat="1" applyFont="1" applyFill="1" applyBorder="1" applyAlignment="1" quotePrefix="1">
      <alignment horizontal="right"/>
    </xf>
    <xf numFmtId="176" fontId="3" fillId="0" borderId="15" xfId="50" applyNumberFormat="1" applyFont="1" applyFill="1" applyBorder="1" applyAlignment="1" quotePrefix="1">
      <alignment horizontal="right"/>
    </xf>
    <xf numFmtId="176" fontId="3" fillId="2" borderId="0" xfId="50" applyNumberFormat="1" applyFont="1" applyFill="1" applyBorder="1" applyAlignment="1" quotePrefix="1">
      <alignment horizontal="right"/>
    </xf>
    <xf numFmtId="176" fontId="3" fillId="0" borderId="12" xfId="50" applyNumberFormat="1" applyFont="1" applyFill="1" applyBorder="1" applyAlignment="1" quotePrefix="1">
      <alignment horizontal="right"/>
    </xf>
    <xf numFmtId="176" fontId="3" fillId="0" borderId="13" xfId="50" applyNumberFormat="1" applyFont="1" applyFill="1" applyBorder="1" applyAlignment="1" quotePrefix="1">
      <alignment horizontal="right"/>
    </xf>
    <xf numFmtId="176" fontId="3" fillId="2" borderId="10" xfId="50" applyNumberFormat="1" applyFont="1" applyFill="1" applyBorder="1" applyAlignment="1" quotePrefix="1">
      <alignment horizontal="right"/>
    </xf>
    <xf numFmtId="176" fontId="3" fillId="2" borderId="15" xfId="50" applyNumberFormat="1" applyFont="1" applyFill="1" applyBorder="1" applyAlignment="1" quotePrefix="1">
      <alignment horizontal="right"/>
    </xf>
    <xf numFmtId="176" fontId="3" fillId="2" borderId="6" xfId="50" applyNumberFormat="1" applyFont="1" applyFill="1" applyBorder="1" applyAlignment="1" quotePrefix="1">
      <alignment horizontal="right"/>
    </xf>
    <xf numFmtId="176" fontId="3" fillId="0" borderId="10" xfId="50" applyNumberFormat="1" applyFont="1" applyFill="1" applyBorder="1" applyAlignment="1" quotePrefix="1">
      <alignment horizontal="right"/>
    </xf>
    <xf numFmtId="176" fontId="3" fillId="0" borderId="0" xfId="50" applyNumberFormat="1" applyFont="1" applyFill="1" applyBorder="1" applyAlignment="1" quotePrefix="1">
      <alignment horizontal="right"/>
    </xf>
    <xf numFmtId="176" fontId="3" fillId="0" borderId="33" xfId="50" applyNumberFormat="1" applyFont="1" applyFill="1" applyBorder="1" applyAlignment="1" quotePrefix="1">
      <alignment horizontal="right"/>
    </xf>
    <xf numFmtId="176" fontId="3" fillId="2" borderId="33" xfId="50" applyNumberFormat="1" applyFont="1" applyFill="1" applyBorder="1" applyAlignment="1" quotePrefix="1">
      <alignment horizontal="right"/>
    </xf>
    <xf numFmtId="176" fontId="3" fillId="0" borderId="34" xfId="50" applyNumberFormat="1" applyFont="1" applyFill="1" applyBorder="1" applyAlignment="1" quotePrefix="1">
      <alignment horizontal="right"/>
    </xf>
    <xf numFmtId="176" fontId="3" fillId="2" borderId="34" xfId="50" applyNumberFormat="1" applyFont="1" applyFill="1" applyBorder="1" applyAlignment="1" quotePrefix="1">
      <alignment horizontal="right"/>
    </xf>
    <xf numFmtId="176" fontId="3" fillId="0" borderId="6" xfId="50" applyNumberFormat="1" applyFont="1" applyFill="1" applyBorder="1" applyAlignment="1" quotePrefix="1">
      <alignment horizontal="right"/>
    </xf>
    <xf numFmtId="176" fontId="3" fillId="2" borderId="1" xfId="50" applyNumberFormat="1" applyFont="1" applyFill="1" applyBorder="1" applyAlignment="1" quotePrefix="1">
      <alignment horizontal="right"/>
    </xf>
    <xf numFmtId="0" fontId="3" fillId="0" borderId="0" xfId="50" applyFont="1" applyFill="1" applyAlignment="1" quotePrefix="1">
      <alignment horizontal="left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2" xfId="49"/>
    <cellStyle name="Normal 3" xfId="50"/>
    <cellStyle name="Normal 6" xfId="51"/>
    <cellStyle name="Normal 9" xfId="52"/>
    <cellStyle name="Normal 9 2" xfId="53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9"/>
  <sheetViews>
    <sheetView tabSelected="1" workbookViewId="0">
      <selection activeCell="A7" sqref="$A7:$XFD9"/>
    </sheetView>
  </sheetViews>
  <sheetFormatPr defaultColWidth="8.83035714285714" defaultRowHeight="17.6"/>
  <cols>
    <col min="1" max="1" width="10.8303571428571" style="1" customWidth="1"/>
    <col min="2" max="2" width="23.1607142857143" style="1" customWidth="1"/>
    <col min="3" max="23" width="11.8303571428571" style="1" customWidth="1"/>
    <col min="24" max="24" width="11.8303571428571" style="8" customWidth="1"/>
    <col min="25" max="25" width="11.8303571428571" style="9" customWidth="1"/>
    <col min="26" max="26" width="11.8303571428571" style="1" customWidth="1"/>
  </cols>
  <sheetData>
    <row r="1" s="1" customFormat="1" ht="15" customHeight="1" spans="1:26">
      <c r="A1" s="10"/>
      <c r="B1" s="10"/>
      <c r="C1" s="10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00"/>
      <c r="Y1" s="8"/>
      <c r="Z1" s="11"/>
    </row>
    <row r="2" s="2" customFormat="1" ht="15" customHeight="1" spans="1:26">
      <c r="A2" s="1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="1" customFormat="1" ht="15" customHeight="1" spans="1:26">
      <c r="A3" s="13"/>
      <c r="B3" s="13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8"/>
      <c r="Z3" s="14"/>
    </row>
    <row r="4" s="3" customFormat="1" ht="25" customHeight="1" spans="1:26">
      <c r="A4" s="15" t="s">
        <v>1</v>
      </c>
      <c r="B4" s="16" t="s">
        <v>2</v>
      </c>
      <c r="C4" s="17" t="s">
        <v>3</v>
      </c>
      <c r="D4" s="18"/>
      <c r="E4" s="60" t="s">
        <v>4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83"/>
      <c r="S4" s="17" t="s">
        <v>5</v>
      </c>
      <c r="T4" s="18"/>
      <c r="U4" s="17" t="s">
        <v>6</v>
      </c>
      <c r="V4" s="18"/>
      <c r="W4" s="17" t="s">
        <v>7</v>
      </c>
      <c r="X4" s="18"/>
      <c r="Y4" s="102" t="s">
        <v>8</v>
      </c>
      <c r="Z4" s="103" t="s">
        <v>9</v>
      </c>
    </row>
    <row r="5" s="3" customFormat="1" ht="25" customHeight="1" spans="1:26">
      <c r="A5" s="19"/>
      <c r="B5" s="20"/>
      <c r="C5" s="21"/>
      <c r="D5" s="22"/>
      <c r="E5" s="62" t="s">
        <v>10</v>
      </c>
      <c r="F5" s="63"/>
      <c r="G5" s="64" t="s">
        <v>11</v>
      </c>
      <c r="H5" s="63"/>
      <c r="I5" s="82" t="s">
        <v>12</v>
      </c>
      <c r="J5" s="63"/>
      <c r="K5" s="82" t="s">
        <v>13</v>
      </c>
      <c r="L5" s="63"/>
      <c r="M5" s="82" t="s">
        <v>14</v>
      </c>
      <c r="N5" s="63"/>
      <c r="O5" s="82" t="s">
        <v>15</v>
      </c>
      <c r="P5" s="63"/>
      <c r="Q5" s="82" t="s">
        <v>16</v>
      </c>
      <c r="R5" s="84"/>
      <c r="S5" s="21"/>
      <c r="T5" s="22"/>
      <c r="U5" s="21"/>
      <c r="V5" s="22"/>
      <c r="W5" s="21"/>
      <c r="X5" s="22"/>
      <c r="Y5" s="104"/>
      <c r="Z5" s="105"/>
    </row>
    <row r="6" s="3" customFormat="1" ht="15" customHeight="1" spans="1:26">
      <c r="A6" s="23"/>
      <c r="B6" s="24"/>
      <c r="C6" s="25" t="s">
        <v>17</v>
      </c>
      <c r="D6" s="26" t="s">
        <v>18</v>
      </c>
      <c r="E6" s="65" t="s">
        <v>17</v>
      </c>
      <c r="F6" s="66" t="s">
        <v>19</v>
      </c>
      <c r="G6" s="25" t="s">
        <v>17</v>
      </c>
      <c r="H6" s="66" t="s">
        <v>19</v>
      </c>
      <c r="I6" s="25" t="s">
        <v>17</v>
      </c>
      <c r="J6" s="66" t="s">
        <v>19</v>
      </c>
      <c r="K6" s="25" t="s">
        <v>17</v>
      </c>
      <c r="L6" s="66" t="s">
        <v>19</v>
      </c>
      <c r="M6" s="25" t="s">
        <v>17</v>
      </c>
      <c r="N6" s="66" t="s">
        <v>19</v>
      </c>
      <c r="O6" s="25" t="s">
        <v>17</v>
      </c>
      <c r="P6" s="66" t="s">
        <v>19</v>
      </c>
      <c r="Q6" s="25" t="s">
        <v>17</v>
      </c>
      <c r="R6" s="85" t="s">
        <v>19</v>
      </c>
      <c r="S6" s="65" t="s">
        <v>17</v>
      </c>
      <c r="T6" s="26" t="s">
        <v>18</v>
      </c>
      <c r="U6" s="65" t="s">
        <v>17</v>
      </c>
      <c r="V6" s="26" t="s">
        <v>18</v>
      </c>
      <c r="W6" s="25" t="s">
        <v>17</v>
      </c>
      <c r="X6" s="26" t="s">
        <v>18</v>
      </c>
      <c r="Y6" s="106"/>
      <c r="Z6" s="107"/>
    </row>
    <row r="7" s="4" customFormat="1" ht="15" customHeight="1" spans="1:26">
      <c r="A7" s="27"/>
      <c r="B7" s="28" t="s">
        <v>20</v>
      </c>
      <c r="C7" s="29">
        <v>1575</v>
      </c>
      <c r="D7" s="30">
        <v>61.5474794841735</v>
      </c>
      <c r="E7" s="29">
        <v>10</v>
      </c>
      <c r="F7" s="67">
        <v>0.390777647518562</v>
      </c>
      <c r="G7" s="68">
        <v>4</v>
      </c>
      <c r="H7" s="67">
        <v>0.156311059007425</v>
      </c>
      <c r="I7" s="68">
        <v>96</v>
      </c>
      <c r="J7" s="67">
        <v>3.75146541617819</v>
      </c>
      <c r="K7" s="68">
        <v>666</v>
      </c>
      <c r="L7" s="67">
        <v>26.0257913247362</v>
      </c>
      <c r="M7" s="68">
        <v>777</v>
      </c>
      <c r="N7" s="67">
        <v>30.3634232121923</v>
      </c>
      <c r="O7" s="68">
        <v>0</v>
      </c>
      <c r="P7" s="67">
        <v>0</v>
      </c>
      <c r="Q7" s="86">
        <v>22</v>
      </c>
      <c r="R7" s="87">
        <v>0.859710824540836</v>
      </c>
      <c r="S7" s="29">
        <v>209</v>
      </c>
      <c r="T7" s="87">
        <v>8.16725283313794</v>
      </c>
      <c r="U7" s="29">
        <v>6</v>
      </c>
      <c r="V7" s="87">
        <v>0.234466588511137</v>
      </c>
      <c r="W7" s="29">
        <v>54</v>
      </c>
      <c r="X7" s="30">
        <v>2.11019929660023</v>
      </c>
      <c r="Y7" s="108">
        <v>745</v>
      </c>
      <c r="Z7" s="109">
        <v>100</v>
      </c>
    </row>
    <row r="8" s="4" customFormat="1" ht="15" customHeight="1" spans="1:26">
      <c r="A8" s="31" t="s">
        <v>21</v>
      </c>
      <c r="B8" s="32" t="s">
        <v>22</v>
      </c>
      <c r="C8" s="33">
        <v>984</v>
      </c>
      <c r="D8" s="34">
        <v>38.4525205158265</v>
      </c>
      <c r="E8" s="33">
        <v>7</v>
      </c>
      <c r="F8" s="69">
        <v>0.273544353262993</v>
      </c>
      <c r="G8" s="123" t="s">
        <v>23</v>
      </c>
      <c r="H8" s="69">
        <v>0.0781555295037124</v>
      </c>
      <c r="I8" s="70">
        <v>91</v>
      </c>
      <c r="J8" s="69">
        <v>3.55607659241891</v>
      </c>
      <c r="K8" s="70">
        <v>342</v>
      </c>
      <c r="L8" s="69">
        <v>13.3645955451348</v>
      </c>
      <c r="M8" s="70">
        <v>518</v>
      </c>
      <c r="N8" s="69">
        <v>20.2422821414615</v>
      </c>
      <c r="O8" s="123" t="s">
        <v>23</v>
      </c>
      <c r="P8" s="69">
        <v>0.0781555295037124</v>
      </c>
      <c r="Q8" s="88">
        <v>22</v>
      </c>
      <c r="R8" s="89">
        <v>0.859710824540836</v>
      </c>
      <c r="S8" s="33">
        <v>94</v>
      </c>
      <c r="T8" s="89">
        <v>3.67330988667448</v>
      </c>
      <c r="U8" s="124" t="s">
        <v>23</v>
      </c>
      <c r="V8" s="89">
        <v>0.0781555295037124</v>
      </c>
      <c r="W8" s="33">
        <v>59</v>
      </c>
      <c r="X8" s="34">
        <v>2.30558812035952</v>
      </c>
      <c r="Y8" s="110">
        <v>745</v>
      </c>
      <c r="Z8" s="111">
        <v>100</v>
      </c>
    </row>
    <row r="9" s="4" customFormat="1" ht="15" customHeight="1" spans="1:26">
      <c r="A9" s="35"/>
      <c r="B9" s="36" t="s">
        <v>24</v>
      </c>
      <c r="C9" s="37">
        <v>2559</v>
      </c>
      <c r="D9" s="38">
        <v>100</v>
      </c>
      <c r="E9" s="37">
        <v>17</v>
      </c>
      <c r="F9" s="71">
        <v>0.664322000781555</v>
      </c>
      <c r="G9" s="72">
        <v>6</v>
      </c>
      <c r="H9" s="71">
        <v>0.234466588511137</v>
      </c>
      <c r="I9" s="72">
        <v>187</v>
      </c>
      <c r="J9" s="71">
        <v>7.30754200859711</v>
      </c>
      <c r="K9" s="72">
        <v>1008</v>
      </c>
      <c r="L9" s="71">
        <v>39.390386869871</v>
      </c>
      <c r="M9" s="72">
        <v>1295</v>
      </c>
      <c r="N9" s="71">
        <v>50.6057053536538</v>
      </c>
      <c r="O9" s="125" t="s">
        <v>23</v>
      </c>
      <c r="P9" s="71">
        <v>0.0781555295037124</v>
      </c>
      <c r="Q9" s="90">
        <v>44</v>
      </c>
      <c r="R9" s="91">
        <v>1.71942164908167</v>
      </c>
      <c r="S9" s="37">
        <v>303</v>
      </c>
      <c r="T9" s="91">
        <v>11.8405627198124</v>
      </c>
      <c r="U9" s="37">
        <v>8</v>
      </c>
      <c r="V9" s="91">
        <v>0.31262211801485</v>
      </c>
      <c r="W9" s="37">
        <v>113</v>
      </c>
      <c r="X9" s="38">
        <v>4.41578741695975</v>
      </c>
      <c r="Y9" s="112">
        <v>745</v>
      </c>
      <c r="Z9" s="113">
        <v>100</v>
      </c>
    </row>
    <row r="10" s="4" customFormat="1" ht="15" customHeight="1" spans="1:26">
      <c r="A10" s="39"/>
      <c r="B10" s="40" t="s">
        <v>20</v>
      </c>
      <c r="C10" s="41">
        <v>1668</v>
      </c>
      <c r="D10" s="42">
        <v>65.15625</v>
      </c>
      <c r="E10" s="51">
        <v>8</v>
      </c>
      <c r="F10" s="73">
        <v>0.3125</v>
      </c>
      <c r="G10" s="74">
        <v>15</v>
      </c>
      <c r="H10" s="73">
        <v>0.5859375</v>
      </c>
      <c r="I10" s="74">
        <v>182</v>
      </c>
      <c r="J10" s="73">
        <v>7.109375</v>
      </c>
      <c r="K10" s="74">
        <v>425</v>
      </c>
      <c r="L10" s="73">
        <v>16.6015625</v>
      </c>
      <c r="M10" s="74">
        <v>993</v>
      </c>
      <c r="N10" s="73">
        <v>38.7890625</v>
      </c>
      <c r="O10" s="126" t="s">
        <v>23</v>
      </c>
      <c r="P10" s="73">
        <v>0.078125</v>
      </c>
      <c r="Q10" s="92">
        <v>43</v>
      </c>
      <c r="R10" s="93">
        <v>1.6796875</v>
      </c>
      <c r="S10" s="41">
        <v>292</v>
      </c>
      <c r="T10" s="93">
        <v>11.40625</v>
      </c>
      <c r="U10" s="41">
        <v>6</v>
      </c>
      <c r="V10" s="93">
        <v>0.234375</v>
      </c>
      <c r="W10" s="41">
        <v>150</v>
      </c>
      <c r="X10" s="42">
        <v>5.859375</v>
      </c>
      <c r="Y10" s="114">
        <v>726</v>
      </c>
      <c r="Z10" s="115">
        <v>100</v>
      </c>
    </row>
    <row r="11" s="4" customFormat="1" ht="15" customHeight="1" spans="1:26">
      <c r="A11" s="27" t="s">
        <v>25</v>
      </c>
      <c r="B11" s="43" t="s">
        <v>22</v>
      </c>
      <c r="C11" s="44">
        <v>892</v>
      </c>
      <c r="D11" s="45">
        <v>34.84375</v>
      </c>
      <c r="E11" s="127" t="s">
        <v>23</v>
      </c>
      <c r="F11" s="75">
        <v>0.078125</v>
      </c>
      <c r="G11" s="76">
        <v>6</v>
      </c>
      <c r="H11" s="75">
        <v>0.234375</v>
      </c>
      <c r="I11" s="76">
        <v>91</v>
      </c>
      <c r="J11" s="75">
        <v>3.5546875</v>
      </c>
      <c r="K11" s="76">
        <v>228</v>
      </c>
      <c r="L11" s="75">
        <v>8.90625</v>
      </c>
      <c r="M11" s="76">
        <v>540</v>
      </c>
      <c r="N11" s="75">
        <v>21.09375</v>
      </c>
      <c r="O11" s="128" t="s">
        <v>23</v>
      </c>
      <c r="P11" s="75">
        <v>0.078125</v>
      </c>
      <c r="Q11" s="94">
        <v>23</v>
      </c>
      <c r="R11" s="95">
        <v>0.8984375</v>
      </c>
      <c r="S11" s="44">
        <v>121</v>
      </c>
      <c r="T11" s="95">
        <v>4.7265625</v>
      </c>
      <c r="U11" s="127" t="s">
        <v>23</v>
      </c>
      <c r="V11" s="95">
        <v>0.078125</v>
      </c>
      <c r="W11" s="44">
        <v>68</v>
      </c>
      <c r="X11" s="45">
        <v>2.65625</v>
      </c>
      <c r="Y11" s="116">
        <v>726</v>
      </c>
      <c r="Z11" s="117">
        <v>100</v>
      </c>
    </row>
    <row r="12" s="4" customFormat="1" ht="15" customHeight="1" spans="1:26">
      <c r="A12" s="46"/>
      <c r="B12" s="47" t="s">
        <v>24</v>
      </c>
      <c r="C12" s="48">
        <v>2560</v>
      </c>
      <c r="D12" s="49">
        <v>100</v>
      </c>
      <c r="E12" s="48">
        <v>10</v>
      </c>
      <c r="F12" s="77">
        <v>0.390625</v>
      </c>
      <c r="G12" s="78">
        <v>21</v>
      </c>
      <c r="H12" s="77">
        <v>0.8203125</v>
      </c>
      <c r="I12" s="78">
        <v>273</v>
      </c>
      <c r="J12" s="77">
        <v>10.6640625</v>
      </c>
      <c r="K12" s="78">
        <v>653</v>
      </c>
      <c r="L12" s="77">
        <v>25.5078125</v>
      </c>
      <c r="M12" s="78">
        <v>1533</v>
      </c>
      <c r="N12" s="77">
        <v>59.8828125</v>
      </c>
      <c r="O12" s="78">
        <v>4</v>
      </c>
      <c r="P12" s="77">
        <v>0.15625</v>
      </c>
      <c r="Q12" s="96">
        <v>66</v>
      </c>
      <c r="R12" s="97">
        <v>2.578125</v>
      </c>
      <c r="S12" s="48">
        <v>413</v>
      </c>
      <c r="T12" s="97">
        <v>16.1328125</v>
      </c>
      <c r="U12" s="48">
        <v>8</v>
      </c>
      <c r="V12" s="97">
        <v>0.3125</v>
      </c>
      <c r="W12" s="48">
        <v>218</v>
      </c>
      <c r="X12" s="49">
        <v>8.515625</v>
      </c>
      <c r="Y12" s="118">
        <v>726</v>
      </c>
      <c r="Z12" s="119">
        <v>100</v>
      </c>
    </row>
    <row r="13" s="4" customFormat="1" ht="15" customHeight="1" spans="1:26">
      <c r="A13" s="31"/>
      <c r="B13" s="50" t="s">
        <v>20</v>
      </c>
      <c r="C13" s="51">
        <v>564</v>
      </c>
      <c r="D13" s="42">
        <v>60.972972972973</v>
      </c>
      <c r="E13" s="129" t="s">
        <v>23</v>
      </c>
      <c r="F13" s="73">
        <v>0.216216216216216</v>
      </c>
      <c r="G13" s="126" t="s">
        <v>23</v>
      </c>
      <c r="H13" s="73">
        <v>0.216216216216216</v>
      </c>
      <c r="I13" s="74">
        <v>32</v>
      </c>
      <c r="J13" s="73">
        <v>3.45945945945946</v>
      </c>
      <c r="K13" s="74">
        <v>238</v>
      </c>
      <c r="L13" s="73">
        <v>25.7297297297297</v>
      </c>
      <c r="M13" s="74">
        <v>272</v>
      </c>
      <c r="N13" s="73">
        <v>29.4054054054054</v>
      </c>
      <c r="O13" s="126" t="s">
        <v>23</v>
      </c>
      <c r="P13" s="73">
        <v>0.216216216216216</v>
      </c>
      <c r="Q13" s="92">
        <v>16</v>
      </c>
      <c r="R13" s="93">
        <v>1.72972972972973</v>
      </c>
      <c r="S13" s="51">
        <v>78</v>
      </c>
      <c r="T13" s="93">
        <v>8.43243243243243</v>
      </c>
      <c r="U13" s="129" t="s">
        <v>23</v>
      </c>
      <c r="V13" s="93">
        <v>0.216216216216216</v>
      </c>
      <c r="W13" s="51">
        <v>22</v>
      </c>
      <c r="X13" s="42">
        <v>2.37837837837838</v>
      </c>
      <c r="Y13" s="114">
        <v>746</v>
      </c>
      <c r="Z13" s="115">
        <v>100</v>
      </c>
    </row>
    <row r="14" s="4" customFormat="1" ht="15" customHeight="1" spans="1:26">
      <c r="A14" s="27" t="s">
        <v>26</v>
      </c>
      <c r="B14" s="43" t="s">
        <v>22</v>
      </c>
      <c r="C14" s="44">
        <v>361</v>
      </c>
      <c r="D14" s="45">
        <v>39.027027027027</v>
      </c>
      <c r="E14" s="127" t="s">
        <v>23</v>
      </c>
      <c r="F14" s="75">
        <v>0.216216216216216</v>
      </c>
      <c r="G14" s="76">
        <v>0</v>
      </c>
      <c r="H14" s="75">
        <v>0</v>
      </c>
      <c r="I14" s="76">
        <v>27</v>
      </c>
      <c r="J14" s="75">
        <v>2.91891891891892</v>
      </c>
      <c r="K14" s="76">
        <v>155</v>
      </c>
      <c r="L14" s="75">
        <v>16.7567567567568</v>
      </c>
      <c r="M14" s="76">
        <v>171</v>
      </c>
      <c r="N14" s="75">
        <v>18.4864864864865</v>
      </c>
      <c r="O14" s="76">
        <v>0</v>
      </c>
      <c r="P14" s="75">
        <v>0</v>
      </c>
      <c r="Q14" s="94">
        <v>6</v>
      </c>
      <c r="R14" s="95">
        <v>0.648648648648649</v>
      </c>
      <c r="S14" s="44">
        <v>22</v>
      </c>
      <c r="T14" s="95">
        <v>2.37837837837838</v>
      </c>
      <c r="U14" s="44">
        <v>0</v>
      </c>
      <c r="V14" s="95">
        <v>0</v>
      </c>
      <c r="W14" s="44">
        <v>15</v>
      </c>
      <c r="X14" s="45">
        <v>1.62162162162162</v>
      </c>
      <c r="Y14" s="116">
        <v>746</v>
      </c>
      <c r="Z14" s="117">
        <v>100</v>
      </c>
    </row>
    <row r="15" s="4" customFormat="1" ht="15" customHeight="1" spans="1:26">
      <c r="A15" s="46"/>
      <c r="B15" s="47" t="s">
        <v>24</v>
      </c>
      <c r="C15" s="48">
        <v>925</v>
      </c>
      <c r="D15" s="49">
        <v>100</v>
      </c>
      <c r="E15" s="48">
        <v>4</v>
      </c>
      <c r="F15" s="77">
        <v>0.432432432432432</v>
      </c>
      <c r="G15" s="130" t="s">
        <v>23</v>
      </c>
      <c r="H15" s="77">
        <v>0.216216216216216</v>
      </c>
      <c r="I15" s="78">
        <v>59</v>
      </c>
      <c r="J15" s="77">
        <v>6.37837837837838</v>
      </c>
      <c r="K15" s="78">
        <v>393</v>
      </c>
      <c r="L15" s="77">
        <v>42.4864864864865</v>
      </c>
      <c r="M15" s="78">
        <v>443</v>
      </c>
      <c r="N15" s="77">
        <v>47.8918918918919</v>
      </c>
      <c r="O15" s="130" t="s">
        <v>23</v>
      </c>
      <c r="P15" s="77">
        <v>0.216216216216216</v>
      </c>
      <c r="Q15" s="96">
        <v>22</v>
      </c>
      <c r="R15" s="97">
        <v>2.37837837837838</v>
      </c>
      <c r="S15" s="48">
        <v>100</v>
      </c>
      <c r="T15" s="97">
        <v>10.8108108108108</v>
      </c>
      <c r="U15" s="131" t="s">
        <v>23</v>
      </c>
      <c r="V15" s="97">
        <v>0.216216216216216</v>
      </c>
      <c r="W15" s="48">
        <v>37</v>
      </c>
      <c r="X15" s="49">
        <v>4</v>
      </c>
      <c r="Y15" s="118">
        <v>746</v>
      </c>
      <c r="Z15" s="119">
        <v>100</v>
      </c>
    </row>
    <row r="16" s="4" customFormat="1" ht="15" customHeight="1" spans="1:26">
      <c r="A16" s="27"/>
      <c r="B16" s="28" t="s">
        <v>20</v>
      </c>
      <c r="C16" s="29">
        <v>321</v>
      </c>
      <c r="D16" s="30">
        <v>55.632582322357</v>
      </c>
      <c r="E16" s="132" t="s">
        <v>23</v>
      </c>
      <c r="F16" s="67">
        <v>0.346620450606586</v>
      </c>
      <c r="G16" s="133" t="s">
        <v>23</v>
      </c>
      <c r="H16" s="67">
        <v>0.346620450606586</v>
      </c>
      <c r="I16" s="68">
        <v>23</v>
      </c>
      <c r="J16" s="67">
        <v>3.98613518197574</v>
      </c>
      <c r="K16" s="68">
        <v>168</v>
      </c>
      <c r="L16" s="67">
        <v>29.1161178509532</v>
      </c>
      <c r="M16" s="68">
        <v>122</v>
      </c>
      <c r="N16" s="67">
        <v>21.1438474870017</v>
      </c>
      <c r="O16" s="133" t="s">
        <v>23</v>
      </c>
      <c r="P16" s="67">
        <v>0.346620450606586</v>
      </c>
      <c r="Q16" s="134" t="s">
        <v>23</v>
      </c>
      <c r="R16" s="87">
        <v>0.346620450606586</v>
      </c>
      <c r="S16" s="29">
        <v>45</v>
      </c>
      <c r="T16" s="87">
        <v>7.79896013864818</v>
      </c>
      <c r="U16" s="29">
        <v>5</v>
      </c>
      <c r="V16" s="87">
        <v>0.866551126516464</v>
      </c>
      <c r="W16" s="29">
        <v>15</v>
      </c>
      <c r="X16" s="30">
        <v>2.59965337954939</v>
      </c>
      <c r="Y16" s="108">
        <v>747</v>
      </c>
      <c r="Z16" s="109">
        <v>100</v>
      </c>
    </row>
    <row r="17" s="4" customFormat="1" ht="15" customHeight="1" spans="1:26">
      <c r="A17" s="31" t="s">
        <v>27</v>
      </c>
      <c r="B17" s="32" t="s">
        <v>22</v>
      </c>
      <c r="C17" s="33">
        <v>256</v>
      </c>
      <c r="D17" s="34">
        <v>44.367417677643</v>
      </c>
      <c r="E17" s="124" t="s">
        <v>23</v>
      </c>
      <c r="F17" s="69">
        <v>0.346620450606586</v>
      </c>
      <c r="G17" s="70">
        <v>0</v>
      </c>
      <c r="H17" s="69">
        <v>0</v>
      </c>
      <c r="I17" s="70">
        <v>21</v>
      </c>
      <c r="J17" s="69">
        <v>3.63951473136915</v>
      </c>
      <c r="K17" s="70">
        <v>123</v>
      </c>
      <c r="L17" s="69">
        <v>21.317157712305</v>
      </c>
      <c r="M17" s="70">
        <v>102</v>
      </c>
      <c r="N17" s="69">
        <v>17.6776429809359</v>
      </c>
      <c r="O17" s="70">
        <v>0</v>
      </c>
      <c r="P17" s="69">
        <v>0</v>
      </c>
      <c r="Q17" s="88">
        <v>8</v>
      </c>
      <c r="R17" s="89">
        <v>1.38648180242634</v>
      </c>
      <c r="S17" s="33">
        <v>26</v>
      </c>
      <c r="T17" s="89">
        <v>4.50606585788562</v>
      </c>
      <c r="U17" s="124" t="s">
        <v>23</v>
      </c>
      <c r="V17" s="89">
        <v>0.346620450606586</v>
      </c>
      <c r="W17" s="33">
        <v>10</v>
      </c>
      <c r="X17" s="34">
        <v>1.73310225303293</v>
      </c>
      <c r="Y17" s="110">
        <v>747</v>
      </c>
      <c r="Z17" s="111">
        <v>100</v>
      </c>
    </row>
    <row r="18" s="4" customFormat="1" ht="15" customHeight="1" spans="1:26">
      <c r="A18" s="35"/>
      <c r="B18" s="36" t="s">
        <v>24</v>
      </c>
      <c r="C18" s="37">
        <v>577</v>
      </c>
      <c r="D18" s="38">
        <v>100</v>
      </c>
      <c r="E18" s="37">
        <v>4</v>
      </c>
      <c r="F18" s="71">
        <v>0.693240901213172</v>
      </c>
      <c r="G18" s="125" t="s">
        <v>23</v>
      </c>
      <c r="H18" s="71">
        <v>0.346620450606586</v>
      </c>
      <c r="I18" s="72">
        <v>44</v>
      </c>
      <c r="J18" s="71">
        <v>7.62564991334489</v>
      </c>
      <c r="K18" s="72">
        <v>291</v>
      </c>
      <c r="L18" s="71">
        <v>50.4332755632582</v>
      </c>
      <c r="M18" s="72">
        <v>224</v>
      </c>
      <c r="N18" s="71">
        <v>38.8214904679376</v>
      </c>
      <c r="O18" s="125" t="s">
        <v>23</v>
      </c>
      <c r="P18" s="71">
        <v>0.346620450606586</v>
      </c>
      <c r="Q18" s="90">
        <v>10</v>
      </c>
      <c r="R18" s="91">
        <v>1.73310225303293</v>
      </c>
      <c r="S18" s="37">
        <v>71</v>
      </c>
      <c r="T18" s="91">
        <v>12.3050259965338</v>
      </c>
      <c r="U18" s="37">
        <v>7</v>
      </c>
      <c r="V18" s="91">
        <v>1.21317157712305</v>
      </c>
      <c r="W18" s="37">
        <v>25</v>
      </c>
      <c r="X18" s="38">
        <v>4.33275563258232</v>
      </c>
      <c r="Y18" s="112">
        <v>747</v>
      </c>
      <c r="Z18" s="113">
        <v>100</v>
      </c>
    </row>
    <row r="19" s="4" customFormat="1" ht="15" customHeight="1" spans="1:26">
      <c r="A19" s="31"/>
      <c r="B19" s="50" t="s">
        <v>20</v>
      </c>
      <c r="C19" s="51">
        <v>262</v>
      </c>
      <c r="D19" s="42">
        <v>63.1325301204819</v>
      </c>
      <c r="E19" s="129" t="s">
        <v>23</v>
      </c>
      <c r="F19" s="73">
        <v>0.481927710843373</v>
      </c>
      <c r="G19" s="74">
        <v>0</v>
      </c>
      <c r="H19" s="73">
        <v>0</v>
      </c>
      <c r="I19" s="74">
        <v>9</v>
      </c>
      <c r="J19" s="73">
        <v>2.16867469879518</v>
      </c>
      <c r="K19" s="74">
        <v>136</v>
      </c>
      <c r="L19" s="73">
        <v>32.7710843373494</v>
      </c>
      <c r="M19" s="74">
        <v>113</v>
      </c>
      <c r="N19" s="73">
        <v>27.2289156626506</v>
      </c>
      <c r="O19" s="74">
        <v>0</v>
      </c>
      <c r="P19" s="73">
        <v>0</v>
      </c>
      <c r="Q19" s="135" t="s">
        <v>23</v>
      </c>
      <c r="R19" s="93">
        <v>0.481927710843373</v>
      </c>
      <c r="S19" s="51">
        <v>26</v>
      </c>
      <c r="T19" s="93">
        <v>6.26506024096386</v>
      </c>
      <c r="U19" s="129" t="s">
        <v>23</v>
      </c>
      <c r="V19" s="93">
        <v>0.481927710843373</v>
      </c>
      <c r="W19" s="51">
        <v>7</v>
      </c>
      <c r="X19" s="42">
        <v>1.68674698795181</v>
      </c>
      <c r="Y19" s="114">
        <v>743</v>
      </c>
      <c r="Z19" s="115">
        <v>100</v>
      </c>
    </row>
    <row r="20" s="4" customFormat="1" ht="15" customHeight="1" spans="1:26">
      <c r="A20" s="27" t="s">
        <v>28</v>
      </c>
      <c r="B20" s="43" t="s">
        <v>22</v>
      </c>
      <c r="C20" s="44">
        <v>153</v>
      </c>
      <c r="D20" s="45">
        <v>36.8674698795181</v>
      </c>
      <c r="E20" s="127" t="s">
        <v>23</v>
      </c>
      <c r="F20" s="75">
        <v>0.481927710843373</v>
      </c>
      <c r="G20" s="128" t="s">
        <v>23</v>
      </c>
      <c r="H20" s="75">
        <v>0.481927710843373</v>
      </c>
      <c r="I20" s="76">
        <v>14</v>
      </c>
      <c r="J20" s="75">
        <v>3.37349397590361</v>
      </c>
      <c r="K20" s="76">
        <v>65</v>
      </c>
      <c r="L20" s="75">
        <v>15.6626506024096</v>
      </c>
      <c r="M20" s="76">
        <v>68</v>
      </c>
      <c r="N20" s="75">
        <v>16.3855421686747</v>
      </c>
      <c r="O20" s="76">
        <v>0</v>
      </c>
      <c r="P20" s="75">
        <v>0</v>
      </c>
      <c r="Q20" s="136" t="s">
        <v>23</v>
      </c>
      <c r="R20" s="95">
        <v>0.481927710843373</v>
      </c>
      <c r="S20" s="44">
        <v>17</v>
      </c>
      <c r="T20" s="95">
        <v>4.09638554216868</v>
      </c>
      <c r="U20" s="127" t="s">
        <v>23</v>
      </c>
      <c r="V20" s="95">
        <v>0.481927710843373</v>
      </c>
      <c r="W20" s="44">
        <v>9</v>
      </c>
      <c r="X20" s="45">
        <v>2.16867469879518</v>
      </c>
      <c r="Y20" s="116">
        <v>743</v>
      </c>
      <c r="Z20" s="117">
        <v>100</v>
      </c>
    </row>
    <row r="21" s="4" customFormat="1" ht="15" customHeight="1" spans="1:26">
      <c r="A21" s="46"/>
      <c r="B21" s="47" t="s">
        <v>24</v>
      </c>
      <c r="C21" s="48">
        <v>415</v>
      </c>
      <c r="D21" s="49">
        <v>100</v>
      </c>
      <c r="E21" s="48">
        <v>4</v>
      </c>
      <c r="F21" s="77">
        <v>0.963855421686747</v>
      </c>
      <c r="G21" s="130" t="s">
        <v>23</v>
      </c>
      <c r="H21" s="77">
        <v>0.481927710843373</v>
      </c>
      <c r="I21" s="78">
        <v>23</v>
      </c>
      <c r="J21" s="77">
        <v>5.54216867469879</v>
      </c>
      <c r="K21" s="78">
        <v>201</v>
      </c>
      <c r="L21" s="77">
        <v>48.433734939759</v>
      </c>
      <c r="M21" s="78">
        <v>181</v>
      </c>
      <c r="N21" s="77">
        <v>43.6144578313253</v>
      </c>
      <c r="O21" s="78">
        <v>0</v>
      </c>
      <c r="P21" s="77">
        <v>0</v>
      </c>
      <c r="Q21" s="96">
        <v>4</v>
      </c>
      <c r="R21" s="97">
        <v>0.963855421686747</v>
      </c>
      <c r="S21" s="48">
        <v>43</v>
      </c>
      <c r="T21" s="97">
        <v>10.3614457831325</v>
      </c>
      <c r="U21" s="48">
        <v>4</v>
      </c>
      <c r="V21" s="97">
        <v>0.963855421686747</v>
      </c>
      <c r="W21" s="48">
        <v>16</v>
      </c>
      <c r="X21" s="49">
        <v>3.85542168674699</v>
      </c>
      <c r="Y21" s="118">
        <v>743</v>
      </c>
      <c r="Z21" s="119">
        <v>100</v>
      </c>
    </row>
    <row r="22" s="4" customFormat="1" ht="15" customHeight="1" spans="1:26">
      <c r="A22" s="27"/>
      <c r="B22" s="28" t="s">
        <v>20</v>
      </c>
      <c r="C22" s="29">
        <v>326</v>
      </c>
      <c r="D22" s="30">
        <v>62.4521072796935</v>
      </c>
      <c r="E22" s="132" t="s">
        <v>23</v>
      </c>
      <c r="F22" s="67">
        <v>0.383141762452107</v>
      </c>
      <c r="G22" s="68">
        <v>0</v>
      </c>
      <c r="H22" s="67">
        <v>0</v>
      </c>
      <c r="I22" s="68">
        <v>9</v>
      </c>
      <c r="J22" s="67">
        <v>1.72413793103448</v>
      </c>
      <c r="K22" s="68">
        <v>190</v>
      </c>
      <c r="L22" s="67">
        <v>36.3984674329502</v>
      </c>
      <c r="M22" s="68">
        <v>123</v>
      </c>
      <c r="N22" s="67">
        <v>23.5632183908046</v>
      </c>
      <c r="O22" s="68">
        <v>0</v>
      </c>
      <c r="P22" s="67">
        <v>0</v>
      </c>
      <c r="Q22" s="134" t="s">
        <v>23</v>
      </c>
      <c r="R22" s="87">
        <v>0.383141762452107</v>
      </c>
      <c r="S22" s="29">
        <v>42</v>
      </c>
      <c r="T22" s="87">
        <v>8.04597701149425</v>
      </c>
      <c r="U22" s="132" t="s">
        <v>23</v>
      </c>
      <c r="V22" s="87">
        <v>0.383141762452107</v>
      </c>
      <c r="W22" s="29">
        <v>6</v>
      </c>
      <c r="X22" s="30">
        <v>1.14942528735632</v>
      </c>
      <c r="Y22" s="108">
        <v>735</v>
      </c>
      <c r="Z22" s="109">
        <v>100</v>
      </c>
    </row>
    <row r="23" s="4" customFormat="1" ht="15" customHeight="1" spans="1:26">
      <c r="A23" s="31" t="s">
        <v>29</v>
      </c>
      <c r="B23" s="32" t="s">
        <v>22</v>
      </c>
      <c r="C23" s="33">
        <v>196</v>
      </c>
      <c r="D23" s="34">
        <v>37.5478927203065</v>
      </c>
      <c r="E23" s="33">
        <v>0</v>
      </c>
      <c r="F23" s="69">
        <v>0</v>
      </c>
      <c r="G23" s="123" t="s">
        <v>23</v>
      </c>
      <c r="H23" s="69">
        <v>0.383141762452107</v>
      </c>
      <c r="I23" s="70">
        <v>9</v>
      </c>
      <c r="J23" s="69">
        <v>1.72413793103448</v>
      </c>
      <c r="K23" s="70">
        <v>121</v>
      </c>
      <c r="L23" s="69">
        <v>23.1800766283525</v>
      </c>
      <c r="M23" s="70">
        <v>62</v>
      </c>
      <c r="N23" s="69">
        <v>11.8773946360153</v>
      </c>
      <c r="O23" s="70">
        <v>0</v>
      </c>
      <c r="P23" s="69">
        <v>0</v>
      </c>
      <c r="Q23" s="137" t="s">
        <v>23</v>
      </c>
      <c r="R23" s="89">
        <v>0.383141762452107</v>
      </c>
      <c r="S23" s="33">
        <v>20</v>
      </c>
      <c r="T23" s="89">
        <v>3.83141762452107</v>
      </c>
      <c r="U23" s="124" t="s">
        <v>23</v>
      </c>
      <c r="V23" s="89">
        <v>0.383141762452107</v>
      </c>
      <c r="W23" s="33">
        <v>8</v>
      </c>
      <c r="X23" s="34">
        <v>1.53256704980843</v>
      </c>
      <c r="Y23" s="110">
        <v>735</v>
      </c>
      <c r="Z23" s="111">
        <v>100</v>
      </c>
    </row>
    <row r="24" s="4" customFormat="1" ht="15" customHeight="1" spans="1:26">
      <c r="A24" s="35"/>
      <c r="B24" s="36" t="s">
        <v>24</v>
      </c>
      <c r="C24" s="37">
        <v>522</v>
      </c>
      <c r="D24" s="38">
        <v>100</v>
      </c>
      <c r="E24" s="138" t="s">
        <v>23</v>
      </c>
      <c r="F24" s="71">
        <v>0.383141762452107</v>
      </c>
      <c r="G24" s="125" t="s">
        <v>23</v>
      </c>
      <c r="H24" s="71">
        <v>0.383141762452107</v>
      </c>
      <c r="I24" s="72">
        <v>18</v>
      </c>
      <c r="J24" s="71">
        <v>3.44827586206897</v>
      </c>
      <c r="K24" s="72">
        <v>311</v>
      </c>
      <c r="L24" s="71">
        <v>59.5785440613027</v>
      </c>
      <c r="M24" s="72">
        <v>185</v>
      </c>
      <c r="N24" s="71">
        <v>35.4406130268199</v>
      </c>
      <c r="O24" s="72">
        <v>0</v>
      </c>
      <c r="P24" s="71">
        <v>0</v>
      </c>
      <c r="Q24" s="90">
        <v>4</v>
      </c>
      <c r="R24" s="91">
        <v>0.766283524904215</v>
      </c>
      <c r="S24" s="37">
        <v>62</v>
      </c>
      <c r="T24" s="91">
        <v>11.8773946360153</v>
      </c>
      <c r="U24" s="37">
        <v>4</v>
      </c>
      <c r="V24" s="91">
        <v>0.766283524904215</v>
      </c>
      <c r="W24" s="37">
        <v>14</v>
      </c>
      <c r="X24" s="38">
        <v>2.68199233716475</v>
      </c>
      <c r="Y24" s="112">
        <v>735</v>
      </c>
      <c r="Z24" s="113">
        <v>100</v>
      </c>
    </row>
    <row r="25" s="4" customFormat="1" ht="15" customHeight="1" spans="1:26">
      <c r="A25" s="31"/>
      <c r="B25" s="50" t="s">
        <v>20</v>
      </c>
      <c r="C25" s="51">
        <v>560</v>
      </c>
      <c r="D25" s="42">
        <v>76.3983628922237</v>
      </c>
      <c r="E25" s="129" t="s">
        <v>23</v>
      </c>
      <c r="F25" s="73">
        <v>0.272851296043656</v>
      </c>
      <c r="G25" s="126" t="s">
        <v>23</v>
      </c>
      <c r="H25" s="73">
        <v>0.272851296043656</v>
      </c>
      <c r="I25" s="74">
        <v>10</v>
      </c>
      <c r="J25" s="73">
        <v>1.36425648021828</v>
      </c>
      <c r="K25" s="74">
        <v>263</v>
      </c>
      <c r="L25" s="73">
        <v>35.8799454297408</v>
      </c>
      <c r="M25" s="74">
        <v>281</v>
      </c>
      <c r="N25" s="73">
        <v>38.3356070941337</v>
      </c>
      <c r="O25" s="74">
        <v>0</v>
      </c>
      <c r="P25" s="73">
        <v>0</v>
      </c>
      <c r="Q25" s="135" t="s">
        <v>23</v>
      </c>
      <c r="R25" s="93">
        <v>0.272851296043656</v>
      </c>
      <c r="S25" s="51">
        <v>42</v>
      </c>
      <c r="T25" s="93">
        <v>5.72987721691678</v>
      </c>
      <c r="U25" s="129" t="s">
        <v>23</v>
      </c>
      <c r="V25" s="93">
        <v>0.272851296043656</v>
      </c>
      <c r="W25" s="51">
        <v>4</v>
      </c>
      <c r="X25" s="42">
        <v>0.545702592087312</v>
      </c>
      <c r="Y25" s="114">
        <v>563</v>
      </c>
      <c r="Z25" s="115">
        <v>100</v>
      </c>
    </row>
    <row r="26" s="4" customFormat="1" ht="15" customHeight="1" spans="1:26">
      <c r="A26" s="27" t="s">
        <v>30</v>
      </c>
      <c r="B26" s="43" t="s">
        <v>22</v>
      </c>
      <c r="C26" s="44">
        <v>173</v>
      </c>
      <c r="D26" s="45">
        <v>23.6016371077763</v>
      </c>
      <c r="E26" s="44">
        <v>7</v>
      </c>
      <c r="F26" s="75">
        <v>0.954979536152797</v>
      </c>
      <c r="G26" s="76">
        <v>0</v>
      </c>
      <c r="H26" s="75">
        <v>0</v>
      </c>
      <c r="I26" s="76">
        <v>8</v>
      </c>
      <c r="J26" s="75">
        <v>1.09140518417462</v>
      </c>
      <c r="K26" s="76">
        <v>83</v>
      </c>
      <c r="L26" s="75">
        <v>11.3233287858117</v>
      </c>
      <c r="M26" s="76">
        <v>73</v>
      </c>
      <c r="N26" s="75">
        <v>9.95907230559345</v>
      </c>
      <c r="O26" s="76">
        <v>0</v>
      </c>
      <c r="P26" s="75">
        <v>0</v>
      </c>
      <c r="Q26" s="136" t="s">
        <v>23</v>
      </c>
      <c r="R26" s="95">
        <v>0.272851296043656</v>
      </c>
      <c r="S26" s="44">
        <v>19</v>
      </c>
      <c r="T26" s="95">
        <v>2.59208731241473</v>
      </c>
      <c r="U26" s="44">
        <v>0</v>
      </c>
      <c r="V26" s="95">
        <v>0</v>
      </c>
      <c r="W26" s="127" t="s">
        <v>23</v>
      </c>
      <c r="X26" s="45">
        <v>0.272851296043656</v>
      </c>
      <c r="Y26" s="116">
        <v>563</v>
      </c>
      <c r="Z26" s="117">
        <v>100</v>
      </c>
    </row>
    <row r="27" s="4" customFormat="1" ht="15" customHeight="1" spans="1:26">
      <c r="A27" s="46"/>
      <c r="B27" s="47" t="s">
        <v>24</v>
      </c>
      <c r="C27" s="48">
        <v>733</v>
      </c>
      <c r="D27" s="49">
        <v>100</v>
      </c>
      <c r="E27" s="48">
        <v>9</v>
      </c>
      <c r="F27" s="77">
        <v>1.22783083219645</v>
      </c>
      <c r="G27" s="130" t="s">
        <v>23</v>
      </c>
      <c r="H27" s="77">
        <v>0.272851296043656</v>
      </c>
      <c r="I27" s="78">
        <v>18</v>
      </c>
      <c r="J27" s="77">
        <v>2.45566166439291</v>
      </c>
      <c r="K27" s="78">
        <v>346</v>
      </c>
      <c r="L27" s="77">
        <v>47.2032742155525</v>
      </c>
      <c r="M27" s="78">
        <v>354</v>
      </c>
      <c r="N27" s="77">
        <v>48.2946793997272</v>
      </c>
      <c r="O27" s="78">
        <v>0</v>
      </c>
      <c r="P27" s="77">
        <v>0</v>
      </c>
      <c r="Q27" s="96">
        <v>4</v>
      </c>
      <c r="R27" s="97">
        <v>0.545702592087312</v>
      </c>
      <c r="S27" s="48">
        <v>61</v>
      </c>
      <c r="T27" s="97">
        <v>8.32196452933152</v>
      </c>
      <c r="U27" s="131" t="s">
        <v>23</v>
      </c>
      <c r="V27" s="97">
        <v>0.272851296043656</v>
      </c>
      <c r="W27" s="48">
        <v>6</v>
      </c>
      <c r="X27" s="49">
        <v>0.818553888130969</v>
      </c>
      <c r="Y27" s="118">
        <v>563</v>
      </c>
      <c r="Z27" s="119">
        <v>100</v>
      </c>
    </row>
    <row r="28" s="4" customFormat="1" ht="15" customHeight="1" spans="1:26">
      <c r="A28" s="27"/>
      <c r="B28" s="28" t="s">
        <v>20</v>
      </c>
      <c r="C28" s="29">
        <v>928</v>
      </c>
      <c r="D28" s="30">
        <v>68.5376661742984</v>
      </c>
      <c r="E28" s="29">
        <v>7</v>
      </c>
      <c r="F28" s="67">
        <v>0.51698670605613</v>
      </c>
      <c r="G28" s="133" t="s">
        <v>23</v>
      </c>
      <c r="H28" s="67">
        <v>0.147710487444609</v>
      </c>
      <c r="I28" s="68">
        <v>26</v>
      </c>
      <c r="J28" s="67">
        <v>1.92023633677991</v>
      </c>
      <c r="K28" s="68">
        <v>448</v>
      </c>
      <c r="L28" s="67">
        <v>33.0871491875923</v>
      </c>
      <c r="M28" s="68">
        <v>439</v>
      </c>
      <c r="N28" s="67">
        <v>32.4224519940916</v>
      </c>
      <c r="O28" s="68">
        <v>0</v>
      </c>
      <c r="P28" s="67">
        <v>0</v>
      </c>
      <c r="Q28" s="86">
        <v>6</v>
      </c>
      <c r="R28" s="87">
        <v>0.443131462333826</v>
      </c>
      <c r="S28" s="29">
        <v>85</v>
      </c>
      <c r="T28" s="87">
        <v>6.27769571639586</v>
      </c>
      <c r="U28" s="29">
        <v>10</v>
      </c>
      <c r="V28" s="87">
        <v>0.738552437223043</v>
      </c>
      <c r="W28" s="29">
        <v>9</v>
      </c>
      <c r="X28" s="30">
        <v>0.664697193500739</v>
      </c>
      <c r="Y28" s="108">
        <v>507</v>
      </c>
      <c r="Z28" s="109">
        <v>100</v>
      </c>
    </row>
    <row r="29" s="4" customFormat="1" ht="15" customHeight="1" spans="1:26">
      <c r="A29" s="31" t="s">
        <v>31</v>
      </c>
      <c r="B29" s="32" t="s">
        <v>22</v>
      </c>
      <c r="C29" s="33">
        <v>426</v>
      </c>
      <c r="D29" s="34">
        <v>31.4623338257016</v>
      </c>
      <c r="E29" s="124" t="s">
        <v>23</v>
      </c>
      <c r="F29" s="69">
        <v>0.147710487444609</v>
      </c>
      <c r="G29" s="123" t="s">
        <v>23</v>
      </c>
      <c r="H29" s="69">
        <v>0.147710487444609</v>
      </c>
      <c r="I29" s="70">
        <v>9</v>
      </c>
      <c r="J29" s="69">
        <v>0.664697193500739</v>
      </c>
      <c r="K29" s="70">
        <v>214</v>
      </c>
      <c r="L29" s="69">
        <v>15.8050221565731</v>
      </c>
      <c r="M29" s="70">
        <v>197</v>
      </c>
      <c r="N29" s="69">
        <v>14.5494830132939</v>
      </c>
      <c r="O29" s="70">
        <v>0</v>
      </c>
      <c r="P29" s="69">
        <v>0</v>
      </c>
      <c r="Q29" s="137" t="s">
        <v>23</v>
      </c>
      <c r="R29" s="89">
        <v>0.147710487444609</v>
      </c>
      <c r="S29" s="33">
        <v>28</v>
      </c>
      <c r="T29" s="89">
        <v>2.06794682422452</v>
      </c>
      <c r="U29" s="124" t="s">
        <v>23</v>
      </c>
      <c r="V29" s="89">
        <v>0.147710487444609</v>
      </c>
      <c r="W29" s="33">
        <v>4</v>
      </c>
      <c r="X29" s="34">
        <v>0.295420974889217</v>
      </c>
      <c r="Y29" s="110">
        <v>507</v>
      </c>
      <c r="Z29" s="111">
        <v>100</v>
      </c>
    </row>
    <row r="30" s="4" customFormat="1" ht="15" customHeight="1" spans="1:26">
      <c r="A30" s="35"/>
      <c r="B30" s="36" t="s">
        <v>24</v>
      </c>
      <c r="C30" s="37">
        <v>1354</v>
      </c>
      <c r="D30" s="38">
        <v>100</v>
      </c>
      <c r="E30" s="37">
        <v>9</v>
      </c>
      <c r="F30" s="71">
        <v>0.664697193500739</v>
      </c>
      <c r="G30" s="72">
        <v>4</v>
      </c>
      <c r="H30" s="71">
        <v>0.295420974889217</v>
      </c>
      <c r="I30" s="72">
        <v>35</v>
      </c>
      <c r="J30" s="71">
        <v>2.58493353028065</v>
      </c>
      <c r="K30" s="72">
        <v>662</v>
      </c>
      <c r="L30" s="71">
        <v>48.8921713441654</v>
      </c>
      <c r="M30" s="72">
        <v>636</v>
      </c>
      <c r="N30" s="71">
        <v>46.9719350073855</v>
      </c>
      <c r="O30" s="72">
        <v>0</v>
      </c>
      <c r="P30" s="71">
        <v>0</v>
      </c>
      <c r="Q30" s="90">
        <v>8</v>
      </c>
      <c r="R30" s="91">
        <v>0.590841949778434</v>
      </c>
      <c r="S30" s="37">
        <v>113</v>
      </c>
      <c r="T30" s="91">
        <v>8.34564254062038</v>
      </c>
      <c r="U30" s="37">
        <v>12</v>
      </c>
      <c r="V30" s="91">
        <v>0.886262924667651</v>
      </c>
      <c r="W30" s="37">
        <v>13</v>
      </c>
      <c r="X30" s="38">
        <v>0.960118168389956</v>
      </c>
      <c r="Y30" s="112">
        <v>507</v>
      </c>
      <c r="Z30" s="113">
        <v>100</v>
      </c>
    </row>
    <row r="31" s="4" customFormat="1" ht="15" customHeight="1" spans="1:26">
      <c r="A31" s="31"/>
      <c r="B31" s="50" t="s">
        <v>20</v>
      </c>
      <c r="C31" s="51">
        <v>807</v>
      </c>
      <c r="D31" s="42">
        <v>68.7393526405452</v>
      </c>
      <c r="E31" s="51">
        <v>7</v>
      </c>
      <c r="F31" s="73">
        <v>0.596252129471891</v>
      </c>
      <c r="G31" s="126" t="s">
        <v>23</v>
      </c>
      <c r="H31" s="73">
        <v>0.170357751277683</v>
      </c>
      <c r="I31" s="74">
        <v>22</v>
      </c>
      <c r="J31" s="73">
        <v>1.87393526405451</v>
      </c>
      <c r="K31" s="74">
        <v>340</v>
      </c>
      <c r="L31" s="73">
        <v>28.9608177172061</v>
      </c>
      <c r="M31" s="74">
        <v>430</v>
      </c>
      <c r="N31" s="73">
        <v>36.6269165247019</v>
      </c>
      <c r="O31" s="74">
        <v>0</v>
      </c>
      <c r="P31" s="73">
        <v>0</v>
      </c>
      <c r="Q31" s="92">
        <v>6</v>
      </c>
      <c r="R31" s="93">
        <v>0.511073253833049</v>
      </c>
      <c r="S31" s="51">
        <v>67</v>
      </c>
      <c r="T31" s="93">
        <v>5.70698466780239</v>
      </c>
      <c r="U31" s="51">
        <v>4</v>
      </c>
      <c r="V31" s="93">
        <v>0.340715502555366</v>
      </c>
      <c r="W31" s="51">
        <v>8</v>
      </c>
      <c r="X31" s="42">
        <v>0.681431005110733</v>
      </c>
      <c r="Y31" s="114">
        <v>509</v>
      </c>
      <c r="Z31" s="115">
        <v>100</v>
      </c>
    </row>
    <row r="32" s="4" customFormat="1" ht="15" customHeight="1" spans="1:26">
      <c r="A32" s="27" t="s">
        <v>32</v>
      </c>
      <c r="B32" s="43" t="s">
        <v>22</v>
      </c>
      <c r="C32" s="44">
        <v>367</v>
      </c>
      <c r="D32" s="45">
        <v>31.2606473594549</v>
      </c>
      <c r="E32" s="44">
        <v>0</v>
      </c>
      <c r="F32" s="75">
        <v>0</v>
      </c>
      <c r="G32" s="76">
        <v>0</v>
      </c>
      <c r="H32" s="75">
        <v>0</v>
      </c>
      <c r="I32" s="76">
        <v>15</v>
      </c>
      <c r="J32" s="75">
        <v>1.27768313458262</v>
      </c>
      <c r="K32" s="76">
        <v>159</v>
      </c>
      <c r="L32" s="75">
        <v>13.5434412265758</v>
      </c>
      <c r="M32" s="76">
        <v>191</v>
      </c>
      <c r="N32" s="75">
        <v>16.2691652470187</v>
      </c>
      <c r="O32" s="76">
        <v>0</v>
      </c>
      <c r="P32" s="75">
        <v>0</v>
      </c>
      <c r="Q32" s="136" t="s">
        <v>23</v>
      </c>
      <c r="R32" s="95">
        <v>0.170357751277683</v>
      </c>
      <c r="S32" s="44">
        <v>17</v>
      </c>
      <c r="T32" s="95">
        <v>1.44804088586031</v>
      </c>
      <c r="U32" s="127" t="s">
        <v>23</v>
      </c>
      <c r="V32" s="95">
        <v>0.170357751277683</v>
      </c>
      <c r="W32" s="44">
        <v>5</v>
      </c>
      <c r="X32" s="45">
        <v>0.425894378194208</v>
      </c>
      <c r="Y32" s="116">
        <v>509</v>
      </c>
      <c r="Z32" s="117">
        <v>100</v>
      </c>
    </row>
    <row r="33" s="4" customFormat="1" ht="15" customHeight="1" spans="1:26">
      <c r="A33" s="46"/>
      <c r="B33" s="47" t="s">
        <v>24</v>
      </c>
      <c r="C33" s="48">
        <v>1174</v>
      </c>
      <c r="D33" s="49">
        <v>100</v>
      </c>
      <c r="E33" s="48">
        <v>7</v>
      </c>
      <c r="F33" s="77">
        <v>0.596252129471891</v>
      </c>
      <c r="G33" s="130" t="s">
        <v>23</v>
      </c>
      <c r="H33" s="77">
        <v>0.170357751277683</v>
      </c>
      <c r="I33" s="78">
        <v>37</v>
      </c>
      <c r="J33" s="77">
        <v>3.15161839863714</v>
      </c>
      <c r="K33" s="78">
        <v>499</v>
      </c>
      <c r="L33" s="77">
        <v>42.5042589437819</v>
      </c>
      <c r="M33" s="78">
        <v>621</v>
      </c>
      <c r="N33" s="77">
        <v>52.8960817717206</v>
      </c>
      <c r="O33" s="78">
        <v>0</v>
      </c>
      <c r="P33" s="77">
        <v>0</v>
      </c>
      <c r="Q33" s="96">
        <v>8</v>
      </c>
      <c r="R33" s="97">
        <v>0.681431005110733</v>
      </c>
      <c r="S33" s="48">
        <v>84</v>
      </c>
      <c r="T33" s="97">
        <v>7.15502555366269</v>
      </c>
      <c r="U33" s="48">
        <v>6</v>
      </c>
      <c r="V33" s="97">
        <v>0.511073253833049</v>
      </c>
      <c r="W33" s="48">
        <v>13</v>
      </c>
      <c r="X33" s="49">
        <v>1.10732538330494</v>
      </c>
      <c r="Y33" s="118">
        <v>509</v>
      </c>
      <c r="Z33" s="119">
        <v>100</v>
      </c>
    </row>
    <row r="34" s="4" customFormat="1" ht="15" customHeight="1" spans="1:26">
      <c r="A34" s="27"/>
      <c r="B34" s="28" t="s">
        <v>20</v>
      </c>
      <c r="C34" s="29">
        <v>3362</v>
      </c>
      <c r="D34" s="30">
        <v>65.6</v>
      </c>
      <c r="E34" s="29">
        <v>12</v>
      </c>
      <c r="F34" s="67">
        <v>0.234146341463415</v>
      </c>
      <c r="G34" s="68">
        <v>19</v>
      </c>
      <c r="H34" s="67">
        <v>0.370731707317073</v>
      </c>
      <c r="I34" s="68">
        <v>130</v>
      </c>
      <c r="J34" s="67">
        <v>2.53658536585366</v>
      </c>
      <c r="K34" s="68">
        <v>2028</v>
      </c>
      <c r="L34" s="67">
        <v>39.5707317073171</v>
      </c>
      <c r="M34" s="68">
        <v>1151</v>
      </c>
      <c r="N34" s="67">
        <v>22.4585365853659</v>
      </c>
      <c r="O34" s="68">
        <v>0</v>
      </c>
      <c r="P34" s="67">
        <v>0</v>
      </c>
      <c r="Q34" s="86">
        <v>22</v>
      </c>
      <c r="R34" s="87">
        <v>0.429268292682927</v>
      </c>
      <c r="S34" s="29">
        <v>466</v>
      </c>
      <c r="T34" s="87">
        <v>9.09268292682927</v>
      </c>
      <c r="U34" s="29">
        <v>29</v>
      </c>
      <c r="V34" s="87">
        <v>0.565853658536585</v>
      </c>
      <c r="W34" s="29">
        <v>62</v>
      </c>
      <c r="X34" s="30">
        <v>1.20975609756098</v>
      </c>
      <c r="Y34" s="108">
        <v>434</v>
      </c>
      <c r="Z34" s="109">
        <v>100</v>
      </c>
    </row>
    <row r="35" s="4" customFormat="1" ht="15" customHeight="1" spans="1:26">
      <c r="A35" s="31" t="s">
        <v>33</v>
      </c>
      <c r="B35" s="32" t="s">
        <v>22</v>
      </c>
      <c r="C35" s="33">
        <v>1763</v>
      </c>
      <c r="D35" s="34">
        <v>34.4</v>
      </c>
      <c r="E35" s="33">
        <v>6</v>
      </c>
      <c r="F35" s="69">
        <v>0.117073170731707</v>
      </c>
      <c r="G35" s="70">
        <v>9</v>
      </c>
      <c r="H35" s="69">
        <v>0.175609756097561</v>
      </c>
      <c r="I35" s="70">
        <v>50</v>
      </c>
      <c r="J35" s="69">
        <v>0.975609756097561</v>
      </c>
      <c r="K35" s="70">
        <v>1159</v>
      </c>
      <c r="L35" s="69">
        <v>22.6146341463415</v>
      </c>
      <c r="M35" s="70">
        <v>523</v>
      </c>
      <c r="N35" s="69">
        <v>10.2048780487805</v>
      </c>
      <c r="O35" s="70">
        <v>0</v>
      </c>
      <c r="P35" s="69">
        <v>0</v>
      </c>
      <c r="Q35" s="88">
        <v>16</v>
      </c>
      <c r="R35" s="89">
        <v>0.31219512195122</v>
      </c>
      <c r="S35" s="33">
        <v>159</v>
      </c>
      <c r="T35" s="89">
        <v>3.10243902439024</v>
      </c>
      <c r="U35" s="33">
        <v>9</v>
      </c>
      <c r="V35" s="89">
        <v>0.175609756097561</v>
      </c>
      <c r="W35" s="33">
        <v>26</v>
      </c>
      <c r="X35" s="34">
        <v>0.507317073170732</v>
      </c>
      <c r="Y35" s="110">
        <v>434</v>
      </c>
      <c r="Z35" s="111">
        <v>100</v>
      </c>
    </row>
    <row r="36" s="4" customFormat="1" ht="15" customHeight="1" spans="1:26">
      <c r="A36" s="35"/>
      <c r="B36" s="36" t="s">
        <v>24</v>
      </c>
      <c r="C36" s="37">
        <v>5125</v>
      </c>
      <c r="D36" s="38">
        <v>100</v>
      </c>
      <c r="E36" s="37">
        <v>18</v>
      </c>
      <c r="F36" s="71">
        <v>0.351219512195122</v>
      </c>
      <c r="G36" s="72">
        <v>28</v>
      </c>
      <c r="H36" s="71">
        <v>0.546341463414634</v>
      </c>
      <c r="I36" s="72">
        <v>180</v>
      </c>
      <c r="J36" s="71">
        <v>3.51219512195122</v>
      </c>
      <c r="K36" s="72">
        <v>3187</v>
      </c>
      <c r="L36" s="71">
        <v>62.1853658536585</v>
      </c>
      <c r="M36" s="72">
        <v>1674</v>
      </c>
      <c r="N36" s="71">
        <v>32.6634146341463</v>
      </c>
      <c r="O36" s="72">
        <v>0</v>
      </c>
      <c r="P36" s="71">
        <v>0</v>
      </c>
      <c r="Q36" s="90">
        <v>38</v>
      </c>
      <c r="R36" s="91">
        <v>0.741463414634146</v>
      </c>
      <c r="S36" s="37">
        <v>625</v>
      </c>
      <c r="T36" s="91">
        <v>12.1951219512195</v>
      </c>
      <c r="U36" s="37">
        <v>38</v>
      </c>
      <c r="V36" s="91">
        <v>0.741463414634146</v>
      </c>
      <c r="W36" s="37">
        <v>88</v>
      </c>
      <c r="X36" s="38">
        <v>1.71707317073171</v>
      </c>
      <c r="Y36" s="112">
        <v>434</v>
      </c>
      <c r="Z36" s="113">
        <v>100</v>
      </c>
    </row>
    <row r="37" s="4" customFormat="1" ht="15" customHeight="1" spans="1:26">
      <c r="A37" s="31"/>
      <c r="B37" s="50" t="s">
        <v>20</v>
      </c>
      <c r="C37" s="51">
        <v>2562</v>
      </c>
      <c r="D37" s="42">
        <v>62.2600243013366</v>
      </c>
      <c r="E37" s="51">
        <v>12</v>
      </c>
      <c r="F37" s="73">
        <v>0.291616038882139</v>
      </c>
      <c r="G37" s="74">
        <v>13</v>
      </c>
      <c r="H37" s="73">
        <v>0.31591737545565</v>
      </c>
      <c r="I37" s="74">
        <v>78</v>
      </c>
      <c r="J37" s="73">
        <v>1.8955042527339</v>
      </c>
      <c r="K37" s="74">
        <v>1483</v>
      </c>
      <c r="L37" s="73">
        <v>36.0388821385176</v>
      </c>
      <c r="M37" s="74">
        <v>964</v>
      </c>
      <c r="N37" s="73">
        <v>23.4264884568651</v>
      </c>
      <c r="O37" s="126" t="s">
        <v>23</v>
      </c>
      <c r="P37" s="73">
        <v>0.0486026731470231</v>
      </c>
      <c r="Q37" s="92">
        <v>10</v>
      </c>
      <c r="R37" s="93">
        <v>0.243013365735115</v>
      </c>
      <c r="S37" s="51">
        <v>345</v>
      </c>
      <c r="T37" s="93">
        <v>8.38396111786148</v>
      </c>
      <c r="U37" s="51">
        <v>12</v>
      </c>
      <c r="V37" s="93">
        <v>0.291616038882139</v>
      </c>
      <c r="W37" s="51">
        <v>45</v>
      </c>
      <c r="X37" s="42">
        <v>1.09356014580802</v>
      </c>
      <c r="Y37" s="114">
        <v>433</v>
      </c>
      <c r="Z37" s="115">
        <v>100</v>
      </c>
    </row>
    <row r="38" s="4" customFormat="1" ht="15" customHeight="1" spans="1:26">
      <c r="A38" s="27" t="s">
        <v>34</v>
      </c>
      <c r="B38" s="43" t="s">
        <v>22</v>
      </c>
      <c r="C38" s="44">
        <v>1553</v>
      </c>
      <c r="D38" s="45">
        <v>37.7399756986634</v>
      </c>
      <c r="E38" s="44">
        <v>5</v>
      </c>
      <c r="F38" s="75">
        <v>0.121506682867558</v>
      </c>
      <c r="G38" s="76">
        <v>7</v>
      </c>
      <c r="H38" s="75">
        <v>0.170109356014581</v>
      </c>
      <c r="I38" s="76">
        <v>41</v>
      </c>
      <c r="J38" s="75">
        <v>0.996354799513973</v>
      </c>
      <c r="K38" s="76">
        <v>986</v>
      </c>
      <c r="L38" s="75">
        <v>23.9611178614824</v>
      </c>
      <c r="M38" s="76">
        <v>507</v>
      </c>
      <c r="N38" s="75">
        <v>12.3207776427704</v>
      </c>
      <c r="O38" s="128" t="s">
        <v>23</v>
      </c>
      <c r="P38" s="75">
        <v>0.0486026731470231</v>
      </c>
      <c r="Q38" s="94">
        <v>5</v>
      </c>
      <c r="R38" s="95">
        <v>0.121506682867558</v>
      </c>
      <c r="S38" s="44">
        <v>146</v>
      </c>
      <c r="T38" s="95">
        <v>3.54799513973269</v>
      </c>
      <c r="U38" s="44">
        <v>11</v>
      </c>
      <c r="V38" s="95">
        <v>0.267314702308627</v>
      </c>
      <c r="W38" s="44">
        <v>26</v>
      </c>
      <c r="X38" s="45">
        <v>0.6318347509113</v>
      </c>
      <c r="Y38" s="116">
        <v>433</v>
      </c>
      <c r="Z38" s="117">
        <v>100</v>
      </c>
    </row>
    <row r="39" s="4" customFormat="1" ht="15" customHeight="1" spans="1:26">
      <c r="A39" s="46"/>
      <c r="B39" s="47" t="s">
        <v>24</v>
      </c>
      <c r="C39" s="48">
        <v>4115</v>
      </c>
      <c r="D39" s="49">
        <v>100</v>
      </c>
      <c r="E39" s="48">
        <v>17</v>
      </c>
      <c r="F39" s="77">
        <v>0.413122721749696</v>
      </c>
      <c r="G39" s="78">
        <v>20</v>
      </c>
      <c r="H39" s="77">
        <v>0.486026731470231</v>
      </c>
      <c r="I39" s="78">
        <v>119</v>
      </c>
      <c r="J39" s="77">
        <v>2.89185905224787</v>
      </c>
      <c r="K39" s="78">
        <v>2469</v>
      </c>
      <c r="L39" s="77">
        <v>60</v>
      </c>
      <c r="M39" s="78">
        <v>1471</v>
      </c>
      <c r="N39" s="77">
        <v>35.7472660996355</v>
      </c>
      <c r="O39" s="78">
        <v>4</v>
      </c>
      <c r="P39" s="77">
        <v>0.0972053462940462</v>
      </c>
      <c r="Q39" s="96">
        <v>15</v>
      </c>
      <c r="R39" s="97">
        <v>0.364520048602673</v>
      </c>
      <c r="S39" s="48">
        <v>491</v>
      </c>
      <c r="T39" s="97">
        <v>11.9319562575942</v>
      </c>
      <c r="U39" s="48">
        <v>23</v>
      </c>
      <c r="V39" s="97">
        <v>0.558930741190765</v>
      </c>
      <c r="W39" s="48">
        <v>71</v>
      </c>
      <c r="X39" s="49">
        <v>1.72539489671932</v>
      </c>
      <c r="Y39" s="118">
        <v>433</v>
      </c>
      <c r="Z39" s="119">
        <v>100</v>
      </c>
    </row>
    <row r="40" s="4" customFormat="1" ht="15" customHeight="1" spans="1:26">
      <c r="A40" s="27"/>
      <c r="B40" s="28" t="s">
        <v>20</v>
      </c>
      <c r="C40" s="29">
        <v>1209</v>
      </c>
      <c r="D40" s="30">
        <v>62.6749611197512</v>
      </c>
      <c r="E40" s="29">
        <v>6</v>
      </c>
      <c r="F40" s="67">
        <v>0.31104199066874</v>
      </c>
      <c r="G40" s="68">
        <v>6</v>
      </c>
      <c r="H40" s="67">
        <v>0.31104199066874</v>
      </c>
      <c r="I40" s="68">
        <v>41</v>
      </c>
      <c r="J40" s="67">
        <v>2.12545360290306</v>
      </c>
      <c r="K40" s="68">
        <v>744</v>
      </c>
      <c r="L40" s="67">
        <v>38.5692068429238</v>
      </c>
      <c r="M40" s="68">
        <v>401</v>
      </c>
      <c r="N40" s="67">
        <v>20.7879730430275</v>
      </c>
      <c r="O40" s="68">
        <v>0</v>
      </c>
      <c r="P40" s="67">
        <v>0</v>
      </c>
      <c r="Q40" s="86">
        <v>11</v>
      </c>
      <c r="R40" s="87">
        <v>0.570243649559357</v>
      </c>
      <c r="S40" s="29">
        <v>143</v>
      </c>
      <c r="T40" s="87">
        <v>7.41316744427164</v>
      </c>
      <c r="U40" s="29">
        <v>9</v>
      </c>
      <c r="V40" s="87">
        <v>0.46656298600311</v>
      </c>
      <c r="W40" s="29">
        <v>20</v>
      </c>
      <c r="X40" s="30">
        <v>1.03680663556247</v>
      </c>
      <c r="Y40" s="108">
        <v>433</v>
      </c>
      <c r="Z40" s="109">
        <v>100</v>
      </c>
    </row>
    <row r="41" s="4" customFormat="1" ht="15" customHeight="1" spans="1:26">
      <c r="A41" s="31" t="s">
        <v>35</v>
      </c>
      <c r="B41" s="32" t="s">
        <v>22</v>
      </c>
      <c r="C41" s="33">
        <v>720</v>
      </c>
      <c r="D41" s="34">
        <v>37.3250388802488</v>
      </c>
      <c r="E41" s="33">
        <v>5</v>
      </c>
      <c r="F41" s="69">
        <v>0.259201658890617</v>
      </c>
      <c r="G41" s="123" t="s">
        <v>23</v>
      </c>
      <c r="H41" s="69">
        <v>0.103680663556247</v>
      </c>
      <c r="I41" s="70">
        <v>29</v>
      </c>
      <c r="J41" s="69">
        <v>1.50336962156558</v>
      </c>
      <c r="K41" s="70">
        <v>476</v>
      </c>
      <c r="L41" s="69">
        <v>24.6759979263867</v>
      </c>
      <c r="M41" s="70">
        <v>201</v>
      </c>
      <c r="N41" s="69">
        <v>10.4199066874028</v>
      </c>
      <c r="O41" s="123" t="s">
        <v>23</v>
      </c>
      <c r="P41" s="69">
        <v>0.103680663556247</v>
      </c>
      <c r="Q41" s="88">
        <v>5</v>
      </c>
      <c r="R41" s="89">
        <v>0.259201658890617</v>
      </c>
      <c r="S41" s="33">
        <v>61</v>
      </c>
      <c r="T41" s="89">
        <v>3.16226023846553</v>
      </c>
      <c r="U41" s="33">
        <v>4</v>
      </c>
      <c r="V41" s="89">
        <v>0.207361327112494</v>
      </c>
      <c r="W41" s="33">
        <v>16</v>
      </c>
      <c r="X41" s="34">
        <v>0.829445308449974</v>
      </c>
      <c r="Y41" s="110">
        <v>433</v>
      </c>
      <c r="Z41" s="111">
        <v>100</v>
      </c>
    </row>
    <row r="42" s="4" customFormat="1" ht="15" customHeight="1" spans="1:26">
      <c r="A42" s="35"/>
      <c r="B42" s="36" t="s">
        <v>24</v>
      </c>
      <c r="C42" s="37">
        <v>1929</v>
      </c>
      <c r="D42" s="38">
        <v>100</v>
      </c>
      <c r="E42" s="37">
        <v>11</v>
      </c>
      <c r="F42" s="71">
        <v>0.570243649559357</v>
      </c>
      <c r="G42" s="72">
        <v>8</v>
      </c>
      <c r="H42" s="71">
        <v>0.414722654224987</v>
      </c>
      <c r="I42" s="72">
        <v>70</v>
      </c>
      <c r="J42" s="71">
        <v>3.62882322446864</v>
      </c>
      <c r="K42" s="72">
        <v>1220</v>
      </c>
      <c r="L42" s="71">
        <v>63.2452047693105</v>
      </c>
      <c r="M42" s="72">
        <v>602</v>
      </c>
      <c r="N42" s="71">
        <v>31.2078797304303</v>
      </c>
      <c r="O42" s="125" t="s">
        <v>23</v>
      </c>
      <c r="P42" s="71">
        <v>0.103680663556247</v>
      </c>
      <c r="Q42" s="90">
        <v>16</v>
      </c>
      <c r="R42" s="91">
        <v>0.829445308449974</v>
      </c>
      <c r="S42" s="37">
        <v>204</v>
      </c>
      <c r="T42" s="91">
        <v>10.5754276827372</v>
      </c>
      <c r="U42" s="37">
        <v>13</v>
      </c>
      <c r="V42" s="91">
        <v>0.673924313115604</v>
      </c>
      <c r="W42" s="37">
        <v>36</v>
      </c>
      <c r="X42" s="38">
        <v>1.86625194401244</v>
      </c>
      <c r="Y42" s="112">
        <v>433</v>
      </c>
      <c r="Z42" s="113">
        <v>100</v>
      </c>
    </row>
    <row r="43" s="4" customFormat="1" ht="15" customHeight="1" spans="1:26">
      <c r="A43" s="31"/>
      <c r="B43" s="50" t="s">
        <v>20</v>
      </c>
      <c r="C43" s="51">
        <v>1029</v>
      </c>
      <c r="D43" s="42">
        <v>59.1039632395175</v>
      </c>
      <c r="E43" s="51">
        <v>6</v>
      </c>
      <c r="F43" s="73">
        <v>0.344629523262493</v>
      </c>
      <c r="G43" s="74">
        <v>6</v>
      </c>
      <c r="H43" s="73">
        <v>0.344629523262493</v>
      </c>
      <c r="I43" s="74">
        <v>41</v>
      </c>
      <c r="J43" s="73">
        <v>2.35496840896037</v>
      </c>
      <c r="K43" s="74">
        <v>632</v>
      </c>
      <c r="L43" s="73">
        <v>36.3009764503159</v>
      </c>
      <c r="M43" s="74">
        <v>340</v>
      </c>
      <c r="N43" s="73">
        <v>19.5290063182079</v>
      </c>
      <c r="O43" s="126" t="s">
        <v>23</v>
      </c>
      <c r="P43" s="73">
        <v>0.114876507754164</v>
      </c>
      <c r="Q43" s="135" t="s">
        <v>23</v>
      </c>
      <c r="R43" s="93">
        <v>0.114876507754164</v>
      </c>
      <c r="S43" s="51">
        <v>172</v>
      </c>
      <c r="T43" s="93">
        <v>9.87937966685813</v>
      </c>
      <c r="U43" s="129" t="s">
        <v>23</v>
      </c>
      <c r="V43" s="93">
        <v>0.114876507754164</v>
      </c>
      <c r="W43" s="51">
        <v>24</v>
      </c>
      <c r="X43" s="42">
        <v>1.37851809304997</v>
      </c>
      <c r="Y43" s="114">
        <v>431</v>
      </c>
      <c r="Z43" s="115">
        <v>100</v>
      </c>
    </row>
    <row r="44" s="5" customFormat="1" ht="15" customHeight="1" spans="1:26">
      <c r="A44" s="27" t="s">
        <v>36</v>
      </c>
      <c r="B44" s="43" t="s">
        <v>22</v>
      </c>
      <c r="C44" s="44">
        <v>712</v>
      </c>
      <c r="D44" s="45">
        <v>40.8960367604825</v>
      </c>
      <c r="E44" s="127" t="s">
        <v>23</v>
      </c>
      <c r="F44" s="75">
        <v>0.114876507754164</v>
      </c>
      <c r="G44" s="128" t="s">
        <v>23</v>
      </c>
      <c r="H44" s="75">
        <v>0.114876507754164</v>
      </c>
      <c r="I44" s="76">
        <v>28</v>
      </c>
      <c r="J44" s="75">
        <v>1.6082711085583</v>
      </c>
      <c r="K44" s="76">
        <v>451</v>
      </c>
      <c r="L44" s="75">
        <v>25.904652498564</v>
      </c>
      <c r="M44" s="76">
        <v>223</v>
      </c>
      <c r="N44" s="75">
        <v>12.8087306145893</v>
      </c>
      <c r="O44" s="76">
        <v>0</v>
      </c>
      <c r="P44" s="75">
        <v>0</v>
      </c>
      <c r="Q44" s="94">
        <v>6</v>
      </c>
      <c r="R44" s="95">
        <v>0.344629523262493</v>
      </c>
      <c r="S44" s="44">
        <v>109</v>
      </c>
      <c r="T44" s="95">
        <v>6.26076967260195</v>
      </c>
      <c r="U44" s="127" t="s">
        <v>23</v>
      </c>
      <c r="V44" s="95">
        <v>0.114876507754164</v>
      </c>
      <c r="W44" s="44">
        <v>16</v>
      </c>
      <c r="X44" s="45">
        <v>0.919012062033314</v>
      </c>
      <c r="Y44" s="116">
        <v>431</v>
      </c>
      <c r="Z44" s="117">
        <v>100</v>
      </c>
    </row>
    <row r="45" s="4" customFormat="1" ht="15" customHeight="1" spans="1:26">
      <c r="A45" s="52"/>
      <c r="B45" s="53" t="s">
        <v>24</v>
      </c>
      <c r="C45" s="54">
        <v>1741</v>
      </c>
      <c r="D45" s="55">
        <v>100</v>
      </c>
      <c r="E45" s="54">
        <v>8</v>
      </c>
      <c r="F45" s="79">
        <v>0.459506031016657</v>
      </c>
      <c r="G45" s="80">
        <v>8</v>
      </c>
      <c r="H45" s="79">
        <v>0.459506031016657</v>
      </c>
      <c r="I45" s="80">
        <v>69</v>
      </c>
      <c r="J45" s="79">
        <v>3.96323951751867</v>
      </c>
      <c r="K45" s="80">
        <v>1083</v>
      </c>
      <c r="L45" s="79">
        <v>62.20562894888</v>
      </c>
      <c r="M45" s="80">
        <v>563</v>
      </c>
      <c r="N45" s="79">
        <v>32.3377369327972</v>
      </c>
      <c r="O45" s="139" t="s">
        <v>23</v>
      </c>
      <c r="P45" s="79">
        <v>0.114876507754164</v>
      </c>
      <c r="Q45" s="98">
        <v>8</v>
      </c>
      <c r="R45" s="99">
        <v>0.459506031016657</v>
      </c>
      <c r="S45" s="54">
        <v>281</v>
      </c>
      <c r="T45" s="99">
        <v>16.1401493394601</v>
      </c>
      <c r="U45" s="54">
        <v>4</v>
      </c>
      <c r="V45" s="99">
        <v>0.229753015508329</v>
      </c>
      <c r="W45" s="54">
        <v>40</v>
      </c>
      <c r="X45" s="55">
        <v>2.29753015508329</v>
      </c>
      <c r="Y45" s="120">
        <v>431</v>
      </c>
      <c r="Z45" s="121">
        <v>100</v>
      </c>
    </row>
    <row r="46" s="6" customFormat="1" ht="1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8"/>
      <c r="Y46" s="9"/>
      <c r="Z46" s="1"/>
    </row>
    <row r="47" s="7" customFormat="1" ht="15" customHeight="1" spans="1:26">
      <c r="A47" s="56" t="str">
        <f>CONCATENATE("NOTE: Table reads:  Of all ",IF(ISTEXT(C12),LEFT(C12,3),TEXT(C12,"#,##0"))," public school students retained in kindergarten, ",IF(ISTEXT(E12),LEFT(E12,3),TEXT(E12,"#,##0"))," (",TEXT(F12,"0.0"),"%) were American Indian or Alaska Native, ",IF(ISTEXT(S12),LEFT(S12,3),TEXT(S12,"#,##0"))," (",TEXT(T12,"0.0"),"%) were students with disabilities served under the Individuals with Disabilities Education Act (IDEA), and ",IF(ISTEXT(U12),LEFT(U12,3),TEXT(U12,"#,##0"))," (",TEXT(V12,"0.0"),"%) were students with disabilities served solely under Section 504 of the Rehabilitation Act of 1973.")</f>
        <v>NOTE: Table reads:  Of all 2,560 public school students retained in kindergarten, 10 (0.4%) were American Indian or Alaska Native, 413 (16.1%) were students with disabilities served under the Individuals with Disabilities Education Act (IDEA), and 8 (0.3%) were students with disabilities served solely under Section 504 of the Rehabilitation Act of 1973.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101"/>
      <c r="Y47" s="122"/>
      <c r="Z47" s="57"/>
    </row>
    <row r="48" s="4" customFormat="1" ht="15" customHeight="1" spans="1:24">
      <c r="A48" s="140" t="s">
        <v>37</v>
      </c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8"/>
      <c r="R48" s="58"/>
      <c r="S48" s="58"/>
      <c r="T48" s="58"/>
      <c r="U48" s="58"/>
      <c r="V48" s="58"/>
      <c r="W48" s="59"/>
      <c r="X48" s="59"/>
    </row>
    <row r="49" s="7" customFormat="1" ht="14" customHeight="1" spans="1:26">
      <c r="A49" s="5" t="s">
        <v>38</v>
      </c>
      <c r="B49" s="5"/>
      <c r="C49" s="5"/>
      <c r="D49" s="4"/>
      <c r="E49" s="4"/>
      <c r="F49" s="81"/>
      <c r="G49" s="81"/>
      <c r="H49" s="81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81"/>
      <c r="U49" s="81"/>
      <c r="V49" s="4"/>
      <c r="W49" s="81"/>
      <c r="X49" s="57"/>
      <c r="Y49" s="57"/>
      <c r="Z49" s="57"/>
    </row>
  </sheetData>
  <mergeCells count="17">
    <mergeCell ref="A2:Z2"/>
    <mergeCell ref="E4:R4"/>
    <mergeCell ref="E5:F5"/>
    <mergeCell ref="G5:H5"/>
    <mergeCell ref="I5:J5"/>
    <mergeCell ref="K5:L5"/>
    <mergeCell ref="M5:N5"/>
    <mergeCell ref="O5:P5"/>
    <mergeCell ref="Q5:R5"/>
    <mergeCell ref="A4:A6"/>
    <mergeCell ref="B4:B6"/>
    <mergeCell ref="Y4:Y6"/>
    <mergeCell ref="Z4:Z6"/>
    <mergeCell ref="C4:D5"/>
    <mergeCell ref="S4:T5"/>
    <mergeCell ref="U4:V5"/>
    <mergeCell ref="W4:X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VBM</dc:creator>
  <cp:lastModifiedBy>杨宇航</cp:lastModifiedBy>
  <dcterms:created xsi:type="dcterms:W3CDTF">2015-11-17T03:59:00Z</dcterms:created>
  <dcterms:modified xsi:type="dcterms:W3CDTF">2025-01-31T23:00:59Z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E4874E100E59CA87FBC362676F43E24A_43</vt:lpwstr>
  </property>
  <property fmtid="{D5CDD505-2E9C-101B-9397-08002B2CF9AE}" pid="3" name="KSOProductBuildVer">
    <vt:lpwstr>2052-6.14.0.8924</vt:lpwstr>
  </property>
</Properties>
</file>