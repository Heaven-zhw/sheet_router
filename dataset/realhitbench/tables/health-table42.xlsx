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<sst xmlns="http://schemas.openxmlformats.org/spreadsheetml/2006/main" count="59" uniqueCount="29">
  <si>
    <t xml:space="preserve">Consolidated data </t>
  </si>
  <si>
    <t>Pr1/Oct1 (fold change)</t>
  </si>
  <si>
    <t>Pr2/Oct1 (fold change)</t>
  </si>
  <si>
    <t>Expt-1</t>
  </si>
  <si>
    <t>Expt-2</t>
  </si>
  <si>
    <t>Expt-3</t>
  </si>
  <si>
    <t>Mean</t>
  </si>
  <si>
    <t>SD</t>
  </si>
  <si>
    <t>Set1</t>
  </si>
  <si>
    <t>Uninf</t>
  </si>
  <si>
    <t xml:space="preserve">DC- SAG </t>
  </si>
  <si>
    <t>Set2</t>
  </si>
  <si>
    <t>DC + SAG</t>
  </si>
  <si>
    <t>Set3</t>
  </si>
  <si>
    <t>LDPm 24h</t>
  </si>
  <si>
    <t>Set4</t>
  </si>
  <si>
    <t>Statistics</t>
  </si>
  <si>
    <t>Oneway ANOVA</t>
  </si>
  <si>
    <t>Set1 Vs Set2</t>
  </si>
  <si>
    <t>p=0.002</t>
  </si>
  <si>
    <t>p&lt;0.01</t>
  </si>
  <si>
    <t>p&lt;0.001</t>
  </si>
  <si>
    <t>Set3 Vs Set4</t>
  </si>
  <si>
    <t>p=0.005</t>
  </si>
  <si>
    <t>p=0.007</t>
  </si>
  <si>
    <t>Set2 Vs Set4</t>
  </si>
  <si>
    <t>p=0.627</t>
  </si>
  <si>
    <t>NS</t>
  </si>
  <si>
    <t>p=0.738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</si>
</sst>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0" fillId="0" borderId="0" xfId="0" applyFill="1" applyAlignment="1"/>
    <xf numFmtId="0" fontId="0" fillId="0" borderId="2" xfId="0" applyFill="1" applyBorder="1" applyAlignment="1"/>
    <xf numFmtId="0" fontId="0" fillId="0" borderId="3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0" xfId="0" applyFill="1" applyBorder="1" applyAlignment="1"/>
    <xf numFmtId="0" fontId="1" fillId="0" borderId="5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Fill="1" applyBorder="1" applyAlignment="1"/>
    <xf numFmtId="0" fontId="0" fillId="0" borderId="1" xfId="0" applyFill="1" applyBorder="1" applyAlignment="1"/>
    <xf numFmtId="0" fontId="0" fillId="0" borderId="7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tabSelected="1" workbookViewId="0">
      <selection activeCell="Q16" sqref="Q16"/>
    </sheetView>
  </sheetViews>
  <sheetFormatPr defaultColWidth="8.72727272727273" defaultRowHeight="14"/>
  <cols>
    <col min="1" max="1" width="13.2727272727273" customWidth="1"/>
    <col min="10" max="10" width="13.3636363636364" customWidth="1"/>
  </cols>
  <sheetData>
    <row r="1" spans="1:17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/>
      <c r="B2" s="4"/>
      <c r="C2" s="4"/>
      <c r="D2" s="5" t="s">
        <v>1</v>
      </c>
      <c r="E2" s="6"/>
      <c r="F2" s="7"/>
      <c r="G2" s="3"/>
      <c r="H2" s="8"/>
      <c r="I2" s="2"/>
      <c r="J2" s="3"/>
      <c r="K2" s="4"/>
      <c r="L2" s="4"/>
      <c r="M2" s="5" t="s">
        <v>2</v>
      </c>
      <c r="N2" s="6"/>
      <c r="O2" s="7"/>
      <c r="P2" s="3"/>
      <c r="Q2" s="8"/>
    </row>
    <row r="3" spans="1:17">
      <c r="A3" s="9"/>
      <c r="B3" s="10"/>
      <c r="C3" s="10"/>
      <c r="D3" s="11" t="s">
        <v>3</v>
      </c>
      <c r="E3" s="12" t="s">
        <v>4</v>
      </c>
      <c r="F3" s="13" t="s">
        <v>5</v>
      </c>
      <c r="G3" s="11" t="s">
        <v>6</v>
      </c>
      <c r="H3" s="13" t="s">
        <v>7</v>
      </c>
      <c r="I3" s="2"/>
      <c r="J3" s="9"/>
      <c r="K3" s="10"/>
      <c r="L3" s="10"/>
      <c r="M3" s="11" t="s">
        <v>3</v>
      </c>
      <c r="N3" s="12" t="s">
        <v>4</v>
      </c>
      <c r="O3" s="13" t="s">
        <v>5</v>
      </c>
      <c r="P3" s="11" t="s">
        <v>6</v>
      </c>
      <c r="Q3" s="13" t="s">
        <v>7</v>
      </c>
    </row>
    <row r="4" spans="1:17">
      <c r="A4" s="3" t="s">
        <v>8</v>
      </c>
      <c r="B4" s="4" t="s">
        <v>9</v>
      </c>
      <c r="C4" s="4" t="s">
        <v>10</v>
      </c>
      <c r="D4" s="14">
        <v>1</v>
      </c>
      <c r="E4" s="15">
        <v>1</v>
      </c>
      <c r="F4" s="16">
        <v>1</v>
      </c>
      <c r="G4" s="14">
        <f t="shared" ref="G4:G7" si="0">AVERAGE(D4:F4)</f>
        <v>1</v>
      </c>
      <c r="H4" s="16">
        <f t="shared" ref="H4:H7" si="1">STDEV(D4:F4)</f>
        <v>0</v>
      </c>
      <c r="I4" s="2"/>
      <c r="J4" s="3" t="s">
        <v>8</v>
      </c>
      <c r="K4" s="4" t="s">
        <v>9</v>
      </c>
      <c r="L4" s="4" t="s">
        <v>10</v>
      </c>
      <c r="M4" s="14">
        <v>1</v>
      </c>
      <c r="N4" s="15">
        <v>1</v>
      </c>
      <c r="O4" s="16">
        <v>1</v>
      </c>
      <c r="P4" s="14">
        <f t="shared" ref="P4:P7" si="2">AVERAGE(M4:O4)</f>
        <v>1</v>
      </c>
      <c r="Q4" s="16">
        <f t="shared" ref="Q4:Q7" si="3">STDEV(M4:O4)</f>
        <v>0</v>
      </c>
    </row>
    <row r="5" spans="1:17">
      <c r="A5" s="17" t="s">
        <v>11</v>
      </c>
      <c r="B5" s="18" t="s">
        <v>9</v>
      </c>
      <c r="C5" s="18" t="s">
        <v>12</v>
      </c>
      <c r="D5" s="19">
        <v>4.00964807071901</v>
      </c>
      <c r="E5" s="20">
        <v>3.25824911668048</v>
      </c>
      <c r="F5" s="21">
        <v>4.58942307081563</v>
      </c>
      <c r="G5" s="19">
        <f t="shared" si="0"/>
        <v>3.95244008607171</v>
      </c>
      <c r="H5" s="21">
        <f t="shared" si="1"/>
        <v>0.667428340102896</v>
      </c>
      <c r="I5" s="2"/>
      <c r="J5" s="17" t="s">
        <v>11</v>
      </c>
      <c r="K5" s="18" t="s">
        <v>9</v>
      </c>
      <c r="L5" s="18" t="s">
        <v>12</v>
      </c>
      <c r="M5" s="19">
        <v>5.06696107994107</v>
      </c>
      <c r="N5" s="20">
        <v>4.0804327573714</v>
      </c>
      <c r="O5" s="21">
        <v>3.81921115691686</v>
      </c>
      <c r="P5" s="19">
        <f t="shared" si="2"/>
        <v>4.32220166474311</v>
      </c>
      <c r="Q5" s="21">
        <f t="shared" si="3"/>
        <v>0.658072276448806</v>
      </c>
    </row>
    <row r="6" spans="1:17">
      <c r="A6" s="9" t="s">
        <v>13</v>
      </c>
      <c r="B6" s="10" t="s">
        <v>14</v>
      </c>
      <c r="C6" s="4" t="s">
        <v>10</v>
      </c>
      <c r="D6" s="22">
        <v>1.04523879060903</v>
      </c>
      <c r="E6" s="23">
        <v>0.65392738775384</v>
      </c>
      <c r="F6" s="24">
        <v>1.33496447512506</v>
      </c>
      <c r="G6" s="22">
        <f t="shared" si="0"/>
        <v>1.01137688449598</v>
      </c>
      <c r="H6" s="24">
        <f t="shared" si="1"/>
        <v>0.341778949187886</v>
      </c>
      <c r="I6" s="2"/>
      <c r="J6" s="9" t="s">
        <v>13</v>
      </c>
      <c r="K6" s="10" t="s">
        <v>14</v>
      </c>
      <c r="L6" s="4" t="s">
        <v>10</v>
      </c>
      <c r="M6" s="22">
        <v>0.815365460800503</v>
      </c>
      <c r="N6" s="23">
        <v>1.10279267324683</v>
      </c>
      <c r="O6" s="24">
        <v>0.762976188730635</v>
      </c>
      <c r="P6" s="22">
        <f t="shared" si="2"/>
        <v>0.893711440925989</v>
      </c>
      <c r="Q6" s="24">
        <f t="shared" si="3"/>
        <v>0.182954585180595</v>
      </c>
    </row>
    <row r="7" spans="1:17">
      <c r="A7" s="17" t="s">
        <v>15</v>
      </c>
      <c r="B7" s="18" t="s">
        <v>14</v>
      </c>
      <c r="C7" s="18" t="s">
        <v>12</v>
      </c>
      <c r="D7" s="19">
        <v>3.9978342007505</v>
      </c>
      <c r="E7" s="20">
        <v>2.8115067354138</v>
      </c>
      <c r="F7" s="21">
        <v>4.14752268124443</v>
      </c>
      <c r="G7" s="19">
        <f t="shared" si="0"/>
        <v>3.65228787246958</v>
      </c>
      <c r="H7" s="21">
        <f t="shared" si="1"/>
        <v>0.731974282758451</v>
      </c>
      <c r="I7" s="2"/>
      <c r="J7" s="17" t="s">
        <v>15</v>
      </c>
      <c r="K7" s="18" t="s">
        <v>14</v>
      </c>
      <c r="L7" s="18" t="s">
        <v>12</v>
      </c>
      <c r="M7" s="19">
        <v>5.16334404500329</v>
      </c>
      <c r="N7" s="20">
        <v>3.99736773900821</v>
      </c>
      <c r="O7" s="21">
        <v>3.02538145363154</v>
      </c>
      <c r="P7" s="19">
        <f t="shared" si="2"/>
        <v>4.06203107921435</v>
      </c>
      <c r="Q7" s="21">
        <f t="shared" si="3"/>
        <v>1.07044711275299</v>
      </c>
    </row>
    <row r="8" spans="1:17">
      <c r="A8" s="10"/>
      <c r="B8" s="10"/>
      <c r="C8" s="10"/>
      <c r="D8" s="10"/>
      <c r="E8" s="10"/>
      <c r="F8" s="10"/>
      <c r="G8" s="10"/>
      <c r="H8" s="10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5" t="s">
        <v>16</v>
      </c>
      <c r="B9" s="10" t="s">
        <v>17</v>
      </c>
      <c r="C9" s="2"/>
      <c r="D9" s="2"/>
      <c r="E9" s="2"/>
      <c r="F9" s="2"/>
      <c r="G9" s="2"/>
      <c r="H9" s="2"/>
      <c r="I9" s="2"/>
      <c r="J9" s="25" t="s">
        <v>16</v>
      </c>
      <c r="K9" s="2" t="s">
        <v>17</v>
      </c>
      <c r="L9" s="2"/>
      <c r="M9" s="2"/>
      <c r="N9" s="2"/>
      <c r="O9" s="2"/>
      <c r="P9" s="2"/>
      <c r="Q9" s="2"/>
    </row>
    <row r="10" spans="1:17">
      <c r="A10" s="2" t="s">
        <v>18</v>
      </c>
      <c r="B10" s="2" t="s">
        <v>19</v>
      </c>
      <c r="C10" s="2" t="s">
        <v>20</v>
      </c>
      <c r="D10" s="2"/>
      <c r="E10" s="2"/>
      <c r="F10" s="2"/>
      <c r="G10" s="2"/>
      <c r="H10" s="2"/>
      <c r="I10" s="2"/>
      <c r="J10" s="2" t="s">
        <v>18</v>
      </c>
      <c r="K10" s="2" t="s">
        <v>21</v>
      </c>
      <c r="L10" s="2" t="s">
        <v>21</v>
      </c>
      <c r="M10" s="2"/>
      <c r="N10" s="2"/>
      <c r="O10" s="2"/>
      <c r="P10" s="2"/>
      <c r="Q10" s="2"/>
    </row>
    <row r="11" spans="1:17">
      <c r="A11" s="2" t="s">
        <v>22</v>
      </c>
      <c r="B11" s="2" t="s">
        <v>23</v>
      </c>
      <c r="C11" s="2" t="s">
        <v>20</v>
      </c>
      <c r="D11" s="2"/>
      <c r="E11" s="2"/>
      <c r="F11" s="2"/>
      <c r="G11" s="2"/>
      <c r="H11" s="2"/>
      <c r="I11" s="2"/>
      <c r="J11" s="2" t="s">
        <v>22</v>
      </c>
      <c r="K11" s="2" t="s">
        <v>24</v>
      </c>
      <c r="L11" s="2" t="s">
        <v>20</v>
      </c>
      <c r="M11" s="2"/>
      <c r="N11" s="2"/>
      <c r="O11" s="2"/>
      <c r="P11" s="2"/>
      <c r="Q11" s="2"/>
    </row>
    <row r="12" spans="1:17">
      <c r="A12" s="2" t="s">
        <v>25</v>
      </c>
      <c r="B12" s="2" t="s">
        <v>26</v>
      </c>
      <c r="C12" s="2" t="s">
        <v>27</v>
      </c>
      <c r="D12" s="2"/>
      <c r="E12" s="2"/>
      <c r="F12" s="2"/>
      <c r="G12" s="2"/>
      <c r="H12" s="2"/>
      <c r="I12" s="2"/>
      <c r="J12" s="2" t="s">
        <v>25</v>
      </c>
      <c r="K12" s="2" t="s">
        <v>28</v>
      </c>
      <c r="L12" s="2" t="s">
        <v>27</v>
      </c>
      <c r="M12" s="2"/>
      <c r="N12" s="2"/>
      <c r="O12" s="2"/>
      <c r="P12" s="2"/>
      <c r="Q12" s="2"/>
    </row>
  </sheetData>
  <mergeCells count="3">
    <mergeCell ref="A1:C1"/>
    <mergeCell ref="D2:F2"/>
    <mergeCell ref="M2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2024-12-05T13:17:00Z</dcterms:created>
  <dcterms:modified xsi:type="dcterms:W3CDTF">2024-12-26T09:21:12Z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DD93FF8282764377BE8484DEB2EFDC8C_11</vt:lpwstr>
  </property>
  <property fmtid="{D5CDD505-2E9C-101B-9397-08002B2CF9AE}" pid="3" name="KSOProductBuildVer">
    <vt:lpwstr>2052-12.1.0.19302</vt:lpwstr>
  </property>
</Properties>
</file>