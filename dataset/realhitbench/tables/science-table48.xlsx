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<sst xmlns="http://schemas.openxmlformats.org/spreadsheetml/2006/main" count="9" uniqueCount="6">
  <si>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black</t>
  </si>
  <si>
    <t>purple</t>
  </si>
  <si>
    <t>clone size</t>
  </si>
  <si>
    <t>cumulative probability</t>
  </si>
  <si>
    <t>dashed line</t>
  </si>
  <si>
    <t>1.70879757421078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</si>
</sst>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1" fillId="0" borderId="0" xfId="49"/>
    <xf numFmtId="0" fontId="1" fillId="0" borderId="0" xfId="49" applyAlignment="1">
      <alignment horizontal="center"/>
    </xf>
    <xf numFmtId="0" fontId="1" fillId="0" borderId="0" xfId="49" applyAlignment="1">
      <alignment wrapText="1"/>
    </xf>
    <xf numFmtId="0" fontId="1" fillId="0" borderId="0" xfId="49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tabSelected="1" workbookViewId="0">
      <selection activeCell="D9" sqref="D9"/>
    </sheetView>
  </sheetViews>
  <sheetFormatPr defaultColWidth="12.5925925925926" defaultRowHeight="15.6"/>
  <cols>
    <col min="1" max="1" width="14" style="1"/>
    <col min="2" max="3" width="14.3333333333333" style="1"/>
    <col min="4" max="4" width="14" style="1"/>
    <col min="5" max="6" width="14.3333333333333" style="1"/>
    <col min="7" max="7" width="12.5925925925926" style="1"/>
    <col min="8" max="8" width="14" style="1"/>
    <col min="9" max="9" width="19.7314814814815" style="1" customWidth="1"/>
    <col min="10" max="16384" width="12.5925925925926" style="1"/>
  </cols>
  <sheetData>
    <row r="1" s="1" customFormat="1" spans="1:6">
      <c r="A1" s="2" t="s">
        <v>0</v>
      </c>
      <c r="B1" s="2"/>
      <c r="C1" s="2"/>
      <c r="D1" s="2" t="s">
        <v>1</v>
      </c>
      <c r="E1" s="2"/>
      <c r="F1" s="2"/>
    </row>
    <row r="2" s="1" customFormat="1" ht="31.2" spans="1:9">
      <c r="A2" s="1" t="s">
        <v>2</v>
      </c>
      <c r="B2" s="3" t="s">
        <v>3</v>
      </c>
      <c r="C2" s="3" t="s">
        <v>4</v>
      </c>
      <c r="D2" s="1" t="s">
        <v>2</v>
      </c>
      <c r="E2" s="3" t="s">
        <v>3</v>
      </c>
      <c r="F2" s="3" t="s">
        <v>4</v>
      </c>
      <c r="G2" s="3"/>
      <c r="H2" s="3"/>
      <c r="I2" s="3"/>
    </row>
    <row r="3" s="1" customFormat="1" spans="1:6">
      <c r="A3" s="1">
        <v>1</v>
      </c>
      <c r="B3" s="1">
        <v>0.923913043478261</v>
      </c>
      <c r="C3" s="1">
        <f t="shared" ref="C3:C54" si="0">ERFC(0.2*(LN(A3)-5.8)/SQRT(2))/2</f>
        <v>0.876975596948657</v>
      </c>
      <c r="D3" s="1">
        <v>1</v>
      </c>
      <c r="E3" s="1">
        <v>0.967213114754098</v>
      </c>
      <c r="F3" s="1">
        <f t="shared" ref="F3:F54" si="1">ERFC(0.45*(LN(D3)-5.3)/SQRT(2))/2</f>
        <v>0.991460439323318</v>
      </c>
    </row>
    <row r="4" s="1" customFormat="1" spans="1:6">
      <c r="A4" s="1">
        <v>1.19553842655693</v>
      </c>
      <c r="B4" s="1">
        <v>0.923913043478261</v>
      </c>
      <c r="C4" s="1">
        <f t="shared" si="0"/>
        <v>0.869553011961025</v>
      </c>
      <c r="D4" s="1">
        <v>1.14876556510599</v>
      </c>
      <c r="E4" s="1">
        <v>0.967213114754098</v>
      </c>
      <c r="F4" s="1">
        <f t="shared" si="1"/>
        <v>0.989899417209598</v>
      </c>
    </row>
    <row r="5" s="1" customFormat="1" spans="1:6">
      <c r="A5" s="1">
        <v>1.42931212937422</v>
      </c>
      <c r="B5" s="1">
        <v>0.923913043478261</v>
      </c>
      <c r="C5" s="1">
        <f t="shared" si="0"/>
        <v>0.861826313528706</v>
      </c>
      <c r="D5" s="1">
        <v>1.31966232357329</v>
      </c>
      <c r="E5" s="1">
        <v>0.967213114754098</v>
      </c>
      <c r="F5" s="1">
        <f t="shared" si="1"/>
        <v>0.988094985566487</v>
      </c>
    </row>
    <row r="6" s="1" customFormat="1" spans="1:6">
      <c r="A6" s="4" t="s">
        <v>5</v>
      </c>
      <c r="B6" s="1">
        <v>0.923913043478261</v>
      </c>
      <c r="C6" s="1">
        <f t="shared" si="0"/>
        <v>0.85379329624865</v>
      </c>
      <c r="D6" s="1">
        <v>1.51598263488876</v>
      </c>
      <c r="E6" s="1">
        <v>0.967213114754098</v>
      </c>
      <c r="F6" s="1">
        <f t="shared" si="1"/>
        <v>0.986017295303975</v>
      </c>
    </row>
    <row r="7" s="1" customFormat="1" spans="1:6">
      <c r="A7" s="1">
        <v>2.04293316317625</v>
      </c>
      <c r="B7" s="1">
        <v>0.880434782608696</v>
      </c>
      <c r="C7" s="1">
        <f t="shared" si="0"/>
        <v>0.84545246383366</v>
      </c>
      <c r="D7" s="1">
        <v>1.74150864825887</v>
      </c>
      <c r="E7" s="1">
        <v>0.967213114754098</v>
      </c>
      <c r="F7" s="1">
        <f t="shared" si="1"/>
        <v>0.983634261706711</v>
      </c>
    </row>
    <row r="8" s="1" customFormat="1" spans="1:6">
      <c r="A8" s="1">
        <v>2.44240509946471</v>
      </c>
      <c r="B8" s="1">
        <v>0.880434782608696</v>
      </c>
      <c r="C8" s="1">
        <f t="shared" si="0"/>
        <v>0.836803062578764</v>
      </c>
      <c r="D8" s="1">
        <v>2.00058516645407</v>
      </c>
      <c r="E8" s="1">
        <v>0.950819672131147</v>
      </c>
      <c r="F8" s="1">
        <f t="shared" si="1"/>
        <v>0.98091163238615</v>
      </c>
    </row>
    <row r="9" s="1" customFormat="1" spans="1:6">
      <c r="A9" s="1">
        <v>2.91998914962865</v>
      </c>
      <c r="B9" s="1">
        <v>0.880434782608696</v>
      </c>
      <c r="C9" s="1">
        <f t="shared" si="0"/>
        <v>0.827845112251644</v>
      </c>
      <c r="D9" s="1">
        <v>2.29820334928428</v>
      </c>
      <c r="E9" s="1">
        <v>0.950819672131147</v>
      </c>
      <c r="F9" s="1">
        <f t="shared" si="1"/>
        <v>0.977813101281725</v>
      </c>
    </row>
    <row r="10" s="1" customFormat="1" spans="1:6">
      <c r="A10" s="1">
        <v>3.49095923351034</v>
      </c>
      <c r="B10" s="1">
        <v>0.858695652173913</v>
      </c>
      <c r="C10" s="1">
        <f t="shared" si="0"/>
        <v>0.818579434109686</v>
      </c>
      <c r="D10" s="1">
        <v>2.64009686926905</v>
      </c>
      <c r="E10" s="1">
        <v>0.950819672131147</v>
      </c>
      <c r="F10" s="1">
        <f t="shared" si="1"/>
        <v>0.974300472996564</v>
      </c>
    </row>
    <row r="11" s="1" customFormat="1" spans="1:6">
      <c r="A11" s="1">
        <v>4.17357590920534</v>
      </c>
      <c r="B11" s="1">
        <v>0.83695652173913</v>
      </c>
      <c r="C11" s="1">
        <f t="shared" si="0"/>
        <v>0.809007675757575</v>
      </c>
      <c r="D11" s="1">
        <v>3.03285237196042</v>
      </c>
      <c r="E11" s="1">
        <v>0.950819672131147</v>
      </c>
      <c r="F11" s="1">
        <f t="shared" si="1"/>
        <v>0.970333881110331</v>
      </c>
    </row>
    <row r="12" s="1" customFormat="1" spans="1:6">
      <c r="A12" s="1">
        <v>4.98967037560725</v>
      </c>
      <c r="B12" s="1">
        <v>0.83695652173913</v>
      </c>
      <c r="C12" s="1">
        <f t="shared" si="0"/>
        <v>0.799132332573756</v>
      </c>
      <c r="D12" s="1">
        <v>3.48403636895817</v>
      </c>
      <c r="E12" s="1">
        <v>0.950819672131147</v>
      </c>
      <c r="F12" s="1">
        <f t="shared" si="1"/>
        <v>0.965872063273245</v>
      </c>
    </row>
    <row r="13" s="1" customFormat="1" spans="1:6">
      <c r="A13" s="1">
        <v>5.96534266989121</v>
      </c>
      <c r="B13" s="1">
        <v>0.826086956521739</v>
      </c>
      <c r="C13" s="1">
        <f t="shared" si="0"/>
        <v>0.788956765451413</v>
      </c>
      <c r="D13" s="1">
        <v>4.00234100823607</v>
      </c>
      <c r="E13" s="1">
        <v>0.918032786885246</v>
      </c>
      <c r="F13" s="1">
        <f t="shared" si="1"/>
        <v>0.960872694852141</v>
      </c>
    </row>
    <row r="14" s="1" customFormat="1" spans="1:6">
      <c r="A14" s="1">
        <v>7.13179638943464</v>
      </c>
      <c r="B14" s="1">
        <v>0.782608695652174</v>
      </c>
      <c r="C14" s="1">
        <f t="shared" si="0"/>
        <v>0.778485214619862</v>
      </c>
      <c r="D14" s="1">
        <v>4.5977515300732</v>
      </c>
      <c r="E14" s="1">
        <v>0.918032786885246</v>
      </c>
      <c r="F14" s="1">
        <f t="shared" si="1"/>
        <v>0.955292781679565</v>
      </c>
    </row>
    <row r="15" s="1" customFormat="1" spans="1:6">
      <c r="A15" s="1">
        <v>8.52633663394907</v>
      </c>
      <c r="B15" s="1">
        <v>0.771739130434783</v>
      </c>
      <c r="C15" s="1">
        <f t="shared" si="0"/>
        <v>0.767722809335274</v>
      </c>
      <c r="D15" s="1">
        <v>5.28173863466149</v>
      </c>
      <c r="E15" s="1">
        <v>0.918032786885246</v>
      </c>
      <c r="F15" s="1">
        <f t="shared" si="1"/>
        <v>0.949089111066632</v>
      </c>
    </row>
    <row r="16" s="1" customFormat="1" spans="1:6">
      <c r="A16" s="1">
        <v>10.1935630836462</v>
      </c>
      <c r="B16" s="1">
        <v>0.760869565217391</v>
      </c>
      <c r="C16" s="1">
        <f t="shared" si="0"/>
        <v>0.756675573255263</v>
      </c>
      <c r="D16" s="1">
        <v>6.06747946738906</v>
      </c>
      <c r="E16" s="1">
        <v>0.918032786885246</v>
      </c>
      <c r="F16" s="1">
        <f t="shared" si="1"/>
        <v>0.942218758704057</v>
      </c>
    </row>
    <row r="17" s="1" customFormat="1" spans="1:6">
      <c r="A17" s="1">
        <v>12.1867963700311</v>
      </c>
      <c r="B17" s="1">
        <v>0.760869565217391</v>
      </c>
      <c r="C17" s="1">
        <f t="shared" si="0"/>
        <v>0.745350425339981</v>
      </c>
      <c r="D17" s="1">
        <v>6.97011147912422</v>
      </c>
      <c r="E17" s="1">
        <v>0.918032786885246</v>
      </c>
      <c r="F17" s="1">
        <f t="shared" si="1"/>
        <v>0.934639647426367</v>
      </c>
    </row>
    <row r="18" s="1" customFormat="1" spans="1:6">
      <c r="A18" s="1">
        <v>14.5697833569967</v>
      </c>
      <c r="B18" s="1">
        <v>0.728260869565217</v>
      </c>
      <c r="C18" s="1">
        <f t="shared" si="0"/>
        <v>0.733755176152624</v>
      </c>
      <c r="D18" s="1">
        <v>8.00702405216791</v>
      </c>
      <c r="E18" s="1">
        <v>0.901639344262295</v>
      </c>
      <c r="F18" s="1">
        <f t="shared" si="1"/>
        <v>0.926311152092594</v>
      </c>
    </row>
    <row r="19" s="1" customFormat="1" spans="1:6">
      <c r="A19" s="1">
        <v>17.4187358698991</v>
      </c>
      <c r="B19" s="1">
        <v>0.717391304347826</v>
      </c>
      <c r="C19" s="1">
        <f t="shared" si="0"/>
        <v>0.721898519464559</v>
      </c>
      <c r="D19" s="1">
        <v>9.19819351010595</v>
      </c>
      <c r="E19" s="1">
        <v>0.901639344262295</v>
      </c>
      <c r="F19" s="1">
        <f t="shared" si="1"/>
        <v>0.917194743091066</v>
      </c>
    </row>
    <row r="20" s="1" customFormat="1" spans="1:6">
      <c r="A20" s="1">
        <v>20.8247680745099</v>
      </c>
      <c r="B20" s="1">
        <v>0.717391304347826</v>
      </c>
      <c r="C20" s="1">
        <f t="shared" si="0"/>
        <v>0.709790019104213</v>
      </c>
      <c r="D20" s="1">
        <v>10.5665679655912</v>
      </c>
      <c r="E20" s="1">
        <v>0.885245901639344</v>
      </c>
      <c r="F20" s="1">
        <f t="shared" si="1"/>
        <v>0.907254659260499</v>
      </c>
    </row>
    <row r="21" s="1" customFormat="1" spans="1:6">
      <c r="A21" s="1">
        <v>24.8968104572126</v>
      </c>
      <c r="B21" s="1">
        <v>0.706521739130435</v>
      </c>
      <c r="C21" s="1">
        <f t="shared" si="0"/>
        <v>0.697440091024206</v>
      </c>
      <c r="D21" s="1">
        <v>12.1385094202232</v>
      </c>
      <c r="E21" s="1">
        <v>0.885245901639344</v>
      </c>
      <c r="F21" s="1">
        <f t="shared" si="1"/>
        <v>0.896458599393466</v>
      </c>
    </row>
    <row r="22" s="1" customFormat="1" spans="1:6">
      <c r="A22" s="1">
        <v>29.765093600302</v>
      </c>
      <c r="B22" s="1">
        <v>0.695652173913043</v>
      </c>
      <c r="C22" s="1">
        <f t="shared" si="0"/>
        <v>0.684859980597614</v>
      </c>
      <c r="D22" s="1">
        <v>13.9443016336672</v>
      </c>
      <c r="E22" s="1">
        <v>0.885245901639344</v>
      </c>
      <c r="F22" s="1">
        <f t="shared" si="1"/>
        <v>0.884778420013057</v>
      </c>
    </row>
    <row r="23" s="1" customFormat="1" spans="1:6">
      <c r="A23" s="1">
        <v>35.5853131692247</v>
      </c>
      <c r="B23" s="1">
        <v>0.695652173913043</v>
      </c>
      <c r="C23" s="1">
        <f t="shared" si="0"/>
        <v>0.672061735191297</v>
      </c>
      <c r="D23" s="1">
        <v>16.0187335462081</v>
      </c>
      <c r="E23" s="1">
        <v>0.885245901639344</v>
      </c>
      <c r="F23" s="1">
        <f t="shared" si="1"/>
        <v>0.87219082585124</v>
      </c>
    </row>
    <row r="24" s="1" customFormat="1" spans="1:6">
      <c r="A24" s="1">
        <v>42.5436093148705</v>
      </c>
      <c r="B24" s="1">
        <v>0.663043478260869</v>
      </c>
      <c r="C24" s="1">
        <f t="shared" si="0"/>
        <v>0.659058172101688</v>
      </c>
      <c r="D24" s="1">
        <v>18.4017694944921</v>
      </c>
      <c r="E24" s="1">
        <v>0.868852459016393</v>
      </c>
      <c r="F24" s="1">
        <f t="shared" si="1"/>
        <v>0.858678038468093</v>
      </c>
    </row>
    <row r="25" s="1" customFormat="1" spans="1:6">
      <c r="A25" s="1">
        <v>50.8625197403529</v>
      </c>
      <c r="B25" s="1">
        <v>0.641304347826087</v>
      </c>
      <c r="C25" s="1">
        <f t="shared" si="0"/>
        <v>0.645862841975766</v>
      </c>
      <c r="D25" s="1">
        <v>21.1393191322904</v>
      </c>
      <c r="E25" s="1">
        <v>0.836065573770492</v>
      </c>
      <c r="F25" s="1">
        <f t="shared" si="1"/>
        <v>0.844228427790096</v>
      </c>
    </row>
    <row r="26" s="1" customFormat="1" spans="1:6">
      <c r="A26" s="1">
        <v>60.8080968211022</v>
      </c>
      <c r="B26" s="1">
        <v>0.630434782608695</v>
      </c>
      <c r="C26" s="1">
        <f t="shared" si="0"/>
        <v>0.632489987876894</v>
      </c>
      <c r="D26" s="1">
        <v>24.2841218889616</v>
      </c>
      <c r="E26" s="1">
        <v>0.836065573770492</v>
      </c>
      <c r="F26" s="1">
        <f t="shared" si="1"/>
        <v>0.828837091061183</v>
      </c>
    </row>
    <row r="27" s="1" customFormat="1" spans="1:6">
      <c r="A27" s="1">
        <v>72.6984163954219</v>
      </c>
      <c r="B27" s="1">
        <v>0.608695652173913</v>
      </c>
      <c r="C27" s="1">
        <f t="shared" si="0"/>
        <v>0.618954500191316</v>
      </c>
      <c r="D27" s="1">
        <v>27.8967630048758</v>
      </c>
      <c r="E27" s="1">
        <v>0.819672131147541</v>
      </c>
      <c r="F27" s="1">
        <f t="shared" si="1"/>
        <v>0.812506363830537</v>
      </c>
    </row>
    <row r="28" s="1" customFormat="1" spans="1:6">
      <c r="A28" s="1">
        <v>86.9137503505631</v>
      </c>
      <c r="B28" s="1">
        <v>0.597826086956521</v>
      </c>
      <c r="C28" s="1">
        <f t="shared" si="0"/>
        <v>0.605271867606014</v>
      </c>
      <c r="D28" s="1">
        <v>32.0468407179241</v>
      </c>
      <c r="E28" s="1">
        <v>0.80327868852459</v>
      </c>
      <c r="F28" s="1">
        <f t="shared" si="1"/>
        <v>0.795246248172469</v>
      </c>
    </row>
    <row r="29" s="1" customFormat="1" spans="1:6">
      <c r="A29" s="1">
        <v>103.908728340274</v>
      </c>
      <c r="B29" s="1">
        <v>0.58695652173913</v>
      </c>
      <c r="C29" s="1">
        <f t="shared" si="0"/>
        <v>0.59145812442196</v>
      </c>
      <c r="D29" s="1">
        <v>36.8143070871879</v>
      </c>
      <c r="E29" s="1">
        <v>0.786885245901639</v>
      </c>
      <c r="F29" s="1">
        <f t="shared" si="1"/>
        <v>0.777074744358218</v>
      </c>
    </row>
    <row r="30" s="1" customFormat="1" spans="1:6">
      <c r="A30" s="1">
        <v>124.226877585462</v>
      </c>
      <c r="B30" s="1">
        <v>0.576086956521739</v>
      </c>
      <c r="C30" s="1">
        <f t="shared" si="0"/>
        <v>0.577529794498201</v>
      </c>
      <c r="D30" s="1">
        <v>42.291008284999</v>
      </c>
      <c r="E30" s="1">
        <v>0.754098360655737</v>
      </c>
      <c r="F30" s="1">
        <f t="shared" si="1"/>
        <v>0.758018073674002</v>
      </c>
    </row>
    <row r="31" s="1" customFormat="1" spans="1:6">
      <c r="A31" s="1">
        <v>148.518005764604</v>
      </c>
      <c r="B31" s="1">
        <v>0.576086956521739</v>
      </c>
      <c r="C31" s="1">
        <f t="shared" si="0"/>
        <v>0.563503832151291</v>
      </c>
      <c r="D31" s="1">
        <v>48.5824540314192</v>
      </c>
      <c r="E31" s="1">
        <v>0.737704918032787</v>
      </c>
      <c r="F31" s="1">
        <f t="shared" si="1"/>
        <v>0.738110781984311</v>
      </c>
    </row>
    <row r="32" s="1" customFormat="1" spans="1:6">
      <c r="A32" s="1">
        <v>177.558982927187</v>
      </c>
      <c r="B32" s="1">
        <v>0.521739130434782</v>
      </c>
      <c r="C32" s="1">
        <f t="shared" si="0"/>
        <v>0.549397560361116</v>
      </c>
      <c r="D32" s="1">
        <v>55.8098502596392</v>
      </c>
      <c r="E32" s="1">
        <v>0.704918032786885</v>
      </c>
      <c r="F32" s="1">
        <f t="shared" si="1"/>
        <v>0.717395715938164</v>
      </c>
    </row>
    <row r="33" s="1" customFormat="1" spans="1:6">
      <c r="A33" s="1">
        <v>212.278587069818</v>
      </c>
      <c r="B33" s="1">
        <v>0.478260869565217</v>
      </c>
      <c r="C33" s="1">
        <f t="shared" si="0"/>
        <v>0.535228606657685</v>
      </c>
      <c r="D33" s="1">
        <v>64.1124341719953</v>
      </c>
      <c r="E33" s="1">
        <v>0.655737704918032</v>
      </c>
      <c r="F33" s="1">
        <f t="shared" si="1"/>
        <v>0.695923866356398</v>
      </c>
    </row>
    <row r="34" s="1" customFormat="1" spans="1:6">
      <c r="A34" s="1">
        <v>253.787207977178</v>
      </c>
      <c r="B34" s="1">
        <v>0.456521739130434</v>
      </c>
      <c r="C34" s="1">
        <f t="shared" si="0"/>
        <v>0.521014837083948</v>
      </c>
      <c r="D34" s="1">
        <v>73.6501566719131</v>
      </c>
      <c r="E34" s="1">
        <v>0.622950819672131</v>
      </c>
      <c r="F34" s="1">
        <f t="shared" si="1"/>
        <v>0.673754076252984</v>
      </c>
    </row>
    <row r="35" s="1" customFormat="1" spans="1:6">
      <c r="A35" s="1">
        <v>303.412359305311</v>
      </c>
      <c r="B35" s="1">
        <v>0.445652173913043</v>
      </c>
      <c r="C35" s="1">
        <f t="shared" si="0"/>
        <v>0.50677428864663</v>
      </c>
      <c r="D35" s="1">
        <v>84.6067638493553</v>
      </c>
      <c r="E35" s="1">
        <v>0.60655737704918</v>
      </c>
      <c r="F35" s="1">
        <f t="shared" si="1"/>
        <v>0.650952614052701</v>
      </c>
    </row>
    <row r="36" s="1" customFormat="1" spans="1:6">
      <c r="A36" s="1">
        <v>362.741134641797</v>
      </c>
      <c r="B36" s="1">
        <v>0.413043478260869</v>
      </c>
      <c r="C36" s="1">
        <f t="shared" si="0"/>
        <v>0.492525100680551</v>
      </c>
      <c r="D36" s="1">
        <v>97.193336885194</v>
      </c>
      <c r="E36" s="1">
        <v>0.557377049180327</v>
      </c>
      <c r="F36" s="1">
        <f t="shared" si="1"/>
        <v>0.627592615780871</v>
      </c>
    </row>
    <row r="37" s="1" customFormat="1" spans="1:6">
      <c r="A37" s="1">
        <v>433.670965357129</v>
      </c>
      <c r="B37" s="1">
        <v>0.369565217391304</v>
      </c>
      <c r="C37" s="1">
        <f t="shared" si="0"/>
        <v>0.478285445561518</v>
      </c>
      <c r="D37" s="1">
        <v>111.652358571457</v>
      </c>
      <c r="E37" s="1">
        <v>0.508196721311475</v>
      </c>
      <c r="F37" s="1">
        <f t="shared" si="1"/>
        <v>0.603753403220776</v>
      </c>
    </row>
    <row r="38" s="1" customFormat="1" spans="1:6">
      <c r="A38" s="1">
        <v>518.470303566485</v>
      </c>
      <c r="B38" s="1">
        <v>0.347826086956521</v>
      </c>
      <c r="C38" s="1">
        <f t="shared" si="0"/>
        <v>0.464073459208709</v>
      </c>
      <c r="D38" s="1">
        <v>128.262384789757</v>
      </c>
      <c r="E38" s="1">
        <v>0.426229508196721</v>
      </c>
      <c r="F38" s="1">
        <f t="shared" si="1"/>
        <v>0.5795196881596</v>
      </c>
    </row>
    <row r="39" s="1" customFormat="1" spans="1:6">
      <c r="A39" s="1">
        <v>619.851170942369</v>
      </c>
      <c r="B39" s="1">
        <v>0.293478260869565</v>
      </c>
      <c r="C39" s="1">
        <f t="shared" si="0"/>
        <v>0.449907171819323</v>
      </c>
      <c r="D39" s="1">
        <v>147.343410944848</v>
      </c>
      <c r="E39" s="1">
        <v>0.393442622950819</v>
      </c>
      <c r="F39" s="1">
        <f t="shared" si="1"/>
        <v>0.55498067577347</v>
      </c>
    </row>
    <row r="40" s="1" customFormat="1" spans="1:6">
      <c r="A40" s="1">
        <v>741.055893607909</v>
      </c>
      <c r="B40" s="1">
        <v>0.271739130434782</v>
      </c>
      <c r="C40" s="1">
        <f t="shared" si="0"/>
        <v>0.435804439276217</v>
      </c>
      <c r="D40" s="1">
        <v>169.263036738703</v>
      </c>
      <c r="E40" s="1">
        <v>0.344262295081967</v>
      </c>
      <c r="F40" s="1">
        <f t="shared" si="1"/>
        <v>0.530229082839707</v>
      </c>
    </row>
    <row r="41" s="1" customFormat="1" spans="1:6">
      <c r="A41" s="1">
        <v>885.960797034739</v>
      </c>
      <c r="B41" s="1">
        <v>0.228260869565217</v>
      </c>
      <c r="C41" s="1">
        <f t="shared" si="0"/>
        <v>0.421782875663247</v>
      </c>
      <c r="D41" s="1">
        <v>194.443548050692</v>
      </c>
      <c r="E41" s="1">
        <v>0.262295081967213</v>
      </c>
      <c r="F41" s="1">
        <f t="shared" si="1"/>
        <v>0.505360088721306</v>
      </c>
    </row>
    <row r="42" s="1" customFormat="1" spans="1:6">
      <c r="A42" s="1">
        <v>1059.20017727803</v>
      </c>
      <c r="B42" s="1">
        <v>0.163043478260869</v>
      </c>
      <c r="C42" s="1">
        <f t="shared" si="0"/>
        <v>0.407859787313173</v>
      </c>
      <c r="D42" s="1">
        <v>223.370052357668</v>
      </c>
      <c r="E42" s="1">
        <v>0.21311475409836</v>
      </c>
      <c r="F42" s="1">
        <f t="shared" si="1"/>
        <v>0.480470238868041</v>
      </c>
    </row>
    <row r="43" s="1" customFormat="1" spans="1:6">
      <c r="A43" s="1">
        <v>1266.3145133518</v>
      </c>
      <c r="B43" s="1">
        <v>0.141304347826087</v>
      </c>
      <c r="C43" s="1">
        <f t="shared" si="0"/>
        <v>0.394052108799422</v>
      </c>
      <c r="D43" s="1">
        <v>256.599824424412</v>
      </c>
      <c r="E43" s="1">
        <v>0.163934426229508</v>
      </c>
      <c r="F43" s="1">
        <f t="shared" si="1"/>
        <v>0.455656321858767</v>
      </c>
    </row>
    <row r="44" s="1" customFormat="1" spans="1:6">
      <c r="A44" s="1">
        <v>1513.92766081881</v>
      </c>
      <c r="B44" s="1">
        <v>0.141304347826087</v>
      </c>
      <c r="C44" s="1">
        <f t="shared" si="0"/>
        <v>0.380376341265776</v>
      </c>
      <c r="D44" s="1">
        <v>294.773042311009</v>
      </c>
      <c r="E44" s="1">
        <v>0.131147540983606</v>
      </c>
      <c r="F44" s="1">
        <f t="shared" si="1"/>
        <v>0.431014241725978</v>
      </c>
    </row>
    <row r="45" s="1" customFormat="1" spans="1:6">
      <c r="A45" s="1">
        <v>1809.95869353633</v>
      </c>
      <c r="B45" s="1">
        <v>0.0869565217391301</v>
      </c>
      <c r="C45" s="1">
        <f t="shared" si="0"/>
        <v>0.366848493467528</v>
      </c>
      <c r="D45" s="1">
        <v>338.625120528419</v>
      </c>
      <c r="E45" s="1">
        <v>0.0655737704918028</v>
      </c>
      <c r="F45" s="1">
        <f t="shared" si="1"/>
        <v>0.406637907431693</v>
      </c>
    </row>
    <row r="46" s="1" customFormat="1" spans="1:6">
      <c r="A46" s="1">
        <v>2163.87516860346</v>
      </c>
      <c r="B46" s="1">
        <v>0.0652173913043475</v>
      </c>
      <c r="C46" s="1">
        <f t="shared" si="0"/>
        <v>0.35348402587388</v>
      </c>
      <c r="D46" s="1">
        <v>389.000877942915</v>
      </c>
      <c r="E46" s="1">
        <v>0.0655737704918028</v>
      </c>
      <c r="F46" s="1">
        <f t="shared" si="1"/>
        <v>0.382618160898737</v>
      </c>
    </row>
    <row r="47" s="1" customFormat="1" spans="1:6">
      <c r="A47" s="1">
        <v>2586.99591433779</v>
      </c>
      <c r="B47" s="1">
        <v>0.0434782608695649</v>
      </c>
      <c r="C47" s="1">
        <f t="shared" si="0"/>
        <v>0.34029779815474</v>
      </c>
      <c r="D47" s="1">
        <v>446.870813376821</v>
      </c>
      <c r="E47" s="1">
        <v>0.0655737704918028</v>
      </c>
      <c r="F47" s="1">
        <f t="shared" si="1"/>
        <v>0.359041763959732</v>
      </c>
    </row>
    <row r="48" s="1" customFormat="1" spans="1:6">
      <c r="A48" s="1">
        <v>3092.8530249366</v>
      </c>
      <c r="B48" s="1">
        <v>0.0217391304347823</v>
      </c>
      <c r="C48" s="1">
        <f t="shared" si="0"/>
        <v>0.327304020345855</v>
      </c>
      <c r="D48" s="1">
        <v>513.349802458199</v>
      </c>
      <c r="E48" s="1">
        <v>0.049180327868852</v>
      </c>
      <c r="F48" s="1">
        <f t="shared" si="1"/>
        <v>0.335990463003649</v>
      </c>
    </row>
    <row r="49" s="1" customFormat="1" spans="1:6">
      <c r="A49" s="1">
        <v>3697.62463900454</v>
      </c>
      <c r="B49" s="1">
        <v>0.0217391304347823</v>
      </c>
      <c r="C49" s="1">
        <f t="shared" si="0"/>
        <v>0.314516207954727</v>
      </c>
      <c r="D49" s="1">
        <v>589.718575917942</v>
      </c>
      <c r="E49" s="1">
        <v>0.0327868852459011</v>
      </c>
      <c r="F49" s="1">
        <f t="shared" si="1"/>
        <v>0.313540148031274</v>
      </c>
    </row>
    <row r="50" s="1" customFormat="1" spans="1:6">
      <c r="A50" s="1">
        <v>4420.65234291362</v>
      </c>
      <c r="B50" s="1">
        <v>0.0217391304347823</v>
      </c>
      <c r="C50" s="1">
        <f t="shared" si="0"/>
        <v>0.301947141236322</v>
      </c>
      <c r="D50" s="1">
        <v>677.448393117877</v>
      </c>
      <c r="E50" s="1">
        <v>0.0327868852459011</v>
      </c>
      <c r="F50" s="1">
        <f t="shared" si="1"/>
        <v>0.291760120347055</v>
      </c>
    </row>
    <row r="51" s="1" customFormat="1" spans="1:6">
      <c r="A51" s="1">
        <v>5285.05974640215</v>
      </c>
      <c r="B51" s="1">
        <v>0.0217391304347823</v>
      </c>
      <c r="C51" s="1">
        <f t="shared" si="0"/>
        <v>0.289608828832621</v>
      </c>
      <c r="D51" s="1">
        <v>778.229386150206</v>
      </c>
      <c r="E51" s="1">
        <v>0.0327868852459011</v>
      </c>
      <c r="F51" s="1">
        <f t="shared" si="1"/>
        <v>0.27071248029942</v>
      </c>
    </row>
    <row r="52" s="1" customFormat="1" spans="1:6">
      <c r="A52" s="1">
        <v>6318.49201347298</v>
      </c>
      <c r="B52" s="1">
        <v>0.010869565217391</v>
      </c>
      <c r="C52" s="1">
        <f t="shared" si="0"/>
        <v>0.277512475933885</v>
      </c>
      <c r="D52" s="1">
        <v>894.003120562933</v>
      </c>
      <c r="E52" s="1">
        <v>0.0163934426229503</v>
      </c>
      <c r="F52" s="1">
        <f t="shared" si="1"/>
        <v>0.250451643428384</v>
      </c>
    </row>
    <row r="53" s="1" customFormat="1" spans="1:6">
      <c r="A53" s="1">
        <v>7554</v>
      </c>
      <c r="B53" s="1">
        <v>0</v>
      </c>
      <c r="C53" s="1">
        <f t="shared" si="0"/>
        <v>0.265668457082542</v>
      </c>
      <c r="D53" s="1">
        <v>1027</v>
      </c>
      <c r="E53" s="1">
        <v>0.0163934426229503</v>
      </c>
      <c r="F53" s="1">
        <f t="shared" si="1"/>
        <v>0.231023990187667</v>
      </c>
    </row>
    <row r="54" s="1" customFormat="1" spans="1:6">
      <c r="A54" s="1">
        <v>9031.09727421103</v>
      </c>
      <c r="B54" s="1">
        <v>0</v>
      </c>
      <c r="C54" s="1">
        <f t="shared" si="0"/>
        <v>0.254086293703231</v>
      </c>
      <c r="D54" s="1">
        <v>1179.78223536386</v>
      </c>
      <c r="E54" s="1">
        <v>0</v>
      </c>
      <c r="F54" s="1">
        <f t="shared" si="1"/>
        <v>0.212467651180085</v>
      </c>
    </row>
  </sheetData>
  <mergeCells count="2">
    <mergeCell ref="A1:C1"/>
    <mergeCell ref="D1:F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吴鹏佐</cp:lastModifiedBy>
  <dcterms:created xsi:type="dcterms:W3CDTF">2024-11-30T08:52:00Z</dcterms:created>
  <dcterms:modified xsi:type="dcterms:W3CDTF">2025-01-17T09:22:13Z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E183A1800AD44A1A800545A956F5E32A_11</vt:lpwstr>
  </property>
  <property fmtid="{D5CDD505-2E9C-101B-9397-08002B2CF9AE}" pid="3" name="KSOProductBuildVer">
    <vt:lpwstr>2052-12.1.0.19302</vt:lpwstr>
  </property>
</Properties>
</file>