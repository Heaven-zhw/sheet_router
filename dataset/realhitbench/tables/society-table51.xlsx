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<sst xmlns="http://schemas.openxmlformats.org/spreadsheetml/2006/main" count="776" uniqueCount="204">
  <si>
    <t>Supplementary Table 1. Lithospheric thickness for global kimberlites and lamproites</t>
  </si>
  <si>
    <t>locality</t>
  </si>
  <si>
    <t>lithology</t>
  </si>
  <si>
    <t>country</t>
  </si>
  <si>
    <t>position</t>
  </si>
  <si>
    <t>craton</t>
  </si>
  <si>
    <t>age</t>
  </si>
  <si>
    <t>mantle olivine</t>
  </si>
  <si>
    <t>magmatic olivine</t>
  </si>
  <si>
    <t>olivine references</t>
  </si>
  <si>
    <t>Xenlith-based Lithospheric thickness</t>
  </si>
  <si>
    <t>Present day seismic lithospheric thickness</t>
  </si>
  <si>
    <t>Ma</t>
  </si>
  <si>
    <t>Mg#</t>
  </si>
  <si>
    <t>km</t>
  </si>
  <si>
    <t>Employed Method</t>
  </si>
  <si>
    <t>reference</t>
  </si>
  <si>
    <t>mean</t>
  </si>
  <si>
    <t>st dev</t>
  </si>
  <si>
    <t>SOUTH AFRICA LAMPROITES (ORANGEITES)</t>
  </si>
  <si>
    <t>Finsch</t>
  </si>
  <si>
    <t>olivine lamproite</t>
  </si>
  <si>
    <t>South Africa</t>
  </si>
  <si>
    <t>on craton</t>
  </si>
  <si>
    <t>Kaapvaal</t>
  </si>
  <si>
    <t>Sarkar et al., 2022</t>
  </si>
  <si>
    <t>FITPLOT</t>
  </si>
  <si>
    <t>Mather et al., 2011</t>
  </si>
  <si>
    <t>Hoggard et al., 2020</t>
  </si>
  <si>
    <t>Lace</t>
  </si>
  <si>
    <t>Nimis et al., 2020 (Voorspoed)</t>
  </si>
  <si>
    <t>Melton Wold</t>
  </si>
  <si>
    <t>craton margin</t>
  </si>
  <si>
    <t>Paleogeotherm</t>
  </si>
  <si>
    <t>Janney et al., 2010</t>
  </si>
  <si>
    <t>WEST AFRICA</t>
  </si>
  <si>
    <t>Koidu dyke DZB</t>
  </si>
  <si>
    <t>kimberlite</t>
  </si>
  <si>
    <t>Sierra Leone</t>
  </si>
  <si>
    <t>Man</t>
  </si>
  <si>
    <t>Viljioen et al., 2022</t>
  </si>
  <si>
    <t>Smit et al., 2016</t>
  </si>
  <si>
    <t>Koidu Pipe 1</t>
  </si>
  <si>
    <t>SOUTHERN AFRICA</t>
  </si>
  <si>
    <t xml:space="preserve">Big Hole (Kimberley)  </t>
  </si>
  <si>
    <t>Soltys et al., 2020</t>
  </si>
  <si>
    <t>based on Bultfontein</t>
  </si>
  <si>
    <t>Bultfontein</t>
  </si>
  <si>
    <t>Giuliani et al., 2016</t>
  </si>
  <si>
    <t>Mather et al 2011, Nimis et al. 2020</t>
  </si>
  <si>
    <t xml:space="preserve">De Beers </t>
  </si>
  <si>
    <t>Wesselton</t>
  </si>
  <si>
    <t xml:space="preserve">Dutoitspan </t>
  </si>
  <si>
    <t xml:space="preserve">Jagersfontein </t>
  </si>
  <si>
    <t>Giuliani et al., 2020</t>
  </si>
  <si>
    <t>Bell et al., 2003</t>
  </si>
  <si>
    <t>Monastery</t>
  </si>
  <si>
    <t>Koffiefontein</t>
  </si>
  <si>
    <t>Murowa</t>
  </si>
  <si>
    <t>Zimbabwe</t>
  </si>
  <si>
    <t>Pearson et al., 2018</t>
  </si>
  <si>
    <t>Venetia</t>
  </si>
  <si>
    <t>Premier</t>
  </si>
  <si>
    <t>Giuliani et al., 2023</t>
  </si>
  <si>
    <t>Tappe et al., 2021</t>
  </si>
  <si>
    <t>Karowe (Orapa AK-6)</t>
  </si>
  <si>
    <t>Botswana</t>
  </si>
  <si>
    <t>Arndt et al., 2010; Giuliani et al., 2023</t>
  </si>
  <si>
    <t>Motsamae, 2019 PhD</t>
  </si>
  <si>
    <t>Liqhobong</t>
  </si>
  <si>
    <t>Lesotho</t>
  </si>
  <si>
    <t>Kao Satellite</t>
  </si>
  <si>
    <t>Letseng</t>
  </si>
  <si>
    <t>Letseng Satellite</t>
  </si>
  <si>
    <t>Tanzania</t>
  </si>
  <si>
    <t>Igwisi Hill</t>
  </si>
  <si>
    <t>Shaikh et al., 2021</t>
  </si>
  <si>
    <t>BRAZIL</t>
  </si>
  <si>
    <t>Perdizes-04</t>
  </si>
  <si>
    <t>Brazil</t>
  </si>
  <si>
    <t>Sao Fransisco</t>
  </si>
  <si>
    <t>based on Tres Ranchos-04</t>
  </si>
  <si>
    <t>Limpeza-18</t>
  </si>
  <si>
    <t>Lim et al., 2018</t>
  </si>
  <si>
    <t>Três Ranchos-4</t>
  </si>
  <si>
    <t>Leonardos et al., 1993; Read et al., 2004</t>
  </si>
  <si>
    <t>LAC DE GRAS</t>
  </si>
  <si>
    <t>Panther</t>
  </si>
  <si>
    <t>Canada</t>
  </si>
  <si>
    <t>Slave</t>
  </si>
  <si>
    <t>Tovey et al., 2021</t>
  </si>
  <si>
    <t>Griffin et al., 1999; Liu et al., 2021</t>
  </si>
  <si>
    <t>Rat</t>
  </si>
  <si>
    <t>Porpoise</t>
  </si>
  <si>
    <t>Anaconda</t>
  </si>
  <si>
    <t>Cobra South</t>
  </si>
  <si>
    <t>Antelope</t>
  </si>
  <si>
    <t>Rattler</t>
  </si>
  <si>
    <t>Springbok</t>
  </si>
  <si>
    <t>Boa</t>
  </si>
  <si>
    <t>Darkwing</t>
  </si>
  <si>
    <t>Flying V</t>
  </si>
  <si>
    <t>Panda</t>
  </si>
  <si>
    <t>Crab</t>
  </si>
  <si>
    <t>Misery Southwest Extension</t>
  </si>
  <si>
    <t>Misery East</t>
  </si>
  <si>
    <t>Misery East Dyke</t>
  </si>
  <si>
    <t>Brent</t>
  </si>
  <si>
    <t>Mark</t>
  </si>
  <si>
    <t>Arnie</t>
  </si>
  <si>
    <t>Grizzly</t>
  </si>
  <si>
    <t>Koala</t>
  </si>
  <si>
    <t>Leslie</t>
  </si>
  <si>
    <t>Fedortchouk and Canil, 2004</t>
  </si>
  <si>
    <t>Aaron</t>
  </si>
  <si>
    <t>Diavik A154N</t>
  </si>
  <si>
    <t>Brett et al., 2009</t>
  </si>
  <si>
    <t>Diavik A154S</t>
  </si>
  <si>
    <t>Diavik A21</t>
  </si>
  <si>
    <t>NORTH AMERICA ELSEWHERE</t>
  </si>
  <si>
    <t>Jericho</t>
  </si>
  <si>
    <t>Liu et al., 2021</t>
  </si>
  <si>
    <t>Chidliak-07</t>
  </si>
  <si>
    <t>Rae</t>
  </si>
  <si>
    <t>Pobric et al., 2020</t>
  </si>
  <si>
    <t>Gahcho Kue'</t>
  </si>
  <si>
    <t>Mather, 2012</t>
  </si>
  <si>
    <t>Renard</t>
  </si>
  <si>
    <t>Superior</t>
  </si>
  <si>
    <t>Patterson et al., 2009</t>
  </si>
  <si>
    <t>Hunt et al., 2012</t>
  </si>
  <si>
    <t>Peuyuk C</t>
  </si>
  <si>
    <t>Canada, Somerset</t>
  </si>
  <si>
    <t>Nikos</t>
  </si>
  <si>
    <t>SIBERIA</t>
  </si>
  <si>
    <t>Udachnaya-East</t>
  </si>
  <si>
    <t>Russia</t>
  </si>
  <si>
    <t>Siberian</t>
  </si>
  <si>
    <t>Kamenetsky et al., 2008</t>
  </si>
  <si>
    <t>Howarth et al., 2014</t>
  </si>
  <si>
    <t>Obnazhennaya</t>
  </si>
  <si>
    <t>ARKHANGELSK</t>
  </si>
  <si>
    <t>Grib</t>
  </si>
  <si>
    <t>East European</t>
  </si>
  <si>
    <t>Sazonova et al., 2015</t>
  </si>
  <si>
    <t>Based on P-T estimation</t>
  </si>
  <si>
    <t>Lebedeva et al., 2020</t>
  </si>
  <si>
    <t>Pionerskaya</t>
  </si>
  <si>
    <t>Plaeogeotherm</t>
  </si>
  <si>
    <t>Afanasiev et al., 2013</t>
  </si>
  <si>
    <t>GREENLAND</t>
  </si>
  <si>
    <t>Majuagaa</t>
  </si>
  <si>
    <t>Greenland</t>
  </si>
  <si>
    <t>North Atlantic</t>
  </si>
  <si>
    <t>Nielsen and Sand, 2008</t>
  </si>
  <si>
    <t>Sand et al., 2009</t>
  </si>
  <si>
    <t>Kangamiut</t>
  </si>
  <si>
    <t>kimberlite/aillikite</t>
  </si>
  <si>
    <t>Arndt et al., 2010; Cordier et al., 2015</t>
  </si>
  <si>
    <t>FINLAND</t>
  </si>
  <si>
    <t>Pipe 1</t>
  </si>
  <si>
    <t>Finland</t>
  </si>
  <si>
    <t>Karelian</t>
  </si>
  <si>
    <t>Dalton et al., 2020</t>
  </si>
  <si>
    <t>Lehtonen and O'Brien 2009</t>
  </si>
  <si>
    <t>Pipe 2</t>
  </si>
  <si>
    <t>Dalton et al., 2022</t>
  </si>
  <si>
    <t>Pipe 3</t>
  </si>
  <si>
    <t>Pipe 5</t>
  </si>
  <si>
    <t>Pipe 9</t>
  </si>
  <si>
    <t>Pipe 14</t>
  </si>
  <si>
    <t>Lentira</t>
  </si>
  <si>
    <t>Kargin et al., 2014</t>
  </si>
  <si>
    <t>EASTERN DHARWAR</t>
  </si>
  <si>
    <t>Wajrakarur P2</t>
  </si>
  <si>
    <t>India</t>
  </si>
  <si>
    <t>Eastern Dharwar</t>
  </si>
  <si>
    <t>Giuliani et al., 2020; Sarkar et al. 2021</t>
  </si>
  <si>
    <t>Shaikh et al., 2020</t>
  </si>
  <si>
    <t>Wajrakarur P3</t>
  </si>
  <si>
    <t>Shaikh et al., 2018</t>
  </si>
  <si>
    <t>Wajrakarur P4</t>
  </si>
  <si>
    <t>Wajrakarur P12</t>
  </si>
  <si>
    <t>Sarkar et al., 2021</t>
  </si>
  <si>
    <t>Wajrakarur P13</t>
  </si>
  <si>
    <t>Shaikh et al., 2019</t>
  </si>
  <si>
    <t>Chigicherla-01 (CC1)</t>
  </si>
  <si>
    <t>Chigicherla-02 (CC2)</t>
  </si>
  <si>
    <t>BASTAR</t>
  </si>
  <si>
    <t>Kodomali</t>
  </si>
  <si>
    <t>Bastar</t>
  </si>
  <si>
    <t>Babu et al., 2009, Dessai et al., 2021</t>
  </si>
  <si>
    <t>Beradih</t>
  </si>
  <si>
    <t>WEST KIMBERLEY</t>
  </si>
  <si>
    <t>Ellendale 4</t>
  </si>
  <si>
    <t>Australia</t>
  </si>
  <si>
    <t>West Kimberley</t>
  </si>
  <si>
    <t>Jaques and Foley, 2018</t>
  </si>
  <si>
    <t>Based on Ellendale 7</t>
  </si>
  <si>
    <t>Ellendale 7</t>
  </si>
  <si>
    <t>Ellendale 9</t>
  </si>
  <si>
    <t>Ellendale 11</t>
  </si>
  <si>
    <t>Argyle</t>
  </si>
  <si>
    <t>Sudholz et al., 2021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</si>
</sst>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2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4" borderId="12" applyNumberFormat="0" applyAlignment="0" applyProtection="0">
      <alignment vertical="center"/>
    </xf>
    <xf numFmtId="0" fontId="16" fillId="5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/>
    <xf numFmtId="0" fontId="1" fillId="0" borderId="0" xfId="0" applyFont="1" applyAlignment="1"/>
    <xf numFmtId="0" fontId="3" fillId="0" borderId="0" xfId="0" applyFont="1" applyFill="1" applyAlignment="1"/>
    <xf numFmtId="0" fontId="4" fillId="0" borderId="0" xfId="0" applyFont="1" applyFill="1" applyAlignment="1"/>
    <xf numFmtId="0" fontId="4" fillId="0" borderId="0" xfId="0" applyFont="1" applyFill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2" fontId="3" fillId="0" borderId="3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2" fontId="3" fillId="0" borderId="0" xfId="0" applyNumberFormat="1" applyFont="1" applyFill="1" applyAlignment="1">
      <alignment horizontal="center" vertical="center"/>
    </xf>
    <xf numFmtId="0" fontId="3" fillId="0" borderId="4" xfId="0" applyFont="1" applyFill="1" applyBorder="1" applyAlignment="1"/>
    <xf numFmtId="0" fontId="3" fillId="0" borderId="5" xfId="0" applyFont="1" applyFill="1" applyBorder="1" applyAlignment="1"/>
    <xf numFmtId="0" fontId="3" fillId="0" borderId="5" xfId="0" applyFont="1" applyFill="1" applyBorder="1" applyAlignment="1">
      <alignment horizontal="center"/>
    </xf>
    <xf numFmtId="2" fontId="3" fillId="0" borderId="5" xfId="0" applyNumberFormat="1" applyFont="1" applyFill="1" applyBorder="1" applyAlignment="1">
      <alignment horizontal="center" vertical="center"/>
    </xf>
    <xf numFmtId="176" fontId="3" fillId="0" borderId="0" xfId="0" applyNumberFormat="1" applyFont="1" applyFill="1" applyAlignment="1">
      <alignment horizontal="center"/>
    </xf>
    <xf numFmtId="176" fontId="4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 vertical="center"/>
    </xf>
    <xf numFmtId="1" fontId="4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4" fillId="0" borderId="1" xfId="0" applyFont="1" applyFill="1" applyBorder="1" applyAlignment="1"/>
    <xf numFmtId="2" fontId="3" fillId="0" borderId="2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2" fontId="3" fillId="0" borderId="4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8" xfId="0" applyFont="1" applyFill="1" applyBorder="1" applyAlignment="1"/>
    <xf numFmtId="176" fontId="3" fillId="0" borderId="1" xfId="0" applyNumberFormat="1" applyFont="1" applyFill="1" applyBorder="1" applyAlignment="1">
      <alignment horizontal="center"/>
    </xf>
    <xf numFmtId="0" fontId="4" fillId="0" borderId="0" xfId="0" applyFont="1" applyFill="1" applyAlignment="1">
      <alignment horizontal="left"/>
    </xf>
    <xf numFmtId="0" fontId="3" fillId="0" borderId="1" xfId="0" applyFont="1" applyFill="1" applyBorder="1" applyAlignment="1">
      <alignment horizontal="center"/>
    </xf>
    <xf numFmtId="2" fontId="4" fillId="0" borderId="0" xfId="0" applyNumberFormat="1" applyFont="1" applyFill="1" applyAlignment="1">
      <alignment horizontal="center" vertical="center"/>
    </xf>
    <xf numFmtId="0" fontId="3" fillId="0" borderId="1" xfId="0" applyFont="1" applyFill="1" applyBorder="1" applyAlignment="1">
      <alignment horizontal="left"/>
    </xf>
    <xf numFmtId="0" fontId="3" fillId="0" borderId="0" xfId="0" applyFont="1" applyFill="1" applyAlignment="1">
      <alignment horizontal="left"/>
    </xf>
    <xf numFmtId="1" fontId="4" fillId="0" borderId="0" xfId="0" applyNumberFormat="1" applyFont="1" applyFill="1" applyAlignment="1">
      <alignment horizontal="center"/>
    </xf>
    <xf numFmtId="176" fontId="4" fillId="0" borderId="7" xfId="0" applyNumberFormat="1" applyFont="1" applyFill="1" applyBorder="1" applyAlignment="1">
      <alignment horizontal="center"/>
    </xf>
    <xf numFmtId="0" fontId="4" fillId="0" borderId="7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8"/>
  <sheetViews>
    <sheetView tabSelected="1" zoomScale="40" zoomScaleNormal="40" workbookViewId="0">
      <selection activeCell="A1" sqref="A$1:P$1048576"/>
    </sheetView>
  </sheetViews>
  <sheetFormatPr defaultColWidth="12.7636363636364" defaultRowHeight="13"/>
  <cols>
    <col min="1" max="1" width="89.1818181818182" style="2" customWidth="1"/>
    <col min="2" max="2" width="18.4545454545455" style="1" customWidth="1"/>
    <col min="3" max="3" width="18.1818181818182" style="1" customWidth="1"/>
    <col min="4" max="4" width="14.0909090909091" style="1" customWidth="1"/>
    <col min="5" max="5" width="17.1818181818182" style="1" customWidth="1"/>
    <col min="6" max="6" width="7" style="3" customWidth="1"/>
    <col min="7" max="7" width="6.54545454545455" style="1" customWidth="1"/>
    <col min="8" max="8" width="6.81818181818182" style="1" customWidth="1"/>
    <col min="9" max="9" width="6.54545454545455" style="4" customWidth="1"/>
    <col min="10" max="10" width="6.81818181818182" style="1" customWidth="1"/>
    <col min="11" max="11" width="38.4545454545455" style="1" customWidth="1"/>
    <col min="12" max="12" width="4.81818181818182" style="4" customWidth="1"/>
    <col min="13" max="13" width="25.9090909090909" style="1" customWidth="1"/>
    <col min="14" max="14" width="40.5454545454545" style="1" customWidth="1"/>
    <col min="15" max="15" width="4.81818181818182" style="4" customWidth="1"/>
    <col min="16" max="16" width="20.4545454545455" style="1" customWidth="1"/>
    <col min="17" max="16382" width="12.7636363636364" style="1"/>
    <col min="16383" max="16384" width="12.7636363636364" style="5"/>
  </cols>
  <sheetData>
    <row r="1" s="1" customFormat="1" ht="15.5" spans="1:16">
      <c r="A1" s="6" t="s">
        <v>0</v>
      </c>
      <c r="B1" s="7"/>
      <c r="C1" s="7"/>
      <c r="D1" s="7"/>
      <c r="E1" s="7"/>
      <c r="F1" s="8"/>
      <c r="G1" s="7"/>
      <c r="H1" s="7"/>
      <c r="I1" s="25"/>
      <c r="J1" s="7"/>
      <c r="K1" s="7"/>
      <c r="L1" s="25"/>
      <c r="M1" s="7"/>
      <c r="N1" s="7"/>
      <c r="O1" s="25"/>
      <c r="P1" s="7"/>
    </row>
    <row r="2" s="1" customFormat="1" ht="15.5" spans="1:16">
      <c r="A2" s="6"/>
      <c r="B2" s="7"/>
      <c r="C2" s="7"/>
      <c r="D2" s="7"/>
      <c r="E2" s="7"/>
      <c r="F2" s="8"/>
      <c r="G2" s="7"/>
      <c r="H2" s="7"/>
      <c r="I2" s="25"/>
      <c r="J2" s="7"/>
      <c r="K2" s="7"/>
      <c r="L2" s="25"/>
      <c r="M2" s="7"/>
      <c r="N2" s="7"/>
      <c r="O2" s="25"/>
      <c r="P2" s="7"/>
    </row>
    <row r="3" s="2" customFormat="1" ht="15" spans="1:16">
      <c r="A3" s="9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1" t="s">
        <v>7</v>
      </c>
      <c r="H3" s="11"/>
      <c r="I3" s="26" t="s">
        <v>8</v>
      </c>
      <c r="J3" s="11"/>
      <c r="K3" s="10" t="s">
        <v>9</v>
      </c>
      <c r="L3" s="9" t="s">
        <v>10</v>
      </c>
      <c r="M3" s="10"/>
      <c r="N3" s="10"/>
      <c r="O3" s="9" t="s">
        <v>11</v>
      </c>
      <c r="P3" s="27"/>
    </row>
    <row r="4" s="2" customFormat="1" ht="15" spans="1:16">
      <c r="A4" s="12"/>
      <c r="B4" s="13"/>
      <c r="C4" s="13"/>
      <c r="D4" s="13"/>
      <c r="E4" s="13"/>
      <c r="F4" s="14" t="s">
        <v>12</v>
      </c>
      <c r="G4" s="15" t="s">
        <v>13</v>
      </c>
      <c r="H4" s="15"/>
      <c r="I4" s="28" t="s">
        <v>13</v>
      </c>
      <c r="J4" s="15"/>
      <c r="K4" s="29"/>
      <c r="L4" s="30" t="s">
        <v>14</v>
      </c>
      <c r="M4" s="14" t="s">
        <v>15</v>
      </c>
      <c r="N4" s="14" t="s">
        <v>16</v>
      </c>
      <c r="O4" s="30" t="s">
        <v>14</v>
      </c>
      <c r="P4" s="31" t="s">
        <v>16</v>
      </c>
    </row>
    <row r="5" s="2" customFormat="1" ht="15" spans="1:16">
      <c r="A5" s="16"/>
      <c r="B5" s="17"/>
      <c r="C5" s="17"/>
      <c r="D5" s="17"/>
      <c r="E5" s="17"/>
      <c r="F5" s="18"/>
      <c r="G5" s="19" t="s">
        <v>17</v>
      </c>
      <c r="H5" s="19" t="s">
        <v>18</v>
      </c>
      <c r="I5" s="32" t="s">
        <v>17</v>
      </c>
      <c r="J5" s="19" t="s">
        <v>18</v>
      </c>
      <c r="K5" s="33"/>
      <c r="L5" s="34"/>
      <c r="M5" s="35"/>
      <c r="N5" s="35"/>
      <c r="O5" s="16"/>
      <c r="P5" s="36"/>
    </row>
    <row r="6" s="1" customFormat="1" ht="15.5" spans="1:16">
      <c r="A6" s="6" t="s">
        <v>19</v>
      </c>
      <c r="B6" s="7"/>
      <c r="C6" s="7"/>
      <c r="D6" s="7"/>
      <c r="E6" s="7"/>
      <c r="F6" s="8"/>
      <c r="G6" s="20"/>
      <c r="H6" s="21"/>
      <c r="I6" s="37"/>
      <c r="J6" s="21"/>
      <c r="K6" s="38"/>
      <c r="L6" s="25"/>
      <c r="M6" s="7"/>
      <c r="N6" s="7"/>
      <c r="O6" s="25"/>
      <c r="P6" s="7"/>
    </row>
    <row r="7" s="1" customFormat="1" ht="15.5" spans="1:16">
      <c r="A7" s="14" t="s">
        <v>20</v>
      </c>
      <c r="B7" s="22" t="s">
        <v>21</v>
      </c>
      <c r="C7" s="22" t="s">
        <v>22</v>
      </c>
      <c r="D7" s="22" t="s">
        <v>23</v>
      </c>
      <c r="E7" s="22" t="s">
        <v>24</v>
      </c>
      <c r="F7" s="23">
        <v>118</v>
      </c>
      <c r="G7" s="20">
        <v>91.0821828837298</v>
      </c>
      <c r="H7" s="21">
        <v>2.43746944804746</v>
      </c>
      <c r="I7" s="37">
        <v>90.69581528555</v>
      </c>
      <c r="J7" s="21">
        <v>0.608494439949778</v>
      </c>
      <c r="K7" s="22" t="s">
        <v>25</v>
      </c>
      <c r="L7" s="39">
        <v>210</v>
      </c>
      <c r="M7" s="24" t="s">
        <v>26</v>
      </c>
      <c r="N7" s="8" t="s">
        <v>27</v>
      </c>
      <c r="O7" s="39">
        <v>190</v>
      </c>
      <c r="P7" s="8" t="s">
        <v>28</v>
      </c>
    </row>
    <row r="8" s="1" customFormat="1" ht="15.5" spans="1:16">
      <c r="A8" s="14" t="s">
        <v>29</v>
      </c>
      <c r="B8" s="22" t="s">
        <v>21</v>
      </c>
      <c r="C8" s="22" t="s">
        <v>22</v>
      </c>
      <c r="D8" s="22" t="s">
        <v>23</v>
      </c>
      <c r="E8" s="22" t="s">
        <v>24</v>
      </c>
      <c r="F8" s="22">
        <v>133</v>
      </c>
      <c r="G8" s="20">
        <v>91.61593202986</v>
      </c>
      <c r="H8" s="21">
        <v>2.0909036959861</v>
      </c>
      <c r="I8" s="37">
        <v>89.8731628606143</v>
      </c>
      <c r="J8" s="21">
        <v>0.703139025965313</v>
      </c>
      <c r="K8" s="22" t="s">
        <v>25</v>
      </c>
      <c r="L8" s="39">
        <v>220</v>
      </c>
      <c r="M8" s="24" t="s">
        <v>26</v>
      </c>
      <c r="N8" s="8" t="s">
        <v>30</v>
      </c>
      <c r="O8" s="39">
        <v>200</v>
      </c>
      <c r="P8" s="8" t="s">
        <v>28</v>
      </c>
    </row>
    <row r="9" s="1" customFormat="1" ht="15.5" spans="1:16">
      <c r="A9" s="14" t="s">
        <v>31</v>
      </c>
      <c r="B9" s="22" t="s">
        <v>21</v>
      </c>
      <c r="C9" s="22" t="s">
        <v>22</v>
      </c>
      <c r="D9" s="22" t="s">
        <v>32</v>
      </c>
      <c r="E9" s="22" t="s">
        <v>24</v>
      </c>
      <c r="F9" s="8">
        <v>143</v>
      </c>
      <c r="G9" s="20">
        <v>91.367492504991</v>
      </c>
      <c r="H9" s="21">
        <v>0.494363443384244</v>
      </c>
      <c r="I9" s="37">
        <v>90.0514250479036</v>
      </c>
      <c r="J9" s="21">
        <v>0.741055408126736</v>
      </c>
      <c r="K9" s="22" t="s">
        <v>25</v>
      </c>
      <c r="L9" s="39">
        <v>180</v>
      </c>
      <c r="M9" s="24" t="s">
        <v>33</v>
      </c>
      <c r="N9" s="8" t="s">
        <v>34</v>
      </c>
      <c r="O9" s="39">
        <v>180</v>
      </c>
      <c r="P9" s="8" t="s">
        <v>28</v>
      </c>
    </row>
    <row r="10" s="1" customFormat="1" ht="15.5" spans="1:16">
      <c r="A10" s="14"/>
      <c r="B10" s="22"/>
      <c r="C10" s="22"/>
      <c r="D10" s="22"/>
      <c r="E10" s="22"/>
      <c r="F10" s="8"/>
      <c r="G10" s="20"/>
      <c r="H10" s="21"/>
      <c r="I10" s="37"/>
      <c r="J10" s="21"/>
      <c r="K10" s="22"/>
      <c r="L10" s="39"/>
      <c r="M10" s="24"/>
      <c r="N10" s="8"/>
      <c r="O10" s="39"/>
      <c r="P10" s="8" t="s">
        <v>28</v>
      </c>
    </row>
    <row r="11" s="1" customFormat="1" ht="15.5" spans="1:16">
      <c r="A11" s="14" t="s">
        <v>35</v>
      </c>
      <c r="B11" s="14"/>
      <c r="C11" s="14"/>
      <c r="D11" s="22"/>
      <c r="E11" s="22"/>
      <c r="F11" s="24"/>
      <c r="G11" s="20"/>
      <c r="H11" s="20"/>
      <c r="I11" s="37"/>
      <c r="J11" s="20"/>
      <c r="K11" s="14"/>
      <c r="L11" s="39"/>
      <c r="M11" s="24"/>
      <c r="N11" s="8"/>
      <c r="O11" s="39"/>
      <c r="P11" s="8"/>
    </row>
    <row r="12" s="1" customFormat="1" ht="15.5" spans="1:16">
      <c r="A12" s="14" t="s">
        <v>36</v>
      </c>
      <c r="B12" s="22" t="s">
        <v>37</v>
      </c>
      <c r="C12" s="22" t="s">
        <v>38</v>
      </c>
      <c r="D12" s="22" t="s">
        <v>23</v>
      </c>
      <c r="E12" s="22" t="s">
        <v>39</v>
      </c>
      <c r="F12" s="8">
        <v>145</v>
      </c>
      <c r="G12" s="20">
        <v>92.1120764333656</v>
      </c>
      <c r="H12" s="21">
        <v>3.30678404082165</v>
      </c>
      <c r="I12" s="37">
        <v>89.4814081237746</v>
      </c>
      <c r="J12" s="21">
        <v>0.330917135350307</v>
      </c>
      <c r="K12" s="22" t="s">
        <v>40</v>
      </c>
      <c r="L12" s="39">
        <v>220</v>
      </c>
      <c r="M12" s="24" t="s">
        <v>26</v>
      </c>
      <c r="N12" s="8" t="s">
        <v>41</v>
      </c>
      <c r="O12" s="39">
        <v>200</v>
      </c>
      <c r="P12" s="8" t="s">
        <v>28</v>
      </c>
    </row>
    <row r="13" s="1" customFormat="1" ht="15.5" spans="1:16">
      <c r="A13" s="14" t="s">
        <v>42</v>
      </c>
      <c r="B13" s="22" t="s">
        <v>37</v>
      </c>
      <c r="C13" s="22" t="s">
        <v>38</v>
      </c>
      <c r="D13" s="22" t="s">
        <v>23</v>
      </c>
      <c r="E13" s="22" t="s">
        <v>39</v>
      </c>
      <c r="F13" s="8">
        <v>145</v>
      </c>
      <c r="G13" s="20">
        <v>91.3328720679513</v>
      </c>
      <c r="H13" s="21">
        <v>4.5924045887321</v>
      </c>
      <c r="I13" s="37">
        <v>89.4392650107495</v>
      </c>
      <c r="J13" s="21">
        <v>0.426775665946738</v>
      </c>
      <c r="K13" s="22" t="s">
        <v>40</v>
      </c>
      <c r="L13" s="39">
        <v>220</v>
      </c>
      <c r="M13" s="24" t="s">
        <v>26</v>
      </c>
      <c r="N13" s="8" t="s">
        <v>41</v>
      </c>
      <c r="O13" s="39">
        <v>200</v>
      </c>
      <c r="P13" s="8" t="s">
        <v>28</v>
      </c>
    </row>
    <row r="14" s="1" customFormat="1" ht="15.5" spans="1:16">
      <c r="A14" s="14"/>
      <c r="B14" s="22"/>
      <c r="C14" s="22"/>
      <c r="D14" s="22"/>
      <c r="E14" s="22"/>
      <c r="F14" s="8"/>
      <c r="G14" s="20"/>
      <c r="H14" s="21"/>
      <c r="I14" s="37"/>
      <c r="J14" s="21"/>
      <c r="K14" s="22"/>
      <c r="L14" s="39"/>
      <c r="M14" s="24"/>
      <c r="N14" s="8"/>
      <c r="O14" s="39"/>
      <c r="P14" s="8"/>
    </row>
    <row r="15" s="1" customFormat="1" ht="15.5" spans="1:16">
      <c r="A15" s="14" t="s">
        <v>43</v>
      </c>
      <c r="B15" s="22"/>
      <c r="C15" s="22"/>
      <c r="D15" s="22"/>
      <c r="E15" s="22"/>
      <c r="F15" s="8"/>
      <c r="G15" s="20"/>
      <c r="H15" s="21"/>
      <c r="I15" s="37"/>
      <c r="J15" s="21"/>
      <c r="K15" s="22"/>
      <c r="L15" s="39"/>
      <c r="M15" s="24"/>
      <c r="N15" s="8"/>
      <c r="O15" s="39"/>
      <c r="P15" s="8"/>
    </row>
    <row r="16" s="1" customFormat="1" ht="15.5" spans="1:16">
      <c r="A16" s="14" t="s">
        <v>44</v>
      </c>
      <c r="B16" s="22" t="s">
        <v>37</v>
      </c>
      <c r="C16" s="22" t="s">
        <v>22</v>
      </c>
      <c r="D16" s="22" t="s">
        <v>23</v>
      </c>
      <c r="E16" s="22" t="s">
        <v>24</v>
      </c>
      <c r="F16" s="8">
        <v>88</v>
      </c>
      <c r="G16" s="20">
        <v>90.7038156870188</v>
      </c>
      <c r="H16" s="21">
        <v>1.10391716071571</v>
      </c>
      <c r="I16" s="37">
        <v>88.711511532252</v>
      </c>
      <c r="J16" s="21">
        <v>0.131412201876271</v>
      </c>
      <c r="K16" s="22" t="s">
        <v>45</v>
      </c>
      <c r="L16" s="39">
        <v>200</v>
      </c>
      <c r="M16" s="24"/>
      <c r="N16" s="8" t="s">
        <v>46</v>
      </c>
      <c r="O16" s="39">
        <v>200</v>
      </c>
      <c r="P16" s="8" t="s">
        <v>28</v>
      </c>
    </row>
    <row r="17" s="1" customFormat="1" ht="15.5" spans="1:16">
      <c r="A17" s="14" t="s">
        <v>47</v>
      </c>
      <c r="B17" s="22" t="s">
        <v>37</v>
      </c>
      <c r="C17" s="22" t="s">
        <v>22</v>
      </c>
      <c r="D17" s="22" t="s">
        <v>23</v>
      </c>
      <c r="E17" s="22" t="s">
        <v>24</v>
      </c>
      <c r="F17" s="8">
        <v>88</v>
      </c>
      <c r="G17" s="20">
        <v>90.7975111111111</v>
      </c>
      <c r="H17" s="21">
        <v>2.59203085863166</v>
      </c>
      <c r="I17" s="37">
        <v>89.0746083333333</v>
      </c>
      <c r="J17" s="21">
        <v>0.150416806786638</v>
      </c>
      <c r="K17" s="22" t="s">
        <v>48</v>
      </c>
      <c r="L17" s="39">
        <v>200</v>
      </c>
      <c r="M17" s="24" t="s">
        <v>26</v>
      </c>
      <c r="N17" s="8" t="s">
        <v>49</v>
      </c>
      <c r="O17" s="39">
        <v>200</v>
      </c>
      <c r="P17" s="8" t="s">
        <v>28</v>
      </c>
    </row>
    <row r="18" s="1" customFormat="1" ht="15.5" spans="1:16">
      <c r="A18" s="14" t="s">
        <v>50</v>
      </c>
      <c r="B18" s="22" t="s">
        <v>37</v>
      </c>
      <c r="C18" s="22" t="s">
        <v>22</v>
      </c>
      <c r="D18" s="22" t="s">
        <v>23</v>
      </c>
      <c r="E18" s="22" t="s">
        <v>24</v>
      </c>
      <c r="F18" s="8">
        <v>88</v>
      </c>
      <c r="G18" s="20">
        <v>91.04</v>
      </c>
      <c r="H18" s="21">
        <v>3.08</v>
      </c>
      <c r="I18" s="37">
        <v>88.9164961538462</v>
      </c>
      <c r="J18" s="21">
        <v>0.207512630719877</v>
      </c>
      <c r="K18" s="22" t="s">
        <v>45</v>
      </c>
      <c r="L18" s="39">
        <v>200</v>
      </c>
      <c r="M18" s="24"/>
      <c r="N18" s="8" t="s">
        <v>46</v>
      </c>
      <c r="O18" s="39">
        <v>200</v>
      </c>
      <c r="P18" s="8" t="s">
        <v>28</v>
      </c>
    </row>
    <row r="19" s="1" customFormat="1" ht="15.5" spans="1:16">
      <c r="A19" s="14" t="s">
        <v>51</v>
      </c>
      <c r="B19" s="22" t="s">
        <v>37</v>
      </c>
      <c r="C19" s="22" t="s">
        <v>22</v>
      </c>
      <c r="D19" s="22" t="s">
        <v>23</v>
      </c>
      <c r="E19" s="22" t="s">
        <v>24</v>
      </c>
      <c r="F19" s="8">
        <v>88</v>
      </c>
      <c r="G19" s="20">
        <v>90.85</v>
      </c>
      <c r="H19" s="21">
        <v>2.84438042462678</v>
      </c>
      <c r="I19" s="37">
        <v>89.0666666666667</v>
      </c>
      <c r="J19" s="21">
        <v>0.17950549357115</v>
      </c>
      <c r="K19" s="22" t="s">
        <v>45</v>
      </c>
      <c r="L19" s="39">
        <v>200</v>
      </c>
      <c r="M19" s="24"/>
      <c r="N19" s="8" t="s">
        <v>46</v>
      </c>
      <c r="O19" s="39">
        <v>200</v>
      </c>
      <c r="P19" s="8" t="s">
        <v>28</v>
      </c>
    </row>
    <row r="20" s="1" customFormat="1" ht="15.5" spans="1:16">
      <c r="A20" s="14" t="s">
        <v>52</v>
      </c>
      <c r="B20" s="22" t="s">
        <v>37</v>
      </c>
      <c r="C20" s="22" t="s">
        <v>22</v>
      </c>
      <c r="D20" s="22" t="s">
        <v>23</v>
      </c>
      <c r="E20" s="22" t="s">
        <v>24</v>
      </c>
      <c r="F20" s="8">
        <v>88</v>
      </c>
      <c r="G20" s="20">
        <v>91.6095238095238</v>
      </c>
      <c r="H20" s="21">
        <v>2.37210977020558</v>
      </c>
      <c r="I20" s="37">
        <v>88.9454545454545</v>
      </c>
      <c r="J20" s="21">
        <v>0.143739893644016</v>
      </c>
      <c r="K20" s="22" t="s">
        <v>45</v>
      </c>
      <c r="L20" s="39">
        <v>200</v>
      </c>
      <c r="M20" s="24"/>
      <c r="N20" s="8" t="s">
        <v>46</v>
      </c>
      <c r="O20" s="39">
        <v>200</v>
      </c>
      <c r="P20" s="8" t="s">
        <v>28</v>
      </c>
    </row>
    <row r="21" s="1" customFormat="1" ht="15.5" spans="1:16">
      <c r="A21" s="14" t="s">
        <v>53</v>
      </c>
      <c r="B21" s="22" t="s">
        <v>37</v>
      </c>
      <c r="C21" s="22" t="s">
        <v>22</v>
      </c>
      <c r="D21" s="22" t="s">
        <v>23</v>
      </c>
      <c r="E21" s="22" t="s">
        <v>24</v>
      </c>
      <c r="F21" s="8">
        <v>86</v>
      </c>
      <c r="G21" s="20">
        <v>90.2393066666667</v>
      </c>
      <c r="H21" s="21">
        <v>3.09470836647394</v>
      </c>
      <c r="I21" s="37">
        <v>90.1879533333333</v>
      </c>
      <c r="J21" s="21">
        <v>0.207907365590223</v>
      </c>
      <c r="K21" s="22" t="s">
        <v>54</v>
      </c>
      <c r="L21" s="39">
        <v>210</v>
      </c>
      <c r="M21" s="24" t="s">
        <v>33</v>
      </c>
      <c r="N21" s="8" t="s">
        <v>55</v>
      </c>
      <c r="O21" s="39">
        <v>180</v>
      </c>
      <c r="P21" s="8" t="s">
        <v>28</v>
      </c>
    </row>
    <row r="22" s="1" customFormat="1" ht="15.5" spans="1:16">
      <c r="A22" s="14" t="s">
        <v>56</v>
      </c>
      <c r="B22" s="22" t="s">
        <v>37</v>
      </c>
      <c r="C22" s="22" t="s">
        <v>22</v>
      </c>
      <c r="D22" s="22" t="s">
        <v>23</v>
      </c>
      <c r="E22" s="22" t="s">
        <v>24</v>
      </c>
      <c r="F22" s="8">
        <v>90</v>
      </c>
      <c r="G22" s="20">
        <v>88.0363208333333</v>
      </c>
      <c r="H22" s="21">
        <v>4.51860970816959</v>
      </c>
      <c r="I22" s="37">
        <v>85.2567125</v>
      </c>
      <c r="J22" s="21">
        <v>0.179679408451352</v>
      </c>
      <c r="K22" s="22" t="s">
        <v>54</v>
      </c>
      <c r="L22" s="39">
        <v>200</v>
      </c>
      <c r="M22" s="24" t="s">
        <v>33</v>
      </c>
      <c r="N22" s="8" t="s">
        <v>55</v>
      </c>
      <c r="O22" s="39">
        <v>180</v>
      </c>
      <c r="P22" s="8" t="s">
        <v>28</v>
      </c>
    </row>
    <row r="23" s="1" customFormat="1" ht="15.5" spans="1:16">
      <c r="A23" s="14" t="s">
        <v>57</v>
      </c>
      <c r="B23" s="22" t="s">
        <v>37</v>
      </c>
      <c r="C23" s="22" t="s">
        <v>22</v>
      </c>
      <c r="D23" s="22" t="s">
        <v>23</v>
      </c>
      <c r="E23" s="22" t="s">
        <v>24</v>
      </c>
      <c r="F23" s="8">
        <v>100</v>
      </c>
      <c r="G23" s="20">
        <v>90.9376871418208</v>
      </c>
      <c r="H23" s="21">
        <v>2.05157450352472</v>
      </c>
      <c r="I23" s="37">
        <v>88.9970085208192</v>
      </c>
      <c r="J23" s="21">
        <v>0.716528155095129</v>
      </c>
      <c r="K23" s="22" t="s">
        <v>54</v>
      </c>
      <c r="L23" s="39">
        <v>195</v>
      </c>
      <c r="M23" s="24" t="s">
        <v>33</v>
      </c>
      <c r="N23" s="8" t="s">
        <v>55</v>
      </c>
      <c r="O23" s="39">
        <v>180</v>
      </c>
      <c r="P23" s="8" t="s">
        <v>28</v>
      </c>
    </row>
    <row r="24" s="1" customFormat="1" ht="15.5" spans="1:16">
      <c r="A24" s="14" t="s">
        <v>58</v>
      </c>
      <c r="B24" s="22" t="s">
        <v>37</v>
      </c>
      <c r="C24" s="22" t="s">
        <v>59</v>
      </c>
      <c r="D24" s="22" t="s">
        <v>23</v>
      </c>
      <c r="E24" s="22" t="s">
        <v>59</v>
      </c>
      <c r="F24" s="8">
        <v>527</v>
      </c>
      <c r="G24" s="20">
        <v>92.672972972973</v>
      </c>
      <c r="H24" s="21">
        <v>1.02270030601145</v>
      </c>
      <c r="I24" s="37">
        <v>91.9538461538462</v>
      </c>
      <c r="J24" s="21">
        <v>0.145002210416399</v>
      </c>
      <c r="K24" s="22" t="s">
        <v>54</v>
      </c>
      <c r="L24" s="39">
        <v>200</v>
      </c>
      <c r="M24" s="24" t="s">
        <v>26</v>
      </c>
      <c r="N24" s="8" t="s">
        <v>60</v>
      </c>
      <c r="O24" s="39">
        <v>180</v>
      </c>
      <c r="P24" s="8" t="s">
        <v>28</v>
      </c>
    </row>
    <row r="25" s="1" customFormat="1" ht="15.5" spans="1:16">
      <c r="A25" s="14" t="s">
        <v>61</v>
      </c>
      <c r="B25" s="22" t="s">
        <v>37</v>
      </c>
      <c r="C25" s="22" t="s">
        <v>22</v>
      </c>
      <c r="D25" s="22" t="s">
        <v>32</v>
      </c>
      <c r="E25" s="22" t="s">
        <v>24</v>
      </c>
      <c r="F25" s="8">
        <v>519</v>
      </c>
      <c r="G25" s="20"/>
      <c r="H25" s="21"/>
      <c r="I25" s="37"/>
      <c r="J25" s="21"/>
      <c r="K25" s="22"/>
      <c r="L25" s="39">
        <v>220</v>
      </c>
      <c r="M25" s="24" t="s">
        <v>26</v>
      </c>
      <c r="N25" s="8" t="s">
        <v>60</v>
      </c>
      <c r="O25" s="39">
        <v>190</v>
      </c>
      <c r="P25" s="8" t="s">
        <v>28</v>
      </c>
    </row>
    <row r="26" s="1" customFormat="1" ht="15.5" spans="1:16">
      <c r="A26" s="14" t="s">
        <v>62</v>
      </c>
      <c r="B26" s="22" t="s">
        <v>37</v>
      </c>
      <c r="C26" s="22" t="s">
        <v>22</v>
      </c>
      <c r="D26" s="22" t="s">
        <v>23</v>
      </c>
      <c r="E26" s="22" t="s">
        <v>24</v>
      </c>
      <c r="F26" s="8">
        <v>1153</v>
      </c>
      <c r="G26" s="20">
        <v>89.5827270887227</v>
      </c>
      <c r="H26" s="21">
        <v>2.59352509840979</v>
      </c>
      <c r="I26" s="37">
        <v>88.3546377937166</v>
      </c>
      <c r="J26" s="21">
        <v>0.246689993116494</v>
      </c>
      <c r="K26" s="40" t="s">
        <v>63</v>
      </c>
      <c r="L26" s="39">
        <v>225</v>
      </c>
      <c r="M26" s="24" t="s">
        <v>26</v>
      </c>
      <c r="N26" s="8" t="s">
        <v>64</v>
      </c>
      <c r="O26" s="39">
        <v>200</v>
      </c>
      <c r="P26" s="8" t="s">
        <v>28</v>
      </c>
    </row>
    <row r="27" s="1" customFormat="1" ht="15.5" spans="1:16">
      <c r="A27" s="14" t="s">
        <v>65</v>
      </c>
      <c r="B27" s="22" t="s">
        <v>37</v>
      </c>
      <c r="C27" s="22" t="s">
        <v>66</v>
      </c>
      <c r="D27" s="22" t="s">
        <v>32</v>
      </c>
      <c r="E27" s="22" t="s">
        <v>24</v>
      </c>
      <c r="F27" s="8">
        <v>92</v>
      </c>
      <c r="G27" s="20">
        <v>88.3499106325486</v>
      </c>
      <c r="H27" s="21">
        <v>2.14176067967327</v>
      </c>
      <c r="I27" s="37">
        <v>87.1472798106679</v>
      </c>
      <c r="J27" s="21">
        <v>0.256864783456033</v>
      </c>
      <c r="K27" s="40" t="s">
        <v>67</v>
      </c>
      <c r="L27" s="39">
        <v>215</v>
      </c>
      <c r="M27" s="24" t="s">
        <v>33</v>
      </c>
      <c r="N27" s="8" t="s">
        <v>68</v>
      </c>
      <c r="O27" s="39">
        <v>190</v>
      </c>
      <c r="P27" s="8" t="s">
        <v>28</v>
      </c>
    </row>
    <row r="28" s="1" customFormat="1" ht="15.5" spans="1:16">
      <c r="A28" s="14" t="s">
        <v>69</v>
      </c>
      <c r="B28" s="22" t="s">
        <v>37</v>
      </c>
      <c r="C28" s="22" t="s">
        <v>70</v>
      </c>
      <c r="D28" s="22" t="s">
        <v>32</v>
      </c>
      <c r="E28" s="22" t="s">
        <v>24</v>
      </c>
      <c r="F28" s="8">
        <v>91</v>
      </c>
      <c r="G28" s="20">
        <v>89.5730583333333</v>
      </c>
      <c r="H28" s="21">
        <v>3.67105783154341</v>
      </c>
      <c r="I28" s="37">
        <v>86.1699818181818</v>
      </c>
      <c r="J28" s="21">
        <v>0.378530711638673</v>
      </c>
      <c r="K28" s="22" t="s">
        <v>54</v>
      </c>
      <c r="L28" s="39">
        <v>200</v>
      </c>
      <c r="M28" s="24" t="s">
        <v>33</v>
      </c>
      <c r="N28" s="8" t="s">
        <v>55</v>
      </c>
      <c r="O28" s="39">
        <v>150</v>
      </c>
      <c r="P28" s="8" t="s">
        <v>28</v>
      </c>
    </row>
    <row r="29" s="1" customFormat="1" ht="15.5" spans="1:16">
      <c r="A29" s="14" t="s">
        <v>71</v>
      </c>
      <c r="B29" s="22" t="s">
        <v>37</v>
      </c>
      <c r="C29" s="22" t="s">
        <v>70</v>
      </c>
      <c r="D29" s="22" t="s">
        <v>32</v>
      </c>
      <c r="E29" s="22" t="s">
        <v>24</v>
      </c>
      <c r="F29" s="8">
        <v>89</v>
      </c>
      <c r="G29" s="20">
        <v>89.4717590909091</v>
      </c>
      <c r="H29" s="21">
        <v>4.56652038976631</v>
      </c>
      <c r="I29" s="37">
        <v>88.2938230769231</v>
      </c>
      <c r="J29" s="21">
        <v>0.250578005665055</v>
      </c>
      <c r="K29" s="22" t="s">
        <v>54</v>
      </c>
      <c r="L29" s="39">
        <v>200</v>
      </c>
      <c r="M29" s="24" t="s">
        <v>33</v>
      </c>
      <c r="N29" s="8" t="s">
        <v>55</v>
      </c>
      <c r="O29" s="39">
        <v>150</v>
      </c>
      <c r="P29" s="8" t="s">
        <v>28</v>
      </c>
    </row>
    <row r="30" s="1" customFormat="1" ht="15.5" spans="1:16">
      <c r="A30" s="14" t="s">
        <v>72</v>
      </c>
      <c r="B30" s="22" t="s">
        <v>37</v>
      </c>
      <c r="C30" s="22" t="s">
        <v>70</v>
      </c>
      <c r="D30" s="22" t="s">
        <v>32</v>
      </c>
      <c r="E30" s="22" t="s">
        <v>24</v>
      </c>
      <c r="F30" s="8">
        <v>86</v>
      </c>
      <c r="G30" s="20">
        <v>90.4267409090909</v>
      </c>
      <c r="H30" s="21">
        <v>3.57781983065493</v>
      </c>
      <c r="I30" s="37">
        <v>88.7160666666667</v>
      </c>
      <c r="J30" s="21">
        <v>0.377077650270249</v>
      </c>
      <c r="K30" s="22" t="s">
        <v>54</v>
      </c>
      <c r="L30" s="39">
        <v>200</v>
      </c>
      <c r="M30" s="24" t="s">
        <v>33</v>
      </c>
      <c r="N30" s="8" t="s">
        <v>55</v>
      </c>
      <c r="O30" s="39">
        <v>150</v>
      </c>
      <c r="P30" s="8" t="s">
        <v>28</v>
      </c>
    </row>
    <row r="31" s="1" customFormat="1" ht="15.5" spans="1:16">
      <c r="A31" s="14" t="s">
        <v>73</v>
      </c>
      <c r="B31" s="22" t="s">
        <v>37</v>
      </c>
      <c r="C31" s="22" t="s">
        <v>70</v>
      </c>
      <c r="D31" s="22" t="s">
        <v>32</v>
      </c>
      <c r="E31" s="22" t="s">
        <v>24</v>
      </c>
      <c r="F31" s="8">
        <v>86</v>
      </c>
      <c r="G31" s="20">
        <v>89.1015023634654</v>
      </c>
      <c r="H31" s="21">
        <v>1.90408772310803</v>
      </c>
      <c r="I31" s="37">
        <v>88.2084713700256</v>
      </c>
      <c r="J31" s="21">
        <v>0.313761224313416</v>
      </c>
      <c r="K31" s="22" t="s">
        <v>54</v>
      </c>
      <c r="L31" s="39">
        <v>200</v>
      </c>
      <c r="M31" s="24" t="s">
        <v>33</v>
      </c>
      <c r="N31" s="8" t="s">
        <v>55</v>
      </c>
      <c r="O31" s="39">
        <v>150</v>
      </c>
      <c r="P31" s="8" t="s">
        <v>28</v>
      </c>
    </row>
    <row r="32" s="1" customFormat="1" ht="15.5" spans="1:16">
      <c r="A32" s="14"/>
      <c r="B32" s="22"/>
      <c r="C32" s="22"/>
      <c r="D32" s="22"/>
      <c r="E32" s="22"/>
      <c r="F32" s="8"/>
      <c r="G32" s="20"/>
      <c r="H32" s="21"/>
      <c r="I32" s="37"/>
      <c r="J32" s="21"/>
      <c r="K32" s="22"/>
      <c r="L32" s="39"/>
      <c r="M32" s="24"/>
      <c r="N32" s="8"/>
      <c r="O32" s="39"/>
      <c r="P32" s="8"/>
    </row>
    <row r="33" s="1" customFormat="1" ht="15.5" spans="1:16">
      <c r="A33" s="14" t="s">
        <v>74</v>
      </c>
      <c r="B33" s="22"/>
      <c r="C33" s="22"/>
      <c r="D33" s="22"/>
      <c r="E33" s="22"/>
      <c r="F33" s="8"/>
      <c r="G33" s="20"/>
      <c r="H33" s="21"/>
      <c r="I33" s="37"/>
      <c r="J33" s="21"/>
      <c r="K33" s="22"/>
      <c r="L33" s="39"/>
      <c r="M33" s="24"/>
      <c r="N33" s="8"/>
      <c r="O33" s="39"/>
      <c r="P33" s="8"/>
    </row>
    <row r="34" s="1" customFormat="1" ht="15.5" spans="1:16">
      <c r="A34" s="14" t="s">
        <v>75</v>
      </c>
      <c r="B34" s="22" t="s">
        <v>37</v>
      </c>
      <c r="C34" s="22" t="s">
        <v>74</v>
      </c>
      <c r="D34" s="22" t="s">
        <v>32</v>
      </c>
      <c r="E34" s="22" t="s">
        <v>74</v>
      </c>
      <c r="F34" s="8">
        <v>0.012</v>
      </c>
      <c r="G34" s="20">
        <v>91.1106322123845</v>
      </c>
      <c r="H34" s="21">
        <v>0.763087447358243</v>
      </c>
      <c r="I34" s="37">
        <v>90.3817409220588</v>
      </c>
      <c r="J34" s="21">
        <v>0.394893772774199</v>
      </c>
      <c r="K34" s="22" t="s">
        <v>76</v>
      </c>
      <c r="L34" s="39">
        <v>180</v>
      </c>
      <c r="M34" s="24" t="s">
        <v>33</v>
      </c>
      <c r="N34" s="8" t="s">
        <v>76</v>
      </c>
      <c r="O34" s="39">
        <v>160</v>
      </c>
      <c r="P34" s="8" t="s">
        <v>28</v>
      </c>
    </row>
    <row r="35" s="1" customFormat="1" ht="15.5" spans="1:16">
      <c r="A35" s="14"/>
      <c r="B35" s="22"/>
      <c r="C35" s="22"/>
      <c r="D35" s="22"/>
      <c r="E35" s="22"/>
      <c r="F35" s="8"/>
      <c r="G35" s="20"/>
      <c r="H35" s="21"/>
      <c r="I35" s="37"/>
      <c r="J35" s="21"/>
      <c r="K35" s="22"/>
      <c r="L35" s="39"/>
      <c r="M35" s="24"/>
      <c r="N35" s="8"/>
      <c r="O35" s="39"/>
      <c r="P35" s="8"/>
    </row>
    <row r="36" s="1" customFormat="1" ht="15.5" spans="1:16">
      <c r="A36" s="14" t="s">
        <v>77</v>
      </c>
      <c r="B36" s="22"/>
      <c r="C36" s="22"/>
      <c r="D36" s="22"/>
      <c r="E36" s="22"/>
      <c r="F36" s="8"/>
      <c r="G36" s="20"/>
      <c r="H36" s="21"/>
      <c r="I36" s="37"/>
      <c r="J36" s="21"/>
      <c r="K36" s="22"/>
      <c r="L36" s="39"/>
      <c r="M36" s="24"/>
      <c r="N36" s="8"/>
      <c r="O36" s="39"/>
      <c r="P36" s="8"/>
    </row>
    <row r="37" s="1" customFormat="1" ht="15.5" spans="1:16">
      <c r="A37" s="14" t="s">
        <v>78</v>
      </c>
      <c r="B37" s="22" t="s">
        <v>37</v>
      </c>
      <c r="C37" s="22" t="s">
        <v>79</v>
      </c>
      <c r="D37" s="22" t="s">
        <v>32</v>
      </c>
      <c r="E37" s="22" t="s">
        <v>80</v>
      </c>
      <c r="F37" s="8">
        <v>90</v>
      </c>
      <c r="G37" s="20">
        <v>88.031842398105</v>
      </c>
      <c r="H37" s="21">
        <v>2.64963629855408</v>
      </c>
      <c r="I37" s="37">
        <v>85.3572853178159</v>
      </c>
      <c r="J37" s="21">
        <v>0.333376505564745</v>
      </c>
      <c r="K37" s="40" t="s">
        <v>63</v>
      </c>
      <c r="L37" s="39">
        <v>165</v>
      </c>
      <c r="M37" s="24"/>
      <c r="N37" s="8" t="s">
        <v>81</v>
      </c>
      <c r="O37" s="39">
        <v>150</v>
      </c>
      <c r="P37" s="8" t="s">
        <v>28</v>
      </c>
    </row>
    <row r="38" s="1" customFormat="1" ht="15.5" spans="1:16">
      <c r="A38" s="14" t="s">
        <v>82</v>
      </c>
      <c r="B38" s="22" t="s">
        <v>37</v>
      </c>
      <c r="C38" s="22" t="s">
        <v>79</v>
      </c>
      <c r="D38" s="22" t="s">
        <v>32</v>
      </c>
      <c r="E38" s="22" t="s">
        <v>80</v>
      </c>
      <c r="F38" s="8">
        <v>80</v>
      </c>
      <c r="G38" s="20">
        <v>88.2876352010523</v>
      </c>
      <c r="H38" s="21">
        <v>3.03312553845686</v>
      </c>
      <c r="I38" s="37">
        <v>86.0063266048937</v>
      </c>
      <c r="J38" s="21">
        <v>0.480785029523899</v>
      </c>
      <c r="K38" s="22" t="s">
        <v>83</v>
      </c>
      <c r="L38" s="39">
        <v>165</v>
      </c>
      <c r="M38" s="24"/>
      <c r="N38" s="8" t="s">
        <v>81</v>
      </c>
      <c r="O38" s="39">
        <v>150</v>
      </c>
      <c r="P38" s="8" t="s">
        <v>28</v>
      </c>
    </row>
    <row r="39" s="1" customFormat="1" ht="15.5" spans="1:16">
      <c r="A39" s="14" t="s">
        <v>84</v>
      </c>
      <c r="B39" s="22" t="s">
        <v>37</v>
      </c>
      <c r="C39" s="22" t="s">
        <v>79</v>
      </c>
      <c r="D39" s="22" t="s">
        <v>32</v>
      </c>
      <c r="E39" s="22" t="s">
        <v>80</v>
      </c>
      <c r="F39" s="8">
        <v>82</v>
      </c>
      <c r="G39" s="20">
        <v>91.2514000650256</v>
      </c>
      <c r="H39" s="21">
        <v>1.67710974686375</v>
      </c>
      <c r="I39" s="37">
        <v>89.2908815964908</v>
      </c>
      <c r="J39" s="21">
        <v>0.370934316781038</v>
      </c>
      <c r="K39" s="22" t="s">
        <v>83</v>
      </c>
      <c r="L39" s="39">
        <v>165</v>
      </c>
      <c r="M39" s="24" t="s">
        <v>33</v>
      </c>
      <c r="N39" s="8" t="s">
        <v>85</v>
      </c>
      <c r="O39" s="39">
        <v>150</v>
      </c>
      <c r="P39" s="8" t="s">
        <v>28</v>
      </c>
    </row>
    <row r="40" s="1" customFormat="1" ht="15.5" spans="1:16">
      <c r="A40" s="14"/>
      <c r="B40" s="22"/>
      <c r="C40" s="22"/>
      <c r="D40" s="22"/>
      <c r="E40" s="22"/>
      <c r="F40" s="8"/>
      <c r="G40" s="20"/>
      <c r="H40" s="21"/>
      <c r="I40" s="37"/>
      <c r="J40" s="21"/>
      <c r="K40" s="22"/>
      <c r="L40" s="39"/>
      <c r="M40" s="24"/>
      <c r="N40" s="8"/>
      <c r="O40" s="39"/>
      <c r="P40" s="8"/>
    </row>
    <row r="41" s="1" customFormat="1" ht="15.5" spans="1:16">
      <c r="A41" s="14" t="s">
        <v>86</v>
      </c>
      <c r="B41" s="22"/>
      <c r="C41" s="22"/>
      <c r="D41" s="22"/>
      <c r="E41" s="22"/>
      <c r="F41" s="8"/>
      <c r="G41" s="20"/>
      <c r="H41" s="21"/>
      <c r="I41" s="37"/>
      <c r="J41" s="21"/>
      <c r="K41" s="22"/>
      <c r="L41" s="41"/>
      <c r="M41" s="42"/>
      <c r="N41" s="38"/>
      <c r="O41" s="39"/>
      <c r="P41" s="8"/>
    </row>
    <row r="42" s="1" customFormat="1" ht="15.5" spans="1:16">
      <c r="A42" s="14" t="s">
        <v>87</v>
      </c>
      <c r="B42" s="22" t="s">
        <v>37</v>
      </c>
      <c r="C42" s="22" t="s">
        <v>88</v>
      </c>
      <c r="D42" s="22" t="s">
        <v>23</v>
      </c>
      <c r="E42" s="22" t="s">
        <v>89</v>
      </c>
      <c r="F42" s="8">
        <v>53</v>
      </c>
      <c r="G42" s="20">
        <v>89.3710899134197</v>
      </c>
      <c r="H42" s="21">
        <v>1.93170821665628</v>
      </c>
      <c r="I42" s="37">
        <v>89.6426637248172</v>
      </c>
      <c r="J42" s="21">
        <v>0.204100996059524</v>
      </c>
      <c r="K42" s="22" t="s">
        <v>90</v>
      </c>
      <c r="L42" s="39">
        <v>220</v>
      </c>
      <c r="M42" s="24" t="s">
        <v>26</v>
      </c>
      <c r="N42" s="8" t="s">
        <v>91</v>
      </c>
      <c r="O42" s="39">
        <v>200</v>
      </c>
      <c r="P42" s="8" t="s">
        <v>28</v>
      </c>
    </row>
    <row r="43" s="1" customFormat="1" ht="15.5" spans="1:16">
      <c r="A43" s="14" t="s">
        <v>92</v>
      </c>
      <c r="B43" s="22" t="s">
        <v>37</v>
      </c>
      <c r="C43" s="22" t="s">
        <v>88</v>
      </c>
      <c r="D43" s="22" t="s">
        <v>23</v>
      </c>
      <c r="E43" s="22" t="s">
        <v>89</v>
      </c>
      <c r="F43" s="8"/>
      <c r="G43" s="20">
        <v>90.9178571428571</v>
      </c>
      <c r="H43" s="21">
        <v>2.03543672107551</v>
      </c>
      <c r="I43" s="37">
        <v>90.1842105263157</v>
      </c>
      <c r="J43" s="21">
        <v>0.189335557189805</v>
      </c>
      <c r="K43" s="22" t="s">
        <v>90</v>
      </c>
      <c r="L43" s="39">
        <v>220</v>
      </c>
      <c r="M43" s="24" t="s">
        <v>26</v>
      </c>
      <c r="N43" s="8" t="s">
        <v>91</v>
      </c>
      <c r="O43" s="39">
        <v>200</v>
      </c>
      <c r="P43" s="8" t="s">
        <v>28</v>
      </c>
    </row>
    <row r="44" s="1" customFormat="1" ht="15.5" spans="1:16">
      <c r="A44" s="14" t="s">
        <v>93</v>
      </c>
      <c r="B44" s="22" t="s">
        <v>37</v>
      </c>
      <c r="C44" s="22" t="s">
        <v>88</v>
      </c>
      <c r="D44" s="22" t="s">
        <v>23</v>
      </c>
      <c r="E44" s="22" t="s">
        <v>89</v>
      </c>
      <c r="F44" s="8">
        <v>48</v>
      </c>
      <c r="G44" s="20">
        <v>90.0555555555555</v>
      </c>
      <c r="H44" s="21">
        <v>1.13021981286687</v>
      </c>
      <c r="I44" s="37">
        <v>90.3</v>
      </c>
      <c r="J44" s="21">
        <v>0.282842712474616</v>
      </c>
      <c r="K44" s="22" t="s">
        <v>90</v>
      </c>
      <c r="L44" s="39">
        <v>220</v>
      </c>
      <c r="M44" s="24" t="s">
        <v>26</v>
      </c>
      <c r="N44" s="8" t="s">
        <v>91</v>
      </c>
      <c r="O44" s="39">
        <v>200</v>
      </c>
      <c r="P44" s="8" t="s">
        <v>28</v>
      </c>
    </row>
    <row r="45" s="1" customFormat="1" ht="15.5" spans="1:16">
      <c r="A45" s="14" t="s">
        <v>94</v>
      </c>
      <c r="B45" s="22" t="s">
        <v>37</v>
      </c>
      <c r="C45" s="22" t="s">
        <v>88</v>
      </c>
      <c r="D45" s="22" t="s">
        <v>23</v>
      </c>
      <c r="E45" s="22" t="s">
        <v>89</v>
      </c>
      <c r="F45" s="8">
        <v>63</v>
      </c>
      <c r="G45" s="20">
        <v>90.496875</v>
      </c>
      <c r="H45" s="21">
        <v>1.84486810001463</v>
      </c>
      <c r="I45" s="37">
        <v>90.3999999999999</v>
      </c>
      <c r="J45" s="21">
        <v>0.208166599946612</v>
      </c>
      <c r="K45" s="22" t="s">
        <v>90</v>
      </c>
      <c r="L45" s="39">
        <v>220</v>
      </c>
      <c r="M45" s="24" t="s">
        <v>26</v>
      </c>
      <c r="N45" s="8" t="s">
        <v>91</v>
      </c>
      <c r="O45" s="39">
        <v>200</v>
      </c>
      <c r="P45" s="8" t="s">
        <v>28</v>
      </c>
    </row>
    <row r="46" s="1" customFormat="1" ht="15.5" spans="1:16">
      <c r="A46" s="14" t="s">
        <v>95</v>
      </c>
      <c r="B46" s="22" t="s">
        <v>37</v>
      </c>
      <c r="C46" s="22" t="s">
        <v>88</v>
      </c>
      <c r="D46" s="22" t="s">
        <v>23</v>
      </c>
      <c r="E46" s="22" t="s">
        <v>89</v>
      </c>
      <c r="F46" s="8">
        <v>60</v>
      </c>
      <c r="G46" s="20">
        <v>90.8049991976095</v>
      </c>
      <c r="H46" s="21">
        <v>1.59179233743923</v>
      </c>
      <c r="I46" s="37">
        <v>90.3327311792674</v>
      </c>
      <c r="J46" s="21">
        <v>0.0550038776493227</v>
      </c>
      <c r="K46" s="22" t="s">
        <v>90</v>
      </c>
      <c r="L46" s="39">
        <v>220</v>
      </c>
      <c r="M46" s="24" t="s">
        <v>26</v>
      </c>
      <c r="N46" s="8" t="s">
        <v>91</v>
      </c>
      <c r="O46" s="39">
        <v>200</v>
      </c>
      <c r="P46" s="8" t="s">
        <v>28</v>
      </c>
    </row>
    <row r="47" s="1" customFormat="1" ht="15.5" spans="1:16">
      <c r="A47" s="14" t="s">
        <v>96</v>
      </c>
      <c r="B47" s="22" t="s">
        <v>37</v>
      </c>
      <c r="C47" s="22" t="s">
        <v>88</v>
      </c>
      <c r="D47" s="22" t="s">
        <v>23</v>
      </c>
      <c r="E47" s="22" t="s">
        <v>89</v>
      </c>
      <c r="F47" s="8">
        <v>62</v>
      </c>
      <c r="G47" s="20">
        <v>91.6412124876258</v>
      </c>
      <c r="H47" s="21">
        <v>1.5924031673899</v>
      </c>
      <c r="I47" s="37">
        <v>90.3936304659901</v>
      </c>
      <c r="J47" s="21">
        <v>0.18175660902541</v>
      </c>
      <c r="K47" s="22" t="s">
        <v>90</v>
      </c>
      <c r="L47" s="39">
        <v>220</v>
      </c>
      <c r="M47" s="24" t="s">
        <v>26</v>
      </c>
      <c r="N47" s="8" t="s">
        <v>91</v>
      </c>
      <c r="O47" s="39">
        <v>200</v>
      </c>
      <c r="P47" s="8" t="s">
        <v>28</v>
      </c>
    </row>
    <row r="48" s="1" customFormat="1" ht="15.5" spans="1:16">
      <c r="A48" s="14" t="s">
        <v>97</v>
      </c>
      <c r="B48" s="22" t="s">
        <v>37</v>
      </c>
      <c r="C48" s="22" t="s">
        <v>88</v>
      </c>
      <c r="D48" s="22" t="s">
        <v>23</v>
      </c>
      <c r="E48" s="22" t="s">
        <v>89</v>
      </c>
      <c r="F48" s="22">
        <v>60</v>
      </c>
      <c r="G48" s="20">
        <v>89.821875</v>
      </c>
      <c r="H48" s="21">
        <v>1.9345307633102</v>
      </c>
      <c r="I48" s="37">
        <v>90.62</v>
      </c>
      <c r="J48" s="21">
        <v>0.234757558155454</v>
      </c>
      <c r="K48" s="22" t="s">
        <v>90</v>
      </c>
      <c r="L48" s="39">
        <v>220</v>
      </c>
      <c r="M48" s="24" t="s">
        <v>26</v>
      </c>
      <c r="N48" s="8" t="s">
        <v>91</v>
      </c>
      <c r="O48" s="39">
        <v>200</v>
      </c>
      <c r="P48" s="8" t="s">
        <v>28</v>
      </c>
    </row>
    <row r="49" s="1" customFormat="1" ht="15.5" spans="1:16">
      <c r="A49" s="14" t="s">
        <v>98</v>
      </c>
      <c r="B49" s="22" t="s">
        <v>37</v>
      </c>
      <c r="C49" s="22" t="s">
        <v>88</v>
      </c>
      <c r="D49" s="22" t="s">
        <v>23</v>
      </c>
      <c r="E49" s="22" t="s">
        <v>89</v>
      </c>
      <c r="F49" s="22">
        <v>62</v>
      </c>
      <c r="G49" s="20">
        <v>90.924317390377</v>
      </c>
      <c r="H49" s="21">
        <v>1.46969884603033</v>
      </c>
      <c r="I49" s="37">
        <v>90.692826652267</v>
      </c>
      <c r="J49" s="21">
        <v>0.0484568307548075</v>
      </c>
      <c r="K49" s="22" t="s">
        <v>90</v>
      </c>
      <c r="L49" s="39">
        <v>220</v>
      </c>
      <c r="M49" s="24" t="s">
        <v>26</v>
      </c>
      <c r="N49" s="8" t="s">
        <v>91</v>
      </c>
      <c r="O49" s="39">
        <v>200</v>
      </c>
      <c r="P49" s="8" t="s">
        <v>28</v>
      </c>
    </row>
    <row r="50" s="1" customFormat="1" ht="15.5" spans="1:16">
      <c r="A50" s="14" t="s">
        <v>99</v>
      </c>
      <c r="B50" s="22" t="s">
        <v>37</v>
      </c>
      <c r="C50" s="22" t="s">
        <v>88</v>
      </c>
      <c r="D50" s="22" t="s">
        <v>23</v>
      </c>
      <c r="E50" s="22" t="s">
        <v>89</v>
      </c>
      <c r="F50" s="22">
        <v>64</v>
      </c>
      <c r="G50" s="20">
        <v>90.1166666666666</v>
      </c>
      <c r="H50" s="21">
        <v>2.07181665270463</v>
      </c>
      <c r="I50" s="37">
        <v>90.7</v>
      </c>
      <c r="J50" s="21">
        <v>0.141421356237309</v>
      </c>
      <c r="K50" s="22" t="s">
        <v>90</v>
      </c>
      <c r="L50" s="39">
        <v>220</v>
      </c>
      <c r="M50" s="24" t="s">
        <v>26</v>
      </c>
      <c r="N50" s="8" t="s">
        <v>91</v>
      </c>
      <c r="O50" s="39">
        <v>200</v>
      </c>
      <c r="P50" s="8" t="s">
        <v>28</v>
      </c>
    </row>
    <row r="51" s="1" customFormat="1" ht="15.5" spans="1:16">
      <c r="A51" s="14" t="s">
        <v>100</v>
      </c>
      <c r="B51" s="22" t="s">
        <v>37</v>
      </c>
      <c r="C51" s="22" t="s">
        <v>88</v>
      </c>
      <c r="D51" s="22" t="s">
        <v>23</v>
      </c>
      <c r="E51" s="22" t="s">
        <v>89</v>
      </c>
      <c r="F51" s="22">
        <v>75</v>
      </c>
      <c r="G51" s="20">
        <v>90.9571428571428</v>
      </c>
      <c r="H51" s="21">
        <v>2.02017298791437</v>
      </c>
      <c r="I51" s="37">
        <v>90.8583333333333</v>
      </c>
      <c r="J51" s="21">
        <v>0.116450015288131</v>
      </c>
      <c r="K51" s="22" t="s">
        <v>90</v>
      </c>
      <c r="L51" s="39">
        <v>220</v>
      </c>
      <c r="M51" s="24" t="s">
        <v>26</v>
      </c>
      <c r="N51" s="8" t="s">
        <v>91</v>
      </c>
      <c r="O51" s="39">
        <v>200</v>
      </c>
      <c r="P51" s="8" t="s">
        <v>28</v>
      </c>
    </row>
    <row r="52" s="1" customFormat="1" ht="15.5" spans="1:16">
      <c r="A52" s="14" t="s">
        <v>101</v>
      </c>
      <c r="B52" s="22" t="s">
        <v>37</v>
      </c>
      <c r="C52" s="22" t="s">
        <v>88</v>
      </c>
      <c r="D52" s="22" t="s">
        <v>23</v>
      </c>
      <c r="E52" s="22" t="s">
        <v>89</v>
      </c>
      <c r="F52" s="22">
        <v>64</v>
      </c>
      <c r="G52" s="20">
        <v>91.8626818946285</v>
      </c>
      <c r="H52" s="21">
        <v>0.89957160722502</v>
      </c>
      <c r="I52" s="37">
        <v>91.092891830104</v>
      </c>
      <c r="J52" s="21">
        <v>0.0809903970403968</v>
      </c>
      <c r="K52" s="22" t="s">
        <v>90</v>
      </c>
      <c r="L52" s="39">
        <v>220</v>
      </c>
      <c r="M52" s="24" t="s">
        <v>26</v>
      </c>
      <c r="N52" s="8" t="s">
        <v>91</v>
      </c>
      <c r="O52" s="39">
        <v>200</v>
      </c>
      <c r="P52" s="8" t="s">
        <v>28</v>
      </c>
    </row>
    <row r="53" s="1" customFormat="1" ht="15.5" spans="1:16">
      <c r="A53" s="14" t="s">
        <v>102</v>
      </c>
      <c r="B53" s="22" t="s">
        <v>37</v>
      </c>
      <c r="C53" s="22" t="s">
        <v>88</v>
      </c>
      <c r="D53" s="22" t="s">
        <v>23</v>
      </c>
      <c r="E53" s="22" t="s">
        <v>89</v>
      </c>
      <c r="F53" s="22">
        <v>53</v>
      </c>
      <c r="G53" s="20">
        <v>91.4941176470588</v>
      </c>
      <c r="H53" s="21">
        <v>1.01262969284465</v>
      </c>
      <c r="I53" s="37">
        <v>91.0692307692307</v>
      </c>
      <c r="J53" s="21">
        <v>0.137747446344239</v>
      </c>
      <c r="K53" s="22" t="s">
        <v>90</v>
      </c>
      <c r="L53" s="39">
        <v>220</v>
      </c>
      <c r="M53" s="24" t="s">
        <v>26</v>
      </c>
      <c r="N53" s="8" t="s">
        <v>91</v>
      </c>
      <c r="O53" s="39">
        <v>200</v>
      </c>
      <c r="P53" s="8" t="s">
        <v>28</v>
      </c>
    </row>
    <row r="54" s="1" customFormat="1" ht="15.5" spans="1:16">
      <c r="A54" s="14" t="s">
        <v>103</v>
      </c>
      <c r="B54" s="22" t="s">
        <v>37</v>
      </c>
      <c r="C54" s="22" t="s">
        <v>88</v>
      </c>
      <c r="D54" s="22" t="s">
        <v>23</v>
      </c>
      <c r="E54" s="22" t="s">
        <v>89</v>
      </c>
      <c r="F54" s="22">
        <v>59</v>
      </c>
      <c r="G54" s="20">
        <v>90.3974241252125</v>
      </c>
      <c r="H54" s="21">
        <v>1.75719921701117</v>
      </c>
      <c r="I54" s="37">
        <v>91.1130692598577</v>
      </c>
      <c r="J54" s="21">
        <v>0.152123033873215</v>
      </c>
      <c r="K54" s="22" t="s">
        <v>90</v>
      </c>
      <c r="L54" s="39">
        <v>220</v>
      </c>
      <c r="M54" s="24" t="s">
        <v>26</v>
      </c>
      <c r="N54" s="8" t="s">
        <v>91</v>
      </c>
      <c r="O54" s="39">
        <v>200</v>
      </c>
      <c r="P54" s="8" t="s">
        <v>28</v>
      </c>
    </row>
    <row r="55" s="1" customFormat="1" ht="15.5" spans="1:16">
      <c r="A55" s="14" t="s">
        <v>104</v>
      </c>
      <c r="B55" s="22" t="s">
        <v>37</v>
      </c>
      <c r="C55" s="22" t="s">
        <v>88</v>
      </c>
      <c r="D55" s="22" t="s">
        <v>23</v>
      </c>
      <c r="E55" s="22" t="s">
        <v>89</v>
      </c>
      <c r="F55" s="22">
        <v>48</v>
      </c>
      <c r="G55" s="20">
        <v>90.7916666666666</v>
      </c>
      <c r="H55" s="21">
        <v>0.242930342928073</v>
      </c>
      <c r="I55" s="37">
        <v>90.8</v>
      </c>
      <c r="J55" s="21">
        <v>0.565685424949236</v>
      </c>
      <c r="K55" s="22" t="s">
        <v>90</v>
      </c>
      <c r="L55" s="39">
        <v>220</v>
      </c>
      <c r="M55" s="24" t="s">
        <v>26</v>
      </c>
      <c r="N55" s="8" t="s">
        <v>91</v>
      </c>
      <c r="O55" s="39">
        <v>200</v>
      </c>
      <c r="P55" s="8" t="s">
        <v>28</v>
      </c>
    </row>
    <row r="56" s="1" customFormat="1" ht="15.5" spans="1:16">
      <c r="A56" s="14" t="s">
        <v>105</v>
      </c>
      <c r="B56" s="22" t="s">
        <v>37</v>
      </c>
      <c r="C56" s="22" t="s">
        <v>88</v>
      </c>
      <c r="D56" s="22" t="s">
        <v>23</v>
      </c>
      <c r="E56" s="22" t="s">
        <v>89</v>
      </c>
      <c r="F56" s="8"/>
      <c r="G56" s="20">
        <v>91.5709677419354</v>
      </c>
      <c r="H56" s="21">
        <v>0.586056623195574</v>
      </c>
      <c r="I56" s="37">
        <v>91.22</v>
      </c>
      <c r="J56" s="21">
        <v>0.0836660026534028</v>
      </c>
      <c r="K56" s="22" t="s">
        <v>90</v>
      </c>
      <c r="L56" s="39">
        <v>220</v>
      </c>
      <c r="M56" s="24" t="s">
        <v>26</v>
      </c>
      <c r="N56" s="8" t="s">
        <v>91</v>
      </c>
      <c r="O56" s="39">
        <v>200</v>
      </c>
      <c r="P56" s="8" t="s">
        <v>28</v>
      </c>
    </row>
    <row r="57" s="1" customFormat="1" ht="15.5" spans="1:16">
      <c r="A57" s="14" t="s">
        <v>106</v>
      </c>
      <c r="B57" s="22" t="s">
        <v>37</v>
      </c>
      <c r="C57" s="22" t="s">
        <v>88</v>
      </c>
      <c r="D57" s="22" t="s">
        <v>23</v>
      </c>
      <c r="E57" s="22" t="s">
        <v>89</v>
      </c>
      <c r="F57" s="22">
        <v>69</v>
      </c>
      <c r="G57" s="20">
        <v>92.1182488961</v>
      </c>
      <c r="H57" s="21">
        <v>0.579296806972854</v>
      </c>
      <c r="I57" s="37">
        <v>91.2929966181412</v>
      </c>
      <c r="J57" s="21">
        <v>0.210974851340345</v>
      </c>
      <c r="K57" s="22" t="s">
        <v>90</v>
      </c>
      <c r="L57" s="39">
        <v>220</v>
      </c>
      <c r="M57" s="24" t="s">
        <v>26</v>
      </c>
      <c r="N57" s="8" t="s">
        <v>91</v>
      </c>
      <c r="O57" s="39">
        <v>200</v>
      </c>
      <c r="P57" s="8" t="s">
        <v>28</v>
      </c>
    </row>
    <row r="58" s="1" customFormat="1" ht="15.5" spans="1:16">
      <c r="A58" s="14" t="s">
        <v>107</v>
      </c>
      <c r="B58" s="22" t="s">
        <v>37</v>
      </c>
      <c r="C58" s="22" t="s">
        <v>88</v>
      </c>
      <c r="D58" s="22" t="s">
        <v>23</v>
      </c>
      <c r="E58" s="22" t="s">
        <v>89</v>
      </c>
      <c r="F58" s="22">
        <v>47</v>
      </c>
      <c r="G58" s="20">
        <v>91.2663099466178</v>
      </c>
      <c r="H58" s="21">
        <v>0.856168271033011</v>
      </c>
      <c r="I58" s="37">
        <v>91.5395933069878</v>
      </c>
      <c r="J58" s="21">
        <v>0.258794059867526</v>
      </c>
      <c r="K58" s="22" t="s">
        <v>90</v>
      </c>
      <c r="L58" s="39">
        <v>220</v>
      </c>
      <c r="M58" s="24" t="s">
        <v>26</v>
      </c>
      <c r="N58" s="8" t="s">
        <v>91</v>
      </c>
      <c r="O58" s="39">
        <v>200</v>
      </c>
      <c r="P58" s="8" t="s">
        <v>28</v>
      </c>
    </row>
    <row r="59" s="1" customFormat="1" ht="15.5" spans="1:16">
      <c r="A59" s="14" t="s">
        <v>108</v>
      </c>
      <c r="B59" s="22" t="s">
        <v>37</v>
      </c>
      <c r="C59" s="22" t="s">
        <v>88</v>
      </c>
      <c r="D59" s="22" t="s">
        <v>23</v>
      </c>
      <c r="E59" s="22" t="s">
        <v>89</v>
      </c>
      <c r="F59" s="22">
        <v>48</v>
      </c>
      <c r="G59" s="20">
        <v>91.3869877334997</v>
      </c>
      <c r="H59" s="21">
        <v>0.700361107964958</v>
      </c>
      <c r="I59" s="37">
        <v>91.5642665979652</v>
      </c>
      <c r="J59" s="21">
        <v>0.220810424186648</v>
      </c>
      <c r="K59" s="22" t="s">
        <v>90</v>
      </c>
      <c r="L59" s="39">
        <v>220</v>
      </c>
      <c r="M59" s="24" t="s">
        <v>26</v>
      </c>
      <c r="N59" s="8" t="s">
        <v>91</v>
      </c>
      <c r="O59" s="39">
        <v>200</v>
      </c>
      <c r="P59" s="8" t="s">
        <v>28</v>
      </c>
    </row>
    <row r="60" s="1" customFormat="1" ht="15.5" spans="1:16">
      <c r="A60" s="14" t="s">
        <v>109</v>
      </c>
      <c r="B60" s="22" t="s">
        <v>37</v>
      </c>
      <c r="C60" s="22" t="s">
        <v>88</v>
      </c>
      <c r="D60" s="22" t="s">
        <v>23</v>
      </c>
      <c r="E60" s="22" t="s">
        <v>89</v>
      </c>
      <c r="F60" s="22">
        <v>49</v>
      </c>
      <c r="G60" s="20">
        <v>91.8099325395091</v>
      </c>
      <c r="H60" s="21">
        <v>0.940469996991753</v>
      </c>
      <c r="I60" s="37">
        <v>91.8063628105395</v>
      </c>
      <c r="J60" s="21">
        <v>0.194096824135305</v>
      </c>
      <c r="K60" s="22" t="s">
        <v>90</v>
      </c>
      <c r="L60" s="39">
        <v>220</v>
      </c>
      <c r="M60" s="24" t="s">
        <v>26</v>
      </c>
      <c r="N60" s="8" t="s">
        <v>91</v>
      </c>
      <c r="O60" s="39">
        <v>200</v>
      </c>
      <c r="P60" s="8" t="s">
        <v>28</v>
      </c>
    </row>
    <row r="61" s="1" customFormat="1" ht="15.5" spans="1:16">
      <c r="A61" s="14" t="s">
        <v>110</v>
      </c>
      <c r="B61" s="22" t="s">
        <v>37</v>
      </c>
      <c r="C61" s="22" t="s">
        <v>88</v>
      </c>
      <c r="D61" s="22" t="s">
        <v>23</v>
      </c>
      <c r="E61" s="22" t="s">
        <v>89</v>
      </c>
      <c r="F61" s="8">
        <v>52</v>
      </c>
      <c r="G61" s="20">
        <v>91.8410767450831</v>
      </c>
      <c r="H61" s="21">
        <v>1.20211981064463</v>
      </c>
      <c r="I61" s="37">
        <v>91.5536994581256</v>
      </c>
      <c r="J61" s="21">
        <v>0.213626424940833</v>
      </c>
      <c r="K61" s="22" t="s">
        <v>83</v>
      </c>
      <c r="L61" s="39">
        <v>220</v>
      </c>
      <c r="M61" s="24" t="s">
        <v>26</v>
      </c>
      <c r="N61" s="8" t="s">
        <v>91</v>
      </c>
      <c r="O61" s="39">
        <v>200</v>
      </c>
      <c r="P61" s="8" t="s">
        <v>28</v>
      </c>
    </row>
    <row r="62" s="1" customFormat="1" ht="15.5" spans="1:16">
      <c r="A62" s="14" t="s">
        <v>111</v>
      </c>
      <c r="B62" s="22" t="s">
        <v>37</v>
      </c>
      <c r="C62" s="22" t="s">
        <v>88</v>
      </c>
      <c r="D62" s="22" t="s">
        <v>23</v>
      </c>
      <c r="E62" s="22" t="s">
        <v>89</v>
      </c>
      <c r="F62" s="8">
        <v>53</v>
      </c>
      <c r="G62" s="20">
        <v>91.1411007189808</v>
      </c>
      <c r="H62" s="21">
        <v>1.64750746660057</v>
      </c>
      <c r="I62" s="37">
        <v>91.4949706397451</v>
      </c>
      <c r="J62" s="21">
        <v>0.323849342980767</v>
      </c>
      <c r="K62" s="22" t="s">
        <v>83</v>
      </c>
      <c r="L62" s="39">
        <v>220</v>
      </c>
      <c r="M62" s="24" t="s">
        <v>26</v>
      </c>
      <c r="N62" s="8" t="s">
        <v>91</v>
      </c>
      <c r="O62" s="39">
        <v>200</v>
      </c>
      <c r="P62" s="8" t="s">
        <v>28</v>
      </c>
    </row>
    <row r="63" s="1" customFormat="1" ht="15.5" spans="1:16">
      <c r="A63" s="14" t="s">
        <v>112</v>
      </c>
      <c r="B63" s="22" t="s">
        <v>37</v>
      </c>
      <c r="C63" s="22" t="s">
        <v>88</v>
      </c>
      <c r="D63" s="22" t="s">
        <v>23</v>
      </c>
      <c r="E63" s="22" t="s">
        <v>89</v>
      </c>
      <c r="F63" s="8">
        <v>53</v>
      </c>
      <c r="G63" s="20">
        <v>91.0829010007671</v>
      </c>
      <c r="H63" s="21">
        <v>1.64740076646006</v>
      </c>
      <c r="I63" s="37">
        <v>91.5506106157102</v>
      </c>
      <c r="J63" s="21">
        <v>0.140247189280543</v>
      </c>
      <c r="K63" s="22" t="s">
        <v>113</v>
      </c>
      <c r="L63" s="39">
        <v>220</v>
      </c>
      <c r="M63" s="24" t="s">
        <v>26</v>
      </c>
      <c r="N63" s="8" t="s">
        <v>91</v>
      </c>
      <c r="O63" s="39">
        <v>200</v>
      </c>
      <c r="P63" s="8" t="s">
        <v>28</v>
      </c>
    </row>
    <row r="64" s="1" customFormat="1" ht="15.5" spans="1:16">
      <c r="A64" s="14" t="s">
        <v>114</v>
      </c>
      <c r="B64" s="22" t="s">
        <v>37</v>
      </c>
      <c r="C64" s="22" t="s">
        <v>88</v>
      </c>
      <c r="D64" s="22" t="s">
        <v>23</v>
      </c>
      <c r="E64" s="22" t="s">
        <v>89</v>
      </c>
      <c r="F64" s="8">
        <v>49</v>
      </c>
      <c r="G64" s="20">
        <v>91.5434782608695</v>
      </c>
      <c r="H64" s="21">
        <v>0.938474453310749</v>
      </c>
      <c r="I64" s="37">
        <v>91.662962962963</v>
      </c>
      <c r="J64" s="21">
        <v>0.171303033670539</v>
      </c>
      <c r="K64" s="22" t="s">
        <v>113</v>
      </c>
      <c r="L64" s="39">
        <v>220</v>
      </c>
      <c r="M64" s="24" t="s">
        <v>26</v>
      </c>
      <c r="N64" s="8" t="s">
        <v>91</v>
      </c>
      <c r="O64" s="39">
        <v>200</v>
      </c>
      <c r="P64" s="8" t="s">
        <v>28</v>
      </c>
    </row>
    <row r="65" s="1" customFormat="1" ht="15.5" spans="1:16">
      <c r="A65" s="14" t="s">
        <v>115</v>
      </c>
      <c r="B65" s="22" t="s">
        <v>37</v>
      </c>
      <c r="C65" s="22" t="s">
        <v>88</v>
      </c>
      <c r="D65" s="22" t="s">
        <v>23</v>
      </c>
      <c r="E65" s="22" t="s">
        <v>89</v>
      </c>
      <c r="F65" s="8">
        <v>56</v>
      </c>
      <c r="G65" s="20">
        <v>91.2662471999677</v>
      </c>
      <c r="H65" s="21">
        <v>0.913318123211044</v>
      </c>
      <c r="I65" s="37">
        <v>91.1241729591993</v>
      </c>
      <c r="J65" s="21">
        <v>0.182961720597311</v>
      </c>
      <c r="K65" s="22" t="s">
        <v>116</v>
      </c>
      <c r="L65" s="39">
        <v>220</v>
      </c>
      <c r="M65" s="24" t="s">
        <v>26</v>
      </c>
      <c r="N65" s="8" t="s">
        <v>91</v>
      </c>
      <c r="O65" s="39">
        <v>200</v>
      </c>
      <c r="P65" s="8" t="s">
        <v>28</v>
      </c>
    </row>
    <row r="66" s="1" customFormat="1" ht="15.5" spans="1:16">
      <c r="A66" s="14" t="s">
        <v>117</v>
      </c>
      <c r="B66" s="22" t="s">
        <v>37</v>
      </c>
      <c r="C66" s="22" t="s">
        <v>88</v>
      </c>
      <c r="D66" s="22" t="s">
        <v>23</v>
      </c>
      <c r="E66" s="22" t="s">
        <v>89</v>
      </c>
      <c r="F66" s="8">
        <v>56</v>
      </c>
      <c r="G66" s="20">
        <v>91.2780956240544</v>
      </c>
      <c r="H66" s="21">
        <v>0.860074492857007</v>
      </c>
      <c r="I66" s="37">
        <v>91.1923147343566</v>
      </c>
      <c r="J66" s="21">
        <v>0.180678254158493</v>
      </c>
      <c r="K66" s="22" t="s">
        <v>116</v>
      </c>
      <c r="L66" s="39">
        <v>220</v>
      </c>
      <c r="M66" s="24" t="s">
        <v>26</v>
      </c>
      <c r="N66" s="8" t="s">
        <v>91</v>
      </c>
      <c r="O66" s="39">
        <v>200</v>
      </c>
      <c r="P66" s="8" t="s">
        <v>28</v>
      </c>
    </row>
    <row r="67" s="1" customFormat="1" ht="15.5" spans="1:16">
      <c r="A67" s="14" t="s">
        <v>118</v>
      </c>
      <c r="B67" s="22" t="s">
        <v>37</v>
      </c>
      <c r="C67" s="22" t="s">
        <v>88</v>
      </c>
      <c r="D67" s="22" t="s">
        <v>23</v>
      </c>
      <c r="E67" s="22" t="s">
        <v>89</v>
      </c>
      <c r="F67" s="8">
        <v>56</v>
      </c>
      <c r="G67" s="20">
        <v>91.2159299230331</v>
      </c>
      <c r="H67" s="21">
        <v>0.788172541018204</v>
      </c>
      <c r="I67" s="37">
        <v>91.148966831799</v>
      </c>
      <c r="J67" s="21">
        <v>0.302293718281619</v>
      </c>
      <c r="K67" s="40" t="s">
        <v>116</v>
      </c>
      <c r="L67" s="39">
        <v>220</v>
      </c>
      <c r="M67" s="24" t="s">
        <v>26</v>
      </c>
      <c r="N67" s="8" t="s">
        <v>91</v>
      </c>
      <c r="O67" s="39">
        <v>200</v>
      </c>
      <c r="P67" s="8" t="s">
        <v>28</v>
      </c>
    </row>
    <row r="68" s="1" customFormat="1" ht="15.5" spans="1:16">
      <c r="A68" s="14"/>
      <c r="B68" s="22"/>
      <c r="C68" s="22"/>
      <c r="D68" s="22"/>
      <c r="E68" s="22"/>
      <c r="F68" s="8"/>
      <c r="G68" s="20"/>
      <c r="H68" s="21"/>
      <c r="I68" s="37"/>
      <c r="J68" s="21"/>
      <c r="K68" s="40"/>
      <c r="L68" s="39"/>
      <c r="M68" s="24"/>
      <c r="N68" s="8"/>
      <c r="O68" s="39"/>
      <c r="P68" s="8"/>
    </row>
    <row r="69" s="1" customFormat="1" ht="15.5" spans="1:16">
      <c r="A69" s="29" t="s">
        <v>119</v>
      </c>
      <c r="B69" s="14"/>
      <c r="C69" s="14"/>
      <c r="D69" s="22"/>
      <c r="E69" s="22"/>
      <c r="F69" s="24"/>
      <c r="G69" s="20"/>
      <c r="H69" s="20"/>
      <c r="I69" s="37"/>
      <c r="J69" s="20"/>
      <c r="K69" s="15"/>
      <c r="L69" s="39"/>
      <c r="M69" s="24"/>
      <c r="N69" s="8"/>
      <c r="O69" s="39"/>
      <c r="P69" s="8"/>
    </row>
    <row r="70" s="1" customFormat="1" ht="15.5" spans="1:16">
      <c r="A70" s="14" t="s">
        <v>120</v>
      </c>
      <c r="B70" s="22" t="s">
        <v>37</v>
      </c>
      <c r="C70" s="22" t="s">
        <v>88</v>
      </c>
      <c r="D70" s="22" t="s">
        <v>23</v>
      </c>
      <c r="E70" s="22" t="s">
        <v>89</v>
      </c>
      <c r="F70" s="8">
        <v>173</v>
      </c>
      <c r="G70" s="20">
        <v>92.2264631578947</v>
      </c>
      <c r="H70" s="21">
        <v>0.409485316804353</v>
      </c>
      <c r="I70" s="37">
        <v>90.4760947368421</v>
      </c>
      <c r="J70" s="21">
        <v>0.122380742283546</v>
      </c>
      <c r="K70" s="22" t="s">
        <v>54</v>
      </c>
      <c r="L70" s="39">
        <v>203</v>
      </c>
      <c r="M70" s="24" t="s">
        <v>26</v>
      </c>
      <c r="N70" s="8" t="s">
        <v>121</v>
      </c>
      <c r="O70" s="39">
        <v>200</v>
      </c>
      <c r="P70" s="8" t="s">
        <v>28</v>
      </c>
    </row>
    <row r="71" s="1" customFormat="1" ht="15.5" spans="1:16">
      <c r="A71" s="14" t="s">
        <v>122</v>
      </c>
      <c r="B71" s="22" t="s">
        <v>37</v>
      </c>
      <c r="C71" s="22" t="s">
        <v>88</v>
      </c>
      <c r="D71" s="22" t="s">
        <v>23</v>
      </c>
      <c r="E71" s="22" t="s">
        <v>123</v>
      </c>
      <c r="F71" s="8">
        <v>143</v>
      </c>
      <c r="G71" s="20"/>
      <c r="H71" s="21"/>
      <c r="I71" s="37"/>
      <c r="J71" s="21"/>
      <c r="K71" s="22"/>
      <c r="L71" s="39">
        <v>260</v>
      </c>
      <c r="M71" s="24" t="s">
        <v>26</v>
      </c>
      <c r="N71" s="8" t="s">
        <v>124</v>
      </c>
      <c r="O71" s="39">
        <v>210</v>
      </c>
      <c r="P71" s="8" t="s">
        <v>28</v>
      </c>
    </row>
    <row r="72" s="1" customFormat="1" ht="15.5" spans="1:16">
      <c r="A72" s="14" t="s">
        <v>125</v>
      </c>
      <c r="B72" s="22" t="s">
        <v>37</v>
      </c>
      <c r="C72" s="22" t="s">
        <v>88</v>
      </c>
      <c r="D72" s="22" t="s">
        <v>23</v>
      </c>
      <c r="E72" s="22" t="s">
        <v>89</v>
      </c>
      <c r="F72" s="8">
        <v>542</v>
      </c>
      <c r="G72" s="20"/>
      <c r="H72" s="21"/>
      <c r="I72" s="37"/>
      <c r="J72" s="21"/>
      <c r="K72" s="40"/>
      <c r="L72" s="39">
        <v>240</v>
      </c>
      <c r="M72" s="24" t="s">
        <v>33</v>
      </c>
      <c r="N72" s="8" t="s">
        <v>126</v>
      </c>
      <c r="O72" s="39">
        <v>200</v>
      </c>
      <c r="P72" s="8" t="s">
        <v>28</v>
      </c>
    </row>
    <row r="73" s="1" customFormat="1" ht="15.5" spans="1:16">
      <c r="A73" s="14" t="s">
        <v>127</v>
      </c>
      <c r="B73" s="22" t="s">
        <v>37</v>
      </c>
      <c r="C73" s="22" t="s">
        <v>88</v>
      </c>
      <c r="D73" s="22" t="s">
        <v>23</v>
      </c>
      <c r="E73" s="22" t="s">
        <v>128</v>
      </c>
      <c r="F73" s="8">
        <v>640</v>
      </c>
      <c r="G73" s="20">
        <v>92.3265372407713</v>
      </c>
      <c r="H73" s="21">
        <v>1.22671450110805</v>
      </c>
      <c r="I73" s="37">
        <v>92.4955830728815</v>
      </c>
      <c r="J73" s="21">
        <v>0.451742460714916</v>
      </c>
      <c r="K73" s="22" t="s">
        <v>129</v>
      </c>
      <c r="L73" s="39">
        <v>200</v>
      </c>
      <c r="M73" s="24" t="s">
        <v>33</v>
      </c>
      <c r="N73" s="8" t="s">
        <v>130</v>
      </c>
      <c r="O73" s="39">
        <v>200</v>
      </c>
      <c r="P73" s="8" t="s">
        <v>28</v>
      </c>
    </row>
    <row r="74" s="1" customFormat="1" ht="15.5" spans="1:16">
      <c r="A74" s="14" t="s">
        <v>131</v>
      </c>
      <c r="B74" s="22" t="s">
        <v>37</v>
      </c>
      <c r="C74" s="22" t="s">
        <v>132</v>
      </c>
      <c r="D74" s="22" t="s">
        <v>32</v>
      </c>
      <c r="E74" s="22" t="s">
        <v>123</v>
      </c>
      <c r="F74" s="8">
        <v>100</v>
      </c>
      <c r="G74" s="20">
        <v>91.3503666666667</v>
      </c>
      <c r="H74" s="21">
        <v>2.12170857587756</v>
      </c>
      <c r="I74" s="37">
        <v>89.57775</v>
      </c>
      <c r="J74" s="21">
        <v>0.123795959608481</v>
      </c>
      <c r="K74" s="22" t="s">
        <v>54</v>
      </c>
      <c r="L74" s="39">
        <v>163</v>
      </c>
      <c r="M74" s="24" t="s">
        <v>26</v>
      </c>
      <c r="N74" s="8" t="s">
        <v>27</v>
      </c>
      <c r="O74" s="39">
        <v>160</v>
      </c>
      <c r="P74" s="8" t="s">
        <v>28</v>
      </c>
    </row>
    <row r="75" s="1" customFormat="1" ht="15.5" spans="1:16">
      <c r="A75" s="14" t="s">
        <v>133</v>
      </c>
      <c r="B75" s="22" t="s">
        <v>37</v>
      </c>
      <c r="C75" s="22" t="s">
        <v>132</v>
      </c>
      <c r="D75" s="22" t="s">
        <v>32</v>
      </c>
      <c r="E75" s="22" t="s">
        <v>123</v>
      </c>
      <c r="F75" s="8">
        <v>100</v>
      </c>
      <c r="G75" s="20">
        <v>91.028095</v>
      </c>
      <c r="H75" s="21">
        <v>2.00788836774909</v>
      </c>
      <c r="I75" s="37">
        <v>88.3080666666666</v>
      </c>
      <c r="J75" s="21">
        <v>0.167203887514615</v>
      </c>
      <c r="K75" s="22" t="s">
        <v>54</v>
      </c>
      <c r="L75" s="39">
        <v>163</v>
      </c>
      <c r="M75" s="24" t="s">
        <v>26</v>
      </c>
      <c r="N75" s="8" t="s">
        <v>27</v>
      </c>
      <c r="O75" s="39">
        <v>160</v>
      </c>
      <c r="P75" s="8" t="s">
        <v>28</v>
      </c>
    </row>
    <row r="76" s="1" customFormat="1" ht="15.5" spans="1:16">
      <c r="A76" s="14"/>
      <c r="B76" s="22"/>
      <c r="C76" s="22"/>
      <c r="D76" s="22"/>
      <c r="E76" s="22"/>
      <c r="F76" s="8"/>
      <c r="G76" s="20"/>
      <c r="H76" s="21"/>
      <c r="I76" s="37"/>
      <c r="J76" s="21"/>
      <c r="K76" s="22"/>
      <c r="L76" s="39"/>
      <c r="M76" s="24"/>
      <c r="N76" s="8"/>
      <c r="O76" s="39"/>
      <c r="P76" s="8"/>
    </row>
    <row r="77" s="1" customFormat="1" ht="15.5" spans="1:16">
      <c r="A77" s="14" t="s">
        <v>134</v>
      </c>
      <c r="B77" s="22"/>
      <c r="C77" s="22"/>
      <c r="D77" s="22"/>
      <c r="E77" s="22"/>
      <c r="F77" s="8"/>
      <c r="G77" s="20"/>
      <c r="H77" s="21"/>
      <c r="I77" s="37"/>
      <c r="J77" s="21"/>
      <c r="K77" s="22"/>
      <c r="L77" s="39"/>
      <c r="M77" s="24"/>
      <c r="N77" s="8"/>
      <c r="O77" s="39"/>
      <c r="P77" s="8"/>
    </row>
    <row r="78" s="1" customFormat="1" ht="15.5" spans="1:16">
      <c r="A78" s="14" t="s">
        <v>135</v>
      </c>
      <c r="B78" s="22" t="s">
        <v>37</v>
      </c>
      <c r="C78" s="22" t="s">
        <v>136</v>
      </c>
      <c r="D78" s="22" t="s">
        <v>23</v>
      </c>
      <c r="E78" s="22" t="s">
        <v>137</v>
      </c>
      <c r="F78" s="8">
        <v>347</v>
      </c>
      <c r="G78" s="20">
        <v>91.5326086956522</v>
      </c>
      <c r="H78" s="21">
        <v>2.15724012590121</v>
      </c>
      <c r="I78" s="37">
        <v>88.9895053685936</v>
      </c>
      <c r="J78" s="21">
        <v>0.20712978322278</v>
      </c>
      <c r="K78" s="22" t="s">
        <v>138</v>
      </c>
      <c r="L78" s="39">
        <v>205</v>
      </c>
      <c r="M78" s="24" t="s">
        <v>26</v>
      </c>
      <c r="N78" s="8" t="s">
        <v>139</v>
      </c>
      <c r="O78" s="39">
        <v>200</v>
      </c>
      <c r="P78" s="8" t="s">
        <v>28</v>
      </c>
    </row>
    <row r="79" s="1" customFormat="1" ht="15.5" spans="1:16">
      <c r="A79" s="14" t="s">
        <v>140</v>
      </c>
      <c r="B79" s="22" t="s">
        <v>37</v>
      </c>
      <c r="C79" s="22" t="s">
        <v>136</v>
      </c>
      <c r="D79" s="22" t="s">
        <v>32</v>
      </c>
      <c r="E79" s="22" t="s">
        <v>137</v>
      </c>
      <c r="F79" s="8">
        <v>152</v>
      </c>
      <c r="G79" s="20">
        <v>91.5170247476434</v>
      </c>
      <c r="H79" s="21">
        <v>1.50982319488036</v>
      </c>
      <c r="I79" s="37">
        <v>87.2248520977964</v>
      </c>
      <c r="J79" s="21">
        <v>0.485996192463841</v>
      </c>
      <c r="K79" s="40" t="s">
        <v>63</v>
      </c>
      <c r="L79" s="39">
        <v>150</v>
      </c>
      <c r="M79" s="24" t="s">
        <v>26</v>
      </c>
      <c r="N79" s="8" t="s">
        <v>139</v>
      </c>
      <c r="O79" s="39">
        <v>0</v>
      </c>
      <c r="P79" s="8"/>
    </row>
    <row r="80" s="1" customFormat="1" ht="15.5" spans="1:16">
      <c r="A80" s="14"/>
      <c r="B80" s="22"/>
      <c r="C80" s="22"/>
      <c r="D80" s="22"/>
      <c r="E80" s="22"/>
      <c r="F80" s="8"/>
      <c r="G80" s="20"/>
      <c r="H80" s="21"/>
      <c r="I80" s="37"/>
      <c r="J80" s="21"/>
      <c r="K80" s="40"/>
      <c r="L80" s="39"/>
      <c r="M80" s="24"/>
      <c r="N80" s="8"/>
      <c r="O80" s="39"/>
      <c r="P80" s="8"/>
    </row>
    <row r="81" s="1" customFormat="1" ht="15.5" spans="1:16">
      <c r="A81" s="14" t="s">
        <v>141</v>
      </c>
      <c r="B81" s="22"/>
      <c r="C81" s="22"/>
      <c r="D81" s="22"/>
      <c r="E81" s="22"/>
      <c r="F81" s="8"/>
      <c r="G81" s="20"/>
      <c r="H81" s="21"/>
      <c r="I81" s="37"/>
      <c r="J81" s="21"/>
      <c r="K81" s="40"/>
      <c r="L81" s="39"/>
      <c r="M81" s="24"/>
      <c r="N81" s="8"/>
      <c r="O81" s="39"/>
      <c r="P81" s="8"/>
    </row>
    <row r="82" s="1" customFormat="1" ht="15.5" spans="1:16">
      <c r="A82" s="14" t="s">
        <v>142</v>
      </c>
      <c r="B82" s="22" t="s">
        <v>37</v>
      </c>
      <c r="C82" s="22" t="s">
        <v>136</v>
      </c>
      <c r="D82" s="22" t="s">
        <v>23</v>
      </c>
      <c r="E82" s="22" t="s">
        <v>143</v>
      </c>
      <c r="F82" s="8">
        <v>376</v>
      </c>
      <c r="G82" s="20">
        <f>(91.8*22+92.9*83+92.9*16)/(22+83+16)</f>
        <v>92.7</v>
      </c>
      <c r="H82" s="21">
        <v>0.4</v>
      </c>
      <c r="I82" s="37">
        <v>90.5</v>
      </c>
      <c r="J82" s="21">
        <v>0.2</v>
      </c>
      <c r="K82" s="22" t="s">
        <v>144</v>
      </c>
      <c r="L82" s="39">
        <v>210</v>
      </c>
      <c r="M82" s="24" t="s">
        <v>145</v>
      </c>
      <c r="N82" s="8" t="s">
        <v>146</v>
      </c>
      <c r="O82" s="39">
        <v>200</v>
      </c>
      <c r="P82" s="8" t="s">
        <v>28</v>
      </c>
    </row>
    <row r="83" s="1" customFormat="1" ht="15.5" spans="1:16">
      <c r="A83" s="14" t="s">
        <v>147</v>
      </c>
      <c r="B83" s="22" t="s">
        <v>21</v>
      </c>
      <c r="C83" s="22" t="s">
        <v>136</v>
      </c>
      <c r="D83" s="22" t="s">
        <v>23</v>
      </c>
      <c r="E83" s="22" t="s">
        <v>143</v>
      </c>
      <c r="F83" s="8">
        <v>380</v>
      </c>
      <c r="G83" s="20">
        <f>(91.7*51+92.1*35+92.1*14)/100</f>
        <v>91.896</v>
      </c>
      <c r="H83" s="21">
        <v>0.8</v>
      </c>
      <c r="I83" s="37">
        <v>90.8</v>
      </c>
      <c r="J83" s="21">
        <v>0.4</v>
      </c>
      <c r="K83" s="22" t="s">
        <v>144</v>
      </c>
      <c r="L83" s="39">
        <v>210</v>
      </c>
      <c r="M83" s="24" t="s">
        <v>148</v>
      </c>
      <c r="N83" s="8" t="s">
        <v>149</v>
      </c>
      <c r="O83" s="39">
        <v>200</v>
      </c>
      <c r="P83" s="8" t="s">
        <v>28</v>
      </c>
    </row>
    <row r="84" s="1" customFormat="1" ht="15.5" spans="1:16">
      <c r="A84" s="14"/>
      <c r="B84" s="22"/>
      <c r="C84" s="22"/>
      <c r="D84" s="22"/>
      <c r="E84" s="22"/>
      <c r="F84" s="24"/>
      <c r="G84" s="20"/>
      <c r="H84" s="21"/>
      <c r="I84" s="37"/>
      <c r="J84" s="21"/>
      <c r="K84" s="22"/>
      <c r="L84" s="39"/>
      <c r="M84" s="24"/>
      <c r="N84" s="8"/>
      <c r="O84" s="39"/>
      <c r="P84" s="8"/>
    </row>
    <row r="85" s="1" customFormat="1" ht="15.5" spans="1:16">
      <c r="A85" s="14" t="s">
        <v>150</v>
      </c>
      <c r="B85" s="22"/>
      <c r="C85" s="22"/>
      <c r="D85" s="22"/>
      <c r="E85" s="22"/>
      <c r="F85" s="8"/>
      <c r="G85" s="20"/>
      <c r="H85" s="21"/>
      <c r="I85" s="37"/>
      <c r="J85" s="21"/>
      <c r="K85" s="22"/>
      <c r="L85" s="39"/>
      <c r="M85" s="24"/>
      <c r="N85" s="8"/>
      <c r="O85" s="39"/>
      <c r="P85" s="8"/>
    </row>
    <row r="86" s="1" customFormat="1" ht="15.5" spans="1:16">
      <c r="A86" s="14" t="s">
        <v>151</v>
      </c>
      <c r="B86" s="22" t="s">
        <v>37</v>
      </c>
      <c r="C86" s="22" t="s">
        <v>152</v>
      </c>
      <c r="D86" s="22" t="s">
        <v>32</v>
      </c>
      <c r="E86" s="22" t="s">
        <v>153</v>
      </c>
      <c r="F86" s="8">
        <v>559</v>
      </c>
      <c r="G86" s="20">
        <v>89.9865345089195</v>
      </c>
      <c r="H86" s="21">
        <v>2.28487072157251</v>
      </c>
      <c r="I86" s="37">
        <v>88.6186358147558</v>
      </c>
      <c r="J86" s="21">
        <v>0.271530123372636</v>
      </c>
      <c r="K86" s="40" t="s">
        <v>154</v>
      </c>
      <c r="L86" s="39">
        <v>215</v>
      </c>
      <c r="M86" s="24" t="s">
        <v>148</v>
      </c>
      <c r="N86" s="8" t="s">
        <v>155</v>
      </c>
      <c r="O86" s="39">
        <v>190</v>
      </c>
      <c r="P86" s="8" t="s">
        <v>28</v>
      </c>
    </row>
    <row r="87" s="1" customFormat="1" ht="15.5" spans="1:16">
      <c r="A87" s="14" t="s">
        <v>156</v>
      </c>
      <c r="B87" s="22" t="s">
        <v>157</v>
      </c>
      <c r="C87" s="22" t="s">
        <v>152</v>
      </c>
      <c r="D87" s="22" t="s">
        <v>32</v>
      </c>
      <c r="E87" s="22" t="s">
        <v>153</v>
      </c>
      <c r="F87" s="8">
        <v>560</v>
      </c>
      <c r="G87" s="20">
        <v>89.0562554364831</v>
      </c>
      <c r="H87" s="21">
        <v>3.31722919918571</v>
      </c>
      <c r="I87" s="37">
        <v>88.1217620352156</v>
      </c>
      <c r="J87" s="21">
        <v>0.493133462470193</v>
      </c>
      <c r="K87" s="22" t="s">
        <v>158</v>
      </c>
      <c r="L87" s="39">
        <v>215</v>
      </c>
      <c r="M87" s="24" t="s">
        <v>148</v>
      </c>
      <c r="N87" s="8" t="s">
        <v>155</v>
      </c>
      <c r="O87" s="39">
        <v>190</v>
      </c>
      <c r="P87" s="8" t="s">
        <v>28</v>
      </c>
    </row>
    <row r="88" s="1" customFormat="1" ht="15.5" spans="1:16">
      <c r="A88" s="14"/>
      <c r="B88" s="22"/>
      <c r="C88" s="22"/>
      <c r="D88" s="22"/>
      <c r="E88" s="22"/>
      <c r="F88" s="8"/>
      <c r="G88" s="20"/>
      <c r="H88" s="21"/>
      <c r="I88" s="37"/>
      <c r="J88" s="21"/>
      <c r="K88" s="22"/>
      <c r="L88" s="39"/>
      <c r="M88" s="24"/>
      <c r="N88" s="8"/>
      <c r="O88" s="39"/>
      <c r="P88" s="8"/>
    </row>
    <row r="89" s="1" customFormat="1" ht="15.5" spans="1:16">
      <c r="A89" s="14" t="s">
        <v>159</v>
      </c>
      <c r="B89" s="22"/>
      <c r="C89" s="22"/>
      <c r="D89" s="22"/>
      <c r="E89" s="22"/>
      <c r="F89" s="8"/>
      <c r="G89" s="20"/>
      <c r="H89" s="21"/>
      <c r="I89" s="37"/>
      <c r="J89" s="21"/>
      <c r="K89" s="22"/>
      <c r="L89" s="39"/>
      <c r="M89" s="24"/>
      <c r="N89" s="8"/>
      <c r="O89" s="39"/>
      <c r="P89" s="8"/>
    </row>
    <row r="90" s="1" customFormat="1" ht="15.5" spans="1:16">
      <c r="A90" s="14" t="s">
        <v>160</v>
      </c>
      <c r="B90" s="22" t="s">
        <v>37</v>
      </c>
      <c r="C90" s="22" t="s">
        <v>161</v>
      </c>
      <c r="D90" s="22" t="s">
        <v>32</v>
      </c>
      <c r="E90" s="22" t="s">
        <v>162</v>
      </c>
      <c r="F90" s="8">
        <v>621</v>
      </c>
      <c r="G90" s="20">
        <v>90.601</v>
      </c>
      <c r="H90" s="21">
        <v>1.054</v>
      </c>
      <c r="I90" s="37">
        <v>89.898</v>
      </c>
      <c r="J90" s="21">
        <v>0.201</v>
      </c>
      <c r="K90" s="40" t="s">
        <v>163</v>
      </c>
      <c r="L90" s="39">
        <v>220</v>
      </c>
      <c r="M90" s="24" t="s">
        <v>33</v>
      </c>
      <c r="N90" s="8" t="s">
        <v>164</v>
      </c>
      <c r="O90" s="39">
        <v>210</v>
      </c>
      <c r="P90" s="8" t="s">
        <v>28</v>
      </c>
    </row>
    <row r="91" s="1" customFormat="1" ht="15.5" spans="1:16">
      <c r="A91" s="14" t="s">
        <v>165</v>
      </c>
      <c r="B91" s="22" t="s">
        <v>37</v>
      </c>
      <c r="C91" s="22" t="s">
        <v>161</v>
      </c>
      <c r="D91" s="22" t="s">
        <v>32</v>
      </c>
      <c r="E91" s="22" t="s">
        <v>162</v>
      </c>
      <c r="F91" s="8">
        <v>593</v>
      </c>
      <c r="G91" s="20"/>
      <c r="H91" s="21"/>
      <c r="I91" s="37"/>
      <c r="J91" s="21"/>
      <c r="K91" s="40"/>
      <c r="L91" s="39">
        <v>230</v>
      </c>
      <c r="M91" s="24" t="s">
        <v>26</v>
      </c>
      <c r="N91" s="8" t="s">
        <v>166</v>
      </c>
      <c r="O91" s="39">
        <v>210</v>
      </c>
      <c r="P91" s="8" t="s">
        <v>28</v>
      </c>
    </row>
    <row r="92" s="1" customFormat="1" ht="15.5" spans="1:16">
      <c r="A92" s="14" t="s">
        <v>167</v>
      </c>
      <c r="B92" s="22" t="s">
        <v>37</v>
      </c>
      <c r="C92" s="22" t="s">
        <v>161</v>
      </c>
      <c r="D92" s="22" t="s">
        <v>32</v>
      </c>
      <c r="E92" s="22" t="s">
        <v>162</v>
      </c>
      <c r="F92" s="8">
        <v>584</v>
      </c>
      <c r="G92" s="20"/>
      <c r="H92" s="21"/>
      <c r="I92" s="37"/>
      <c r="J92" s="21"/>
      <c r="K92" s="40"/>
      <c r="L92" s="39">
        <v>220</v>
      </c>
      <c r="M92" s="24" t="s">
        <v>26</v>
      </c>
      <c r="N92" s="8" t="s">
        <v>166</v>
      </c>
      <c r="O92" s="39">
        <v>210</v>
      </c>
      <c r="P92" s="8" t="s">
        <v>28</v>
      </c>
    </row>
    <row r="93" s="1" customFormat="1" ht="15.5" spans="1:16">
      <c r="A93" s="14" t="s">
        <v>168</v>
      </c>
      <c r="B93" s="22" t="s">
        <v>37</v>
      </c>
      <c r="C93" s="22" t="s">
        <v>161</v>
      </c>
      <c r="D93" s="22" t="s">
        <v>32</v>
      </c>
      <c r="E93" s="22" t="s">
        <v>162</v>
      </c>
      <c r="F93" s="8">
        <v>605</v>
      </c>
      <c r="G93" s="20">
        <v>89.902</v>
      </c>
      <c r="H93" s="21">
        <v>2.323</v>
      </c>
      <c r="I93" s="37">
        <v>89.258</v>
      </c>
      <c r="J93" s="21">
        <v>0.451</v>
      </c>
      <c r="K93" s="40" t="s">
        <v>163</v>
      </c>
      <c r="L93" s="39">
        <v>235</v>
      </c>
      <c r="M93" s="24" t="s">
        <v>26</v>
      </c>
      <c r="N93" s="8" t="s">
        <v>166</v>
      </c>
      <c r="O93" s="39">
        <v>210</v>
      </c>
      <c r="P93" s="8" t="s">
        <v>28</v>
      </c>
    </row>
    <row r="94" s="1" customFormat="1" ht="15.5" spans="1:16">
      <c r="A94" s="14" t="s">
        <v>169</v>
      </c>
      <c r="B94" s="22" t="s">
        <v>37</v>
      </c>
      <c r="C94" s="22" t="s">
        <v>161</v>
      </c>
      <c r="D94" s="22" t="s">
        <v>32</v>
      </c>
      <c r="E94" s="22" t="s">
        <v>162</v>
      </c>
      <c r="F94" s="8">
        <v>603</v>
      </c>
      <c r="G94" s="20">
        <v>88.798</v>
      </c>
      <c r="H94" s="21">
        <v>2.846</v>
      </c>
      <c r="I94" s="37">
        <v>88.828</v>
      </c>
      <c r="J94" s="21">
        <v>0.202</v>
      </c>
      <c r="K94" s="40" t="s">
        <v>163</v>
      </c>
      <c r="L94" s="39">
        <v>215</v>
      </c>
      <c r="M94" s="24" t="s">
        <v>26</v>
      </c>
      <c r="N94" s="8" t="s">
        <v>166</v>
      </c>
      <c r="O94" s="39">
        <v>210</v>
      </c>
      <c r="P94" s="8" t="s">
        <v>28</v>
      </c>
    </row>
    <row r="95" s="1" customFormat="1" ht="15.5" spans="1:16">
      <c r="A95" s="14" t="s">
        <v>170</v>
      </c>
      <c r="B95" s="22" t="s">
        <v>37</v>
      </c>
      <c r="C95" s="22" t="s">
        <v>161</v>
      </c>
      <c r="D95" s="22" t="s">
        <v>32</v>
      </c>
      <c r="E95" s="22" t="s">
        <v>162</v>
      </c>
      <c r="F95" s="8">
        <v>585</v>
      </c>
      <c r="G95" s="20">
        <v>88.938</v>
      </c>
      <c r="H95" s="21">
        <v>2.786</v>
      </c>
      <c r="I95" s="37">
        <v>88.306</v>
      </c>
      <c r="J95" s="21">
        <v>0.319</v>
      </c>
      <c r="K95" s="40" t="s">
        <v>163</v>
      </c>
      <c r="L95" s="39">
        <v>220</v>
      </c>
      <c r="M95" s="24" t="s">
        <v>33</v>
      </c>
      <c r="N95" s="8" t="s">
        <v>164</v>
      </c>
      <c r="O95" s="39">
        <v>210</v>
      </c>
      <c r="P95" s="8" t="s">
        <v>28</v>
      </c>
    </row>
    <row r="96" s="1" customFormat="1" ht="15.5" spans="1:16">
      <c r="A96" s="14" t="s">
        <v>171</v>
      </c>
      <c r="B96" s="22" t="s">
        <v>21</v>
      </c>
      <c r="C96" s="22" t="s">
        <v>161</v>
      </c>
      <c r="D96" s="22" t="s">
        <v>23</v>
      </c>
      <c r="E96" s="22" t="s">
        <v>162</v>
      </c>
      <c r="F96" s="8">
        <v>1203</v>
      </c>
      <c r="G96" s="20">
        <v>87.8</v>
      </c>
      <c r="H96" s="21">
        <v>4.9</v>
      </c>
      <c r="I96" s="37">
        <v>88.467671781785</v>
      </c>
      <c r="J96" s="21">
        <v>0.320237118187877</v>
      </c>
      <c r="K96" s="40" t="s">
        <v>172</v>
      </c>
      <c r="L96" s="39">
        <v>250</v>
      </c>
      <c r="M96" s="24" t="s">
        <v>33</v>
      </c>
      <c r="N96" s="8" t="s">
        <v>164</v>
      </c>
      <c r="O96" s="39">
        <v>210</v>
      </c>
      <c r="P96" s="8" t="s">
        <v>28</v>
      </c>
    </row>
    <row r="97" s="1" customFormat="1" ht="15.5" spans="1:16">
      <c r="A97" s="14"/>
      <c r="B97" s="22"/>
      <c r="C97" s="22"/>
      <c r="D97" s="22"/>
      <c r="E97" s="22"/>
      <c r="F97" s="8"/>
      <c r="G97" s="20"/>
      <c r="H97" s="21"/>
      <c r="I97" s="37"/>
      <c r="J97" s="21"/>
      <c r="K97" s="22"/>
      <c r="L97" s="39"/>
      <c r="M97" s="24"/>
      <c r="N97" s="8"/>
      <c r="O97" s="39"/>
      <c r="P97" s="8"/>
    </row>
    <row r="98" s="1" customFormat="1" ht="15.5" spans="1:16">
      <c r="A98" s="14" t="s">
        <v>173</v>
      </c>
      <c r="B98" s="22"/>
      <c r="C98" s="22"/>
      <c r="D98" s="22"/>
      <c r="E98" s="22"/>
      <c r="F98" s="8"/>
      <c r="G98" s="20"/>
      <c r="H98" s="21"/>
      <c r="I98" s="37"/>
      <c r="J98" s="21"/>
      <c r="K98" s="22"/>
      <c r="L98" s="39"/>
      <c r="M98" s="24"/>
      <c r="N98" s="8"/>
      <c r="O98" s="39"/>
      <c r="P98" s="8"/>
    </row>
    <row r="99" s="1" customFormat="1" ht="15.5" spans="1:16">
      <c r="A99" s="14" t="s">
        <v>174</v>
      </c>
      <c r="B99" s="22" t="s">
        <v>21</v>
      </c>
      <c r="C99" s="22" t="s">
        <v>175</v>
      </c>
      <c r="D99" s="22" t="s">
        <v>23</v>
      </c>
      <c r="E99" s="22" t="s">
        <v>176</v>
      </c>
      <c r="F99" s="43">
        <v>1102.5</v>
      </c>
      <c r="G99" s="20">
        <v>88.9918687247494</v>
      </c>
      <c r="H99" s="21">
        <v>3.6</v>
      </c>
      <c r="I99" s="37">
        <v>89.3308157404101</v>
      </c>
      <c r="J99" s="21">
        <v>0.44546425858068</v>
      </c>
      <c r="K99" s="22" t="s">
        <v>177</v>
      </c>
      <c r="L99" s="39">
        <v>190</v>
      </c>
      <c r="M99" s="24" t="s">
        <v>33</v>
      </c>
      <c r="N99" s="8" t="s">
        <v>178</v>
      </c>
      <c r="O99" s="39">
        <v>165</v>
      </c>
      <c r="P99" s="8" t="s">
        <v>28</v>
      </c>
    </row>
    <row r="100" s="1" customFormat="1" ht="15.5" spans="1:16">
      <c r="A100" s="14" t="s">
        <v>179</v>
      </c>
      <c r="B100" s="22" t="s">
        <v>37</v>
      </c>
      <c r="C100" s="22" t="s">
        <v>175</v>
      </c>
      <c r="D100" s="22" t="s">
        <v>23</v>
      </c>
      <c r="E100" s="22" t="s">
        <v>176</v>
      </c>
      <c r="F100" s="43">
        <v>1102.5</v>
      </c>
      <c r="G100" s="20">
        <v>88.4430671015614</v>
      </c>
      <c r="H100" s="21">
        <v>2.7688843363101</v>
      </c>
      <c r="I100" s="37">
        <v>88.070422180046</v>
      </c>
      <c r="J100" s="21">
        <v>0.121476870163945</v>
      </c>
      <c r="K100" s="22" t="s">
        <v>180</v>
      </c>
      <c r="L100" s="39">
        <v>190</v>
      </c>
      <c r="M100" s="24" t="s">
        <v>33</v>
      </c>
      <c r="N100" s="8" t="s">
        <v>178</v>
      </c>
      <c r="O100" s="39">
        <v>165</v>
      </c>
      <c r="P100" s="8" t="s">
        <v>28</v>
      </c>
    </row>
    <row r="101" s="1" customFormat="1" ht="15.5" spans="1:16">
      <c r="A101" s="14" t="s">
        <v>181</v>
      </c>
      <c r="B101" s="22" t="s">
        <v>21</v>
      </c>
      <c r="C101" s="22" t="s">
        <v>175</v>
      </c>
      <c r="D101" s="22" t="s">
        <v>23</v>
      </c>
      <c r="E101" s="22" t="s">
        <v>176</v>
      </c>
      <c r="F101" s="43">
        <v>1102.5</v>
      </c>
      <c r="G101" s="20">
        <v>90.5132323288672</v>
      </c>
      <c r="H101" s="21">
        <v>3.39983180734169</v>
      </c>
      <c r="I101" s="37">
        <v>87.8731129605166</v>
      </c>
      <c r="J101" s="21">
        <v>1.00288108055795</v>
      </c>
      <c r="K101" s="22" t="s">
        <v>180</v>
      </c>
      <c r="L101" s="39">
        <v>190</v>
      </c>
      <c r="M101" s="24" t="s">
        <v>33</v>
      </c>
      <c r="N101" s="8" t="s">
        <v>178</v>
      </c>
      <c r="O101" s="39">
        <v>165</v>
      </c>
      <c r="P101" s="8" t="s">
        <v>28</v>
      </c>
    </row>
    <row r="102" s="1" customFormat="1" ht="15.5" spans="1:16">
      <c r="A102" s="14" t="s">
        <v>182</v>
      </c>
      <c r="B102" s="22" t="s">
        <v>21</v>
      </c>
      <c r="C102" s="22" t="s">
        <v>175</v>
      </c>
      <c r="D102" s="22" t="s">
        <v>23</v>
      </c>
      <c r="E102" s="22" t="s">
        <v>176</v>
      </c>
      <c r="F102" s="43">
        <v>1102.5</v>
      </c>
      <c r="G102" s="20">
        <v>92.1330617931347</v>
      </c>
      <c r="H102" s="21">
        <v>1.6607261938278</v>
      </c>
      <c r="I102" s="37">
        <v>84.35679321726</v>
      </c>
      <c r="J102" s="21">
        <v>0.0839296119748535</v>
      </c>
      <c r="K102" s="22" t="s">
        <v>183</v>
      </c>
      <c r="L102" s="39">
        <v>190</v>
      </c>
      <c r="M102" s="24" t="s">
        <v>33</v>
      </c>
      <c r="N102" s="8" t="s">
        <v>178</v>
      </c>
      <c r="O102" s="39">
        <v>165</v>
      </c>
      <c r="P102" s="8" t="s">
        <v>28</v>
      </c>
    </row>
    <row r="103" s="1" customFormat="1" ht="15.5" spans="1:16">
      <c r="A103" s="14" t="s">
        <v>184</v>
      </c>
      <c r="B103" s="22" t="s">
        <v>21</v>
      </c>
      <c r="C103" s="22" t="s">
        <v>175</v>
      </c>
      <c r="D103" s="22" t="s">
        <v>23</v>
      </c>
      <c r="E103" s="22" t="s">
        <v>176</v>
      </c>
      <c r="F103" s="43">
        <v>1102.5</v>
      </c>
      <c r="G103" s="20">
        <v>88.3573631215247</v>
      </c>
      <c r="H103" s="21">
        <v>4.55380535859471</v>
      </c>
      <c r="I103" s="37">
        <v>84.8557791511352</v>
      </c>
      <c r="J103" s="21">
        <v>1.4881900802506</v>
      </c>
      <c r="K103" s="22" t="s">
        <v>185</v>
      </c>
      <c r="L103" s="39">
        <v>190</v>
      </c>
      <c r="M103" s="24" t="s">
        <v>33</v>
      </c>
      <c r="N103" s="8" t="s">
        <v>178</v>
      </c>
      <c r="O103" s="39">
        <v>165</v>
      </c>
      <c r="P103" s="8" t="s">
        <v>28</v>
      </c>
    </row>
    <row r="104" s="1" customFormat="1" ht="15.5" spans="1:16">
      <c r="A104" s="14" t="s">
        <v>186</v>
      </c>
      <c r="B104" s="22" t="s">
        <v>37</v>
      </c>
      <c r="C104" s="22" t="s">
        <v>175</v>
      </c>
      <c r="D104" s="22" t="s">
        <v>23</v>
      </c>
      <c r="E104" s="22" t="s">
        <v>176</v>
      </c>
      <c r="F104" s="43">
        <v>1102.5</v>
      </c>
      <c r="G104" s="20">
        <v>90.2042005379379</v>
      </c>
      <c r="H104" s="21">
        <v>2.82968852893639</v>
      </c>
      <c r="I104" s="37">
        <v>89.4058507915174</v>
      </c>
      <c r="J104" s="21">
        <v>0.237429095995707</v>
      </c>
      <c r="K104" s="22" t="s">
        <v>54</v>
      </c>
      <c r="L104" s="39">
        <v>190</v>
      </c>
      <c r="M104" s="24" t="s">
        <v>33</v>
      </c>
      <c r="N104" s="8" t="s">
        <v>178</v>
      </c>
      <c r="O104" s="39">
        <v>165</v>
      </c>
      <c r="P104" s="8" t="s">
        <v>28</v>
      </c>
    </row>
    <row r="105" s="1" customFormat="1" ht="15.5" spans="1:16">
      <c r="A105" s="14" t="s">
        <v>187</v>
      </c>
      <c r="B105" s="22" t="s">
        <v>21</v>
      </c>
      <c r="C105" s="22" t="s">
        <v>175</v>
      </c>
      <c r="D105" s="22" t="s">
        <v>23</v>
      </c>
      <c r="E105" s="22" t="s">
        <v>176</v>
      </c>
      <c r="F105" s="43">
        <v>1102.5</v>
      </c>
      <c r="G105" s="20">
        <v>88.5352044474579</v>
      </c>
      <c r="H105" s="21">
        <v>3.52778095000332</v>
      </c>
      <c r="I105" s="37">
        <v>87.5353042125592</v>
      </c>
      <c r="J105" s="21">
        <v>1.3266306069368</v>
      </c>
      <c r="K105" s="22" t="s">
        <v>185</v>
      </c>
      <c r="L105" s="39">
        <v>190</v>
      </c>
      <c r="M105" s="24" t="s">
        <v>33</v>
      </c>
      <c r="N105" s="8" t="s">
        <v>178</v>
      </c>
      <c r="O105" s="39">
        <v>165</v>
      </c>
      <c r="P105" s="8" t="s">
        <v>28</v>
      </c>
    </row>
    <row r="106" s="1" customFormat="1" ht="15.5" spans="1:16">
      <c r="A106" s="14"/>
      <c r="B106" s="22"/>
      <c r="C106" s="22"/>
      <c r="D106" s="22"/>
      <c r="E106" s="22"/>
      <c r="F106" s="43"/>
      <c r="G106" s="20"/>
      <c r="H106" s="21"/>
      <c r="I106" s="37"/>
      <c r="J106" s="21"/>
      <c r="K106" s="22"/>
      <c r="L106" s="39"/>
      <c r="M106" s="24"/>
      <c r="N106" s="8"/>
      <c r="O106" s="39"/>
      <c r="P106" s="8"/>
    </row>
    <row r="107" s="1" customFormat="1" ht="15.5" spans="1:16">
      <c r="A107" s="14" t="s">
        <v>188</v>
      </c>
      <c r="B107" s="22"/>
      <c r="C107" s="22"/>
      <c r="D107" s="22"/>
      <c r="E107" s="22"/>
      <c r="F107" s="43"/>
      <c r="G107" s="20"/>
      <c r="H107" s="21"/>
      <c r="I107" s="37"/>
      <c r="J107" s="21"/>
      <c r="K107" s="22"/>
      <c r="L107" s="39"/>
      <c r="M107" s="24"/>
      <c r="N107" s="8"/>
      <c r="O107" s="39"/>
      <c r="P107" s="8"/>
    </row>
    <row r="108" s="1" customFormat="1" ht="15.5" spans="1:16">
      <c r="A108" s="14" t="s">
        <v>189</v>
      </c>
      <c r="B108" s="22" t="s">
        <v>21</v>
      </c>
      <c r="C108" s="22" t="s">
        <v>175</v>
      </c>
      <c r="D108" s="22" t="s">
        <v>23</v>
      </c>
      <c r="E108" s="22" t="s">
        <v>190</v>
      </c>
      <c r="F108" s="43">
        <v>62.3</v>
      </c>
      <c r="G108" s="20">
        <v>89.7599413360987</v>
      </c>
      <c r="H108" s="21">
        <v>2.25857768781161</v>
      </c>
      <c r="I108" s="37">
        <v>90.3559380588374</v>
      </c>
      <c r="J108" s="21">
        <v>0.911982554188786</v>
      </c>
      <c r="K108" s="22" t="s">
        <v>185</v>
      </c>
      <c r="L108" s="39">
        <v>140</v>
      </c>
      <c r="M108" s="24" t="s">
        <v>145</v>
      </c>
      <c r="N108" s="8" t="s">
        <v>191</v>
      </c>
      <c r="O108" s="39">
        <v>140</v>
      </c>
      <c r="P108" s="8" t="s">
        <v>28</v>
      </c>
    </row>
    <row r="109" s="1" customFormat="1" ht="15.5" spans="1:16">
      <c r="A109" s="14" t="s">
        <v>192</v>
      </c>
      <c r="B109" s="22" t="s">
        <v>21</v>
      </c>
      <c r="C109" s="22" t="s">
        <v>175</v>
      </c>
      <c r="D109" s="22" t="s">
        <v>23</v>
      </c>
      <c r="E109" s="22" t="s">
        <v>190</v>
      </c>
      <c r="F109" s="43">
        <v>65</v>
      </c>
      <c r="G109" s="20">
        <v>91.858808325988</v>
      </c>
      <c r="H109" s="21">
        <v>0.980361344844557</v>
      </c>
      <c r="I109" s="37">
        <v>88.9259747667214</v>
      </c>
      <c r="J109" s="21">
        <v>0.588046084419117</v>
      </c>
      <c r="K109" s="22" t="s">
        <v>185</v>
      </c>
      <c r="L109" s="39"/>
      <c r="M109" s="24"/>
      <c r="N109" s="8"/>
      <c r="O109" s="39"/>
      <c r="P109" s="8"/>
    </row>
    <row r="110" s="1" customFormat="1" ht="15.5" spans="1:16">
      <c r="A110" s="14"/>
      <c r="B110" s="22"/>
      <c r="C110" s="22"/>
      <c r="D110" s="22"/>
      <c r="E110" s="22"/>
      <c r="F110" s="8"/>
      <c r="G110" s="7"/>
      <c r="H110" s="7"/>
      <c r="I110" s="25"/>
      <c r="J110" s="7"/>
      <c r="K110" s="22"/>
      <c r="L110" s="25"/>
      <c r="M110" s="7"/>
      <c r="N110" s="7"/>
      <c r="O110" s="39"/>
      <c r="P110" s="8"/>
    </row>
    <row r="111" s="1" customFormat="1" ht="15.5" spans="1:16">
      <c r="A111" s="14" t="s">
        <v>193</v>
      </c>
      <c r="B111" s="22"/>
      <c r="C111" s="22"/>
      <c r="D111" s="22"/>
      <c r="E111" s="22"/>
      <c r="F111" s="8"/>
      <c r="G111" s="7"/>
      <c r="H111" s="7"/>
      <c r="I111" s="25"/>
      <c r="J111" s="7"/>
      <c r="K111" s="22"/>
      <c r="L111" s="25"/>
      <c r="M111" s="7"/>
      <c r="N111" s="7"/>
      <c r="O111" s="39"/>
      <c r="P111" s="8"/>
    </row>
    <row r="112" s="1" customFormat="1" ht="15.5" spans="1:16">
      <c r="A112" s="14" t="s">
        <v>194</v>
      </c>
      <c r="B112" s="22" t="s">
        <v>21</v>
      </c>
      <c r="C112" s="22" t="s">
        <v>195</v>
      </c>
      <c r="D112" s="22" t="s">
        <v>23</v>
      </c>
      <c r="E112" s="22" t="s">
        <v>196</v>
      </c>
      <c r="F112" s="8">
        <v>22</v>
      </c>
      <c r="G112" s="20">
        <v>90.9293678872112</v>
      </c>
      <c r="H112" s="44">
        <v>0.407655359201084</v>
      </c>
      <c r="I112" s="20">
        <v>91.1864999674464</v>
      </c>
      <c r="J112" s="21">
        <v>0.656256713073522</v>
      </c>
      <c r="K112" s="22" t="s">
        <v>197</v>
      </c>
      <c r="L112" s="39">
        <v>206</v>
      </c>
      <c r="M112" s="24"/>
      <c r="N112" s="22" t="s">
        <v>198</v>
      </c>
      <c r="O112" s="39">
        <v>180</v>
      </c>
      <c r="P112" s="8" t="s">
        <v>28</v>
      </c>
    </row>
    <row r="113" s="1" customFormat="1" ht="15.5" spans="1:16">
      <c r="A113" s="14" t="s">
        <v>199</v>
      </c>
      <c r="B113" s="22" t="s">
        <v>21</v>
      </c>
      <c r="C113" s="22" t="s">
        <v>195</v>
      </c>
      <c r="D113" s="22" t="s">
        <v>23</v>
      </c>
      <c r="E113" s="22" t="s">
        <v>196</v>
      </c>
      <c r="F113" s="8">
        <v>22</v>
      </c>
      <c r="G113" s="20">
        <v>91.2397867417005</v>
      </c>
      <c r="H113" s="44">
        <v>0.547955275952796</v>
      </c>
      <c r="I113" s="20">
        <v>91.1776973227666</v>
      </c>
      <c r="J113" s="21">
        <v>0.731425479563943</v>
      </c>
      <c r="K113" s="22" t="s">
        <v>197</v>
      </c>
      <c r="L113" s="39">
        <v>206</v>
      </c>
      <c r="M113" s="24" t="s">
        <v>26</v>
      </c>
      <c r="N113" s="22" t="s">
        <v>197</v>
      </c>
      <c r="O113" s="39">
        <v>180</v>
      </c>
      <c r="P113" s="8" t="s">
        <v>28</v>
      </c>
    </row>
    <row r="114" s="1" customFormat="1" ht="15.5" spans="1:16">
      <c r="A114" s="14" t="s">
        <v>200</v>
      </c>
      <c r="B114" s="22" t="s">
        <v>21</v>
      </c>
      <c r="C114" s="22" t="s">
        <v>195</v>
      </c>
      <c r="D114" s="22" t="s">
        <v>23</v>
      </c>
      <c r="E114" s="22" t="s">
        <v>196</v>
      </c>
      <c r="F114" s="8">
        <v>22</v>
      </c>
      <c r="G114" s="20">
        <v>91.0950255391218</v>
      </c>
      <c r="H114" s="44">
        <v>0.785062218222981</v>
      </c>
      <c r="I114" s="20">
        <v>91.8879251511441</v>
      </c>
      <c r="J114" s="21">
        <v>0.66755050687723</v>
      </c>
      <c r="K114" s="22" t="s">
        <v>197</v>
      </c>
      <c r="L114" s="39">
        <v>206</v>
      </c>
      <c r="M114" s="24"/>
      <c r="N114" s="22" t="s">
        <v>198</v>
      </c>
      <c r="O114" s="39">
        <v>180</v>
      </c>
      <c r="P114" s="8" t="s">
        <v>28</v>
      </c>
    </row>
    <row r="115" s="1" customFormat="1" ht="15.5" spans="1:16">
      <c r="A115" s="14" t="s">
        <v>201</v>
      </c>
      <c r="B115" s="22" t="s">
        <v>21</v>
      </c>
      <c r="C115" s="22" t="s">
        <v>195</v>
      </c>
      <c r="D115" s="22" t="s">
        <v>23</v>
      </c>
      <c r="E115" s="22" t="s">
        <v>196</v>
      </c>
      <c r="F115" s="8">
        <v>22</v>
      </c>
      <c r="G115" s="20">
        <v>91.2306832927843</v>
      </c>
      <c r="H115" s="44">
        <v>0.287157513264553</v>
      </c>
      <c r="I115" s="20">
        <v>91.0575733507989</v>
      </c>
      <c r="J115" s="21">
        <v>0.628443733394199</v>
      </c>
      <c r="K115" s="22" t="s">
        <v>197</v>
      </c>
      <c r="L115" s="39">
        <v>206</v>
      </c>
      <c r="M115" s="24"/>
      <c r="N115" s="22" t="s">
        <v>198</v>
      </c>
      <c r="O115" s="39">
        <v>180</v>
      </c>
      <c r="P115" s="8" t="s">
        <v>28</v>
      </c>
    </row>
    <row r="116" s="1" customFormat="1" ht="15.5" spans="1:16">
      <c r="A116" s="14" t="s">
        <v>202</v>
      </c>
      <c r="B116" s="22" t="s">
        <v>21</v>
      </c>
      <c r="C116" s="22" t="s">
        <v>195</v>
      </c>
      <c r="D116" s="22" t="s">
        <v>23</v>
      </c>
      <c r="E116" s="22" t="s">
        <v>196</v>
      </c>
      <c r="F116" s="8">
        <v>1180</v>
      </c>
      <c r="G116" s="7"/>
      <c r="H116" s="45"/>
      <c r="I116" s="7"/>
      <c r="J116" s="7"/>
      <c r="K116" s="7"/>
      <c r="L116" s="39">
        <v>215</v>
      </c>
      <c r="M116" s="24" t="s">
        <v>26</v>
      </c>
      <c r="N116" s="22" t="s">
        <v>203</v>
      </c>
      <c r="O116" s="39">
        <v>200</v>
      </c>
      <c r="P116" s="8" t="s">
        <v>28</v>
      </c>
    </row>
    <row r="117" s="1" customFormat="1" ht="15.5" spans="1:16">
      <c r="A117" s="6"/>
      <c r="B117" s="7"/>
      <c r="C117" s="7"/>
      <c r="D117" s="7"/>
      <c r="E117" s="7"/>
      <c r="F117" s="8"/>
      <c r="G117" s="7"/>
      <c r="H117" s="7"/>
      <c r="I117" s="25"/>
      <c r="J117" s="7"/>
      <c r="K117" s="7"/>
      <c r="L117" s="25"/>
      <c r="M117" s="7"/>
      <c r="N117" s="7"/>
      <c r="O117" s="25"/>
      <c r="P117" s="7"/>
    </row>
    <row r="118" s="1" customFormat="1" ht="15.5" spans="1:16">
      <c r="A118" s="6"/>
      <c r="B118" s="7"/>
      <c r="C118" s="7"/>
      <c r="D118" s="7"/>
      <c r="E118" s="7"/>
      <c r="F118" s="8"/>
      <c r="G118" s="7"/>
      <c r="H118" s="7"/>
      <c r="I118" s="25"/>
      <c r="J118" s="7"/>
      <c r="K118" s="7"/>
      <c r="L118" s="25"/>
      <c r="M118" s="7"/>
      <c r="N118" s="7"/>
      <c r="O118" s="25"/>
      <c r="P118" s="7"/>
    </row>
  </sheetData>
  <mergeCells count="6">
    <mergeCell ref="G3:H3"/>
    <mergeCell ref="I3:J3"/>
    <mergeCell ref="L3:N3"/>
    <mergeCell ref="O3:P3"/>
    <mergeCell ref="G4:H4"/>
    <mergeCell ref="I4:J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2024-11-21T09:30:00Z</dcterms:created>
  <dcterms:modified xsi:type="dcterms:W3CDTF">2024-12-26T10:18:01Z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F83EC46E293649B98D8A59124B594405_11</vt:lpwstr>
  </property>
  <property fmtid="{D5CDD505-2E9C-101B-9397-08002B2CF9AE}" pid="3" name="KSOProductBuildVer">
    <vt:lpwstr>2052-12.1.0.19302</vt:lpwstr>
  </property>
</Properties>
</file>