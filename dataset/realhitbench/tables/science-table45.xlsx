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<sst xmlns="http://schemas.openxmlformats.org/spreadsheetml/2006/main" count="14" uniqueCount="12">
  <si>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Transformed luminal and basal clones in the ducts and side branches as percentage used for Extended Data Figure 9f</t>
  </si>
  <si>
    <t>f</t>
  </si>
  <si>
    <t>Duct</t>
  </si>
  <si>
    <t>Side branch</t>
  </si>
  <si>
    <t>Luminal</t>
  </si>
  <si>
    <t>Basal</t>
  </si>
  <si>
    <t>Mouse1</t>
  </si>
  <si>
    <t>Mouse 2</t>
  </si>
  <si>
    <t>Mouse 3</t>
  </si>
  <si>
    <t>Mouse 4</t>
  </si>
  <si>
    <t>Mouse 5</t>
  </si>
  <si>
    <t>Mouse 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</si>
</sst>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2"/>
      <color theme="1"/>
      <name val="Calibri  "/>
      <charset val="134"/>
    </font>
    <font>
      <sz val="11"/>
      <color theme="1"/>
      <name val="Calibri  "/>
      <charset val="134"/>
    </font>
    <font>
      <b/>
      <sz val="11"/>
      <name val="Calibri  "/>
      <charset val="134"/>
    </font>
    <font>
      <sz val="10"/>
      <name val="Calibri  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ont="1" applyFill="1" applyAlignment="1"/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 applyFill="1" applyAlignment="1"/>
    <xf numFmtId="0" fontId="3" fillId="0" borderId="0" xfId="0" applyFont="1" applyFill="1" applyAlignment="1">
      <alignment horizontal="left"/>
    </xf>
    <xf numFmtId="0" fontId="4" fillId="0" borderId="0" xfId="0" applyFont="1" applyFill="1" applyAlignment="1"/>
    <xf numFmtId="0" fontId="5" fillId="0" borderId="0" xfId="0" applyFont="1" applyFill="1" applyAlignment="1"/>
    <xf numFmtId="0" fontId="6" fillId="0" borderId="0" xfId="0" applyFont="1" applyFill="1" applyAlignment="1">
      <alignment horizontal="center"/>
    </xf>
    <xf numFmtId="0" fontId="7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tabSelected="1" workbookViewId="0">
      <selection activeCell="A1" sqref="A1:L10"/>
    </sheetView>
  </sheetViews>
  <sheetFormatPr defaultColWidth="9.81818181818182" defaultRowHeight="14"/>
  <cols>
    <col min="1" max="1" width="13.8636363636364" style="2" customWidth="1"/>
    <col min="2" max="2" width="25.7090909090909" style="2" customWidth="1"/>
    <col min="3" max="3" width="19.7909090909091" style="2" customWidth="1"/>
    <col min="4" max="4" width="17.4545454545455" style="2" customWidth="1"/>
    <col min="5" max="5" width="19.3636363636364" style="2" customWidth="1"/>
    <col min="6" max="6" width="15.3636363636364" style="2" customWidth="1"/>
    <col min="7" max="7" width="22.5909090909091" style="2" customWidth="1"/>
    <col min="8" max="8" width="4.09090909090909" style="2" customWidth="1"/>
    <col min="9" max="9" width="20.5727272727273" style="2" hidden="1" customWidth="1"/>
    <col min="10" max="11" width="9.81818181818182" style="2" hidden="1" customWidth="1"/>
    <col min="12" max="12" width="14.2727272727273" style="2" customWidth="1"/>
    <col min="13" max="16380" width="9.81818181818182" style="2"/>
  </cols>
  <sheetData>
    <row r="1" s="1" customFormat="1" ht="14.25" customHeight="1" spans="1:12">
      <c r="A1" s="3"/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</row>
    <row r="3" s="2" customFormat="1" spans="1:14">
      <c r="A3" s="5" t="s">
        <v>1</v>
      </c>
      <c r="B3" s="2"/>
      <c r="C3" s="5" t="s">
        <v>2</v>
      </c>
      <c r="D3" s="5"/>
      <c r="E3" s="6" t="s">
        <v>3</v>
      </c>
      <c r="F3" s="5"/>
      <c r="G3" s="2"/>
      <c r="H3" s="2"/>
      <c r="I3" s="2"/>
      <c r="J3" s="2"/>
      <c r="K3" s="2"/>
      <c r="L3" s="2"/>
      <c r="M3" s="8"/>
      <c r="N3" s="8"/>
    </row>
    <row r="4" s="2" customFormat="1" spans="3:14">
      <c r="C4" s="5" t="s">
        <v>4</v>
      </c>
      <c r="D4" s="5" t="s">
        <v>5</v>
      </c>
      <c r="E4" s="5" t="s">
        <v>4</v>
      </c>
      <c r="F4" s="5" t="s">
        <v>5</v>
      </c>
      <c r="G4" s="2"/>
      <c r="H4" s="2"/>
      <c r="I4" s="2"/>
      <c r="J4" s="2"/>
      <c r="K4" s="2"/>
      <c r="L4" s="2"/>
      <c r="M4" s="9"/>
      <c r="N4" s="9"/>
    </row>
    <row r="5" s="2" customFormat="1" spans="2:14">
      <c r="B5" s="5" t="s">
        <v>6</v>
      </c>
      <c r="C5" s="2">
        <v>0</v>
      </c>
      <c r="D5" s="2">
        <v>0</v>
      </c>
      <c r="E5" s="2">
        <f>0.666667*100</f>
        <v>66.6667</v>
      </c>
      <c r="F5" s="2">
        <v>0</v>
      </c>
      <c r="G5" s="2"/>
      <c r="H5" s="2"/>
      <c r="I5" s="2"/>
      <c r="J5" s="2"/>
      <c r="K5" s="2"/>
      <c r="L5" s="2"/>
      <c r="M5" s="10"/>
      <c r="N5" s="10"/>
    </row>
    <row r="6" s="2" customFormat="1" spans="2:14">
      <c r="B6" s="5" t="s">
        <v>7</v>
      </c>
      <c r="C6" s="2">
        <v>0</v>
      </c>
      <c r="D6" s="2">
        <v>0</v>
      </c>
      <c r="E6" s="2">
        <f>1*100</f>
        <v>100</v>
      </c>
      <c r="F6" s="2">
        <v>0</v>
      </c>
      <c r="G6" s="2"/>
      <c r="H6" s="2"/>
      <c r="I6" s="2"/>
      <c r="J6" s="2"/>
      <c r="K6" s="2"/>
      <c r="L6" s="2"/>
      <c r="M6" s="10"/>
      <c r="N6" s="10"/>
    </row>
    <row r="7" s="2" customFormat="1" spans="2:14">
      <c r="B7" s="5" t="s">
        <v>8</v>
      </c>
      <c r="C7" s="2">
        <v>0</v>
      </c>
      <c r="D7" s="2">
        <v>0</v>
      </c>
      <c r="E7" s="2">
        <f>0.333333*100</f>
        <v>33.3333</v>
      </c>
      <c r="F7" s="2">
        <v>0</v>
      </c>
      <c r="G7" s="2"/>
      <c r="H7" s="2"/>
      <c r="I7" s="2"/>
      <c r="J7" s="2"/>
      <c r="K7" s="2"/>
      <c r="L7" s="2"/>
      <c r="M7" s="10"/>
      <c r="N7" s="10"/>
    </row>
    <row r="8" s="2" customFormat="1" spans="2:14">
      <c r="B8" s="5" t="s">
        <v>9</v>
      </c>
      <c r="C8" s="2">
        <f>0.068966*100</f>
        <v>6.8966</v>
      </c>
      <c r="D8" s="2">
        <v>0</v>
      </c>
      <c r="E8" s="2">
        <f>0.166667*100</f>
        <v>16.6667</v>
      </c>
      <c r="F8" s="2">
        <v>0</v>
      </c>
      <c r="G8" s="2"/>
      <c r="H8" s="2"/>
      <c r="I8" s="2"/>
      <c r="J8" s="2"/>
      <c r="K8" s="2"/>
      <c r="L8" s="2"/>
      <c r="M8" s="10"/>
      <c r="N8" s="10"/>
    </row>
    <row r="9" s="2" customFormat="1" ht="15.5" spans="2:14">
      <c r="B9" s="5" t="s">
        <v>10</v>
      </c>
      <c r="C9" s="2">
        <f>0.055556*100</f>
        <v>5.5556</v>
      </c>
      <c r="D9" s="2">
        <f>0.111111*100</f>
        <v>11.1111</v>
      </c>
      <c r="E9" s="2">
        <f>0.5*100</f>
        <v>50</v>
      </c>
      <c r="F9" s="2">
        <v>0</v>
      </c>
      <c r="G9" s="2"/>
      <c r="H9" s="2"/>
      <c r="I9" s="2"/>
      <c r="J9" s="2"/>
      <c r="K9" s="2"/>
      <c r="L9" s="2"/>
      <c r="M9" s="7"/>
      <c r="N9" s="7"/>
    </row>
    <row r="10" s="2" customFormat="1" ht="15.5" spans="2:14">
      <c r="B10" s="5" t="s">
        <v>11</v>
      </c>
      <c r="C10" s="2">
        <f>0.1*100</f>
        <v>10</v>
      </c>
      <c r="D10" s="2">
        <v>0</v>
      </c>
      <c r="E10" s="2">
        <f>0.25*100</f>
        <v>25</v>
      </c>
      <c r="F10" s="2">
        <v>0</v>
      </c>
      <c r="G10" s="2"/>
      <c r="H10" s="2"/>
      <c r="I10" s="2"/>
      <c r="J10" s="2"/>
      <c r="K10" s="2"/>
      <c r="L10" s="2"/>
      <c r="M10" s="7"/>
      <c r="N10" s="7"/>
    </row>
    <row r="11" s="2" customFormat="1" ht="15.5" spans="1:1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</row>
  </sheetData>
  <mergeCells count="1">
    <mergeCell ref="B1:L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2024-11-29T02:27:00Z</dcterms:created>
  <dcterms:modified xsi:type="dcterms:W3CDTF">2024-12-26T09:54:29Z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01CEBA893BBA419D80FFD3ADB013094F_11</vt:lpwstr>
  </property>
  <property fmtid="{D5CDD505-2E9C-101B-9397-08002B2CF9AE}" pid="3" name="KSOProductBuildVer">
    <vt:lpwstr>2052-12.1.0.19302</vt:lpwstr>
  </property>
</Properties>
</file>