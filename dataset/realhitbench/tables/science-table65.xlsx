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<sst xmlns="http://schemas.openxmlformats.org/spreadsheetml/2006/main" count="25" uniqueCount="22">
  <si>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Expt-1</t>
  </si>
  <si>
    <t>Expt-2</t>
  </si>
  <si>
    <t>Liver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</si>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</sst>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2" fillId="0" borderId="0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/>
    <xf numFmtId="0" fontId="3" fillId="0" borderId="5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G17" sqref="G17"/>
    </sheetView>
  </sheetViews>
  <sheetFormatPr defaultColWidth="8.72727272727273" defaultRowHeight="14"/>
  <cols>
    <col min="1" max="1" width="5.54545454545455" customWidth="1"/>
    <col min="2" max="2" width="47.8181818181818" customWidth="1"/>
    <col min="3" max="5" width="12.8181818181818" customWidth="1"/>
    <col min="7" max="11" width="12.8181818181818" customWidth="1"/>
    <col min="13" max="13" width="12.8181818181818"/>
  </cols>
  <sheetData>
    <row r="1" ht="17.5" spans="1:11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21"/>
    </row>
    <row r="2" ht="15" spans="1:11">
      <c r="A2" s="6"/>
      <c r="B2" s="7" t="s">
        <v>2</v>
      </c>
      <c r="C2" s="8" t="s">
        <v>3</v>
      </c>
      <c r="D2" s="9" t="s">
        <v>4</v>
      </c>
      <c r="E2" s="10" t="s">
        <v>5</v>
      </c>
      <c r="F2" s="11"/>
      <c r="G2" s="8" t="s">
        <v>3</v>
      </c>
      <c r="H2" s="9" t="s">
        <v>4</v>
      </c>
      <c r="I2" s="10" t="s">
        <v>5</v>
      </c>
      <c r="J2" s="9" t="s">
        <v>6</v>
      </c>
      <c r="K2" s="22" t="s">
        <v>7</v>
      </c>
    </row>
    <row r="3" spans="1:11">
      <c r="A3" s="6" t="s">
        <v>8</v>
      </c>
      <c r="B3" s="11" t="s">
        <v>9</v>
      </c>
      <c r="C3" s="12">
        <v>5365.81</v>
      </c>
      <c r="D3" s="13">
        <v>5636.21</v>
      </c>
      <c r="E3" s="14">
        <v>6204.71</v>
      </c>
      <c r="F3" s="11"/>
      <c r="G3" s="12">
        <v>5724.71</v>
      </c>
      <c r="H3" s="13">
        <v>5692.23</v>
      </c>
      <c r="I3" s="14">
        <v>5670.7</v>
      </c>
      <c r="J3" s="11">
        <f t="shared" ref="J3:J9" si="0">AVERAGE(C3:I3)</f>
        <v>5715.72833333333</v>
      </c>
      <c r="K3" s="23">
        <f t="shared" ref="K3:K9" si="1">STDEV(C3:I3)</f>
        <v>272.223977078924</v>
      </c>
    </row>
    <row r="4" spans="1:11">
      <c r="A4" s="6" t="s">
        <v>10</v>
      </c>
      <c r="B4" s="11" t="s">
        <v>11</v>
      </c>
      <c r="C4" s="12">
        <v>5421.31</v>
      </c>
      <c r="D4" s="13">
        <v>4867.14</v>
      </c>
      <c r="E4" s="14">
        <v>5960.43</v>
      </c>
      <c r="F4" s="11"/>
      <c r="G4" s="12">
        <v>5799.64</v>
      </c>
      <c r="H4" s="13">
        <v>5596.33</v>
      </c>
      <c r="I4" s="14">
        <v>5876.8</v>
      </c>
      <c r="J4" s="11">
        <f t="shared" si="0"/>
        <v>5586.94166666667</v>
      </c>
      <c r="K4" s="23">
        <f t="shared" si="1"/>
        <v>403.581069596514</v>
      </c>
    </row>
    <row r="5" spans="1:11">
      <c r="A5" s="6" t="s">
        <v>12</v>
      </c>
      <c r="B5" s="11" t="s">
        <v>13</v>
      </c>
      <c r="C5" s="12">
        <v>1973.75</v>
      </c>
      <c r="D5" s="13">
        <v>2838.16</v>
      </c>
      <c r="E5" s="14">
        <v>2421.85</v>
      </c>
      <c r="F5" s="11"/>
      <c r="G5" s="12">
        <v>2549.14</v>
      </c>
      <c r="H5" s="13">
        <v>2382.2</v>
      </c>
      <c r="I5" s="14">
        <v>2490</v>
      </c>
      <c r="J5" s="11">
        <f t="shared" si="0"/>
        <v>2442.51666666667</v>
      </c>
      <c r="K5" s="23">
        <f t="shared" si="1"/>
        <v>280.700640730773</v>
      </c>
    </row>
    <row r="6" spans="1:11">
      <c r="A6" s="6" t="s">
        <v>14</v>
      </c>
      <c r="B6" s="11" t="s">
        <v>15</v>
      </c>
      <c r="C6" s="12">
        <v>2486.78</v>
      </c>
      <c r="D6" s="13">
        <v>2495.7</v>
      </c>
      <c r="E6" s="14">
        <v>2841.23</v>
      </c>
      <c r="F6" s="11"/>
      <c r="G6" s="12">
        <v>2370.03</v>
      </c>
      <c r="H6" s="13">
        <v>2501.72</v>
      </c>
      <c r="I6" s="14">
        <v>2272.2</v>
      </c>
      <c r="J6" s="11">
        <f t="shared" si="0"/>
        <v>2494.61</v>
      </c>
      <c r="K6" s="23">
        <f t="shared" si="1"/>
        <v>192.481094136541</v>
      </c>
    </row>
    <row r="7" spans="1:11">
      <c r="A7" s="6" t="s">
        <v>16</v>
      </c>
      <c r="B7" s="11" t="s">
        <v>17</v>
      </c>
      <c r="C7" s="12">
        <v>4631.67</v>
      </c>
      <c r="D7" s="13">
        <v>5299.13</v>
      </c>
      <c r="E7" s="14">
        <v>6052.73</v>
      </c>
      <c r="F7" s="11"/>
      <c r="G7" s="12">
        <v>5647.84</v>
      </c>
      <c r="H7" s="13">
        <v>4936.71</v>
      </c>
      <c r="I7" s="14">
        <v>4896.32</v>
      </c>
      <c r="J7" s="11">
        <f t="shared" si="0"/>
        <v>5244.06666666667</v>
      </c>
      <c r="K7" s="23">
        <f t="shared" si="1"/>
        <v>531.117087680924</v>
      </c>
    </row>
    <row r="8" spans="1:11">
      <c r="A8" s="6" t="s">
        <v>18</v>
      </c>
      <c r="B8" s="11" t="s">
        <v>19</v>
      </c>
      <c r="C8" s="12">
        <v>4971.55</v>
      </c>
      <c r="D8" s="13">
        <v>6836.22</v>
      </c>
      <c r="E8" s="14">
        <v>5283.59</v>
      </c>
      <c r="F8" s="11"/>
      <c r="G8" s="12">
        <v>6136.12</v>
      </c>
      <c r="H8" s="13">
        <v>5146.7</v>
      </c>
      <c r="I8" s="24">
        <v>5095.65</v>
      </c>
      <c r="J8" s="11">
        <f t="shared" si="0"/>
        <v>5578.305</v>
      </c>
      <c r="K8" s="23">
        <f t="shared" si="1"/>
        <v>744.010081618522</v>
      </c>
    </row>
    <row r="9" spans="1:11">
      <c r="A9" s="15" t="s">
        <v>20</v>
      </c>
      <c r="B9" s="16" t="s">
        <v>21</v>
      </c>
      <c r="C9" s="17">
        <v>2667.68</v>
      </c>
      <c r="D9" s="18">
        <v>2219.7</v>
      </c>
      <c r="E9" s="19">
        <v>2543.98</v>
      </c>
      <c r="F9" s="16"/>
      <c r="G9" s="17">
        <v>2182.7</v>
      </c>
      <c r="H9" s="20">
        <v>2230.25</v>
      </c>
      <c r="I9" s="19">
        <v>2530.3</v>
      </c>
      <c r="J9" s="16">
        <f t="shared" si="0"/>
        <v>2395.76833333333</v>
      </c>
      <c r="K9" s="25">
        <f t="shared" si="1"/>
        <v>208.708367481198</v>
      </c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2025-01-15T02:30:32Z</dcterms:created>
  <dcterms:modified xsi:type="dcterms:W3CDTF">2025-01-15T03:03:51Z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3A9BF22AA61C41B39E0E4D053C192DFF_11</vt:lpwstr>
  </property>
  <property fmtid="{D5CDD505-2E9C-101B-9397-08002B2CF9AE}" pid="3" name="KSOProductBuildVer">
    <vt:lpwstr>2052-12.1.0.19302</vt:lpwstr>
  </property>
</Properties>
</file>