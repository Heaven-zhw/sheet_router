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<sst xmlns="http://schemas.openxmlformats.org/spreadsheetml/2006/main" count="36" uniqueCount="19">
  <si>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Pr2/Oct1 (fold change)</t>
  </si>
  <si>
    <t>Pr1/Oct1 (fold change)</t>
  </si>
  <si>
    <t>Expt1</t>
  </si>
  <si>
    <t>Expt2</t>
  </si>
  <si>
    <t>Expt3</t>
  </si>
  <si>
    <t>Mean</t>
  </si>
  <si>
    <t>SD</t>
  </si>
  <si>
    <t>Set1</t>
  </si>
  <si>
    <t>uninf DC-SAG</t>
  </si>
  <si>
    <t>Set2</t>
  </si>
  <si>
    <t>uinf DC + SAG</t>
  </si>
  <si>
    <t>Set3</t>
  </si>
  <si>
    <t>DC + AG83 (24h) - SAG</t>
  </si>
  <si>
    <t>Set4</t>
  </si>
  <si>
    <t>DC + AG83 (24h) + SAG</t>
  </si>
  <si>
    <t>Set5</t>
  </si>
  <si>
    <t>DC + GE1F8R (24 h) - SAG</t>
  </si>
  <si>
    <t>Set6</t>
  </si>
  <si>
    <t>DC + GE1F8R (24 h) +  SAG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</si>
</sst>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0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F12" sqref="F12"/>
    </sheetView>
  </sheetViews>
  <sheetFormatPr defaultColWidth="8.73076923076923" defaultRowHeight="16.8" outlineLevelRow="7"/>
  <cols>
    <col min="2" max="2" width="27.3653846153846" customWidth="1"/>
    <col min="3" max="7" width="12.9230769230769"/>
    <col min="10" max="10" width="27.0865384615385" customWidth="1"/>
    <col min="11" max="15" width="12.9230769230769"/>
  </cols>
  <sheetData>
    <row r="1" spans="1:15">
      <c r="A1" s="1"/>
      <c r="B1" s="2"/>
      <c r="C1" s="3" t="s">
        <v>0</v>
      </c>
      <c r="D1" s="4"/>
      <c r="E1" s="17"/>
      <c r="F1" s="4"/>
      <c r="G1" s="17"/>
      <c r="I1" s="1"/>
      <c r="J1" s="2"/>
      <c r="K1" s="3" t="s">
        <v>1</v>
      </c>
      <c r="L1" s="4"/>
      <c r="M1" s="17"/>
      <c r="N1" s="4"/>
      <c r="O1" s="17"/>
    </row>
    <row r="2" spans="1:15">
      <c r="A2" s="5"/>
      <c r="B2" s="6"/>
      <c r="C2" s="7" t="s">
        <v>2</v>
      </c>
      <c r="D2" s="8" t="s">
        <v>3</v>
      </c>
      <c r="E2" s="18" t="s">
        <v>4</v>
      </c>
      <c r="F2" s="8" t="s">
        <v>5</v>
      </c>
      <c r="G2" s="18" t="s">
        <v>6</v>
      </c>
      <c r="I2" s="5"/>
      <c r="J2" s="6"/>
      <c r="K2" s="7" t="s">
        <v>2</v>
      </c>
      <c r="L2" s="8" t="s">
        <v>3</v>
      </c>
      <c r="M2" s="18" t="s">
        <v>4</v>
      </c>
      <c r="N2" s="8" t="s">
        <v>5</v>
      </c>
      <c r="O2" s="18" t="s">
        <v>6</v>
      </c>
    </row>
    <row r="3" spans="1:15">
      <c r="A3" s="1" t="s">
        <v>7</v>
      </c>
      <c r="B3" s="2" t="s">
        <v>8</v>
      </c>
      <c r="C3" s="9">
        <v>1</v>
      </c>
      <c r="D3" s="10">
        <v>1</v>
      </c>
      <c r="E3" s="19">
        <v>1</v>
      </c>
      <c r="F3" s="10">
        <f t="shared" ref="F3:F8" si="0">AVERAGE(C3:E3)</f>
        <v>1</v>
      </c>
      <c r="G3" s="19">
        <f t="shared" ref="G3:G8" si="1">STDEV(C3:E3)</f>
        <v>0</v>
      </c>
      <c r="I3" s="1" t="s">
        <v>7</v>
      </c>
      <c r="J3" s="2" t="s">
        <v>8</v>
      </c>
      <c r="K3" s="9">
        <v>1</v>
      </c>
      <c r="L3" s="10">
        <v>1</v>
      </c>
      <c r="M3" s="19">
        <v>1</v>
      </c>
      <c r="N3" s="10">
        <f t="shared" ref="N3:N8" si="2">AVERAGE(K3:M3)</f>
        <v>1</v>
      </c>
      <c r="O3" s="19">
        <f t="shared" ref="O3:O8" si="3">STDEV(K3:M3)</f>
        <v>0</v>
      </c>
    </row>
    <row r="4" spans="1:15">
      <c r="A4" s="11" t="s">
        <v>9</v>
      </c>
      <c r="B4" s="12" t="s">
        <v>10</v>
      </c>
      <c r="C4" s="13">
        <v>3.12249092064018</v>
      </c>
      <c r="D4" s="14">
        <v>3.76584238303877</v>
      </c>
      <c r="E4" s="20">
        <v>4.73828540456115</v>
      </c>
      <c r="F4" s="14">
        <f t="shared" si="0"/>
        <v>3.87553956941337</v>
      </c>
      <c r="G4" s="20">
        <f t="shared" si="1"/>
        <v>0.813463618173078</v>
      </c>
      <c r="I4" s="11" t="s">
        <v>9</v>
      </c>
      <c r="J4" s="12" t="s">
        <v>10</v>
      </c>
      <c r="K4" s="13">
        <v>3.13235639803297</v>
      </c>
      <c r="L4" s="14">
        <v>4.59011479013333</v>
      </c>
      <c r="M4" s="20">
        <v>5.53700759784176</v>
      </c>
      <c r="N4" s="14">
        <f t="shared" si="2"/>
        <v>4.41982626200269</v>
      </c>
      <c r="O4" s="20">
        <f t="shared" si="3"/>
        <v>1.21133623956981</v>
      </c>
    </row>
    <row r="5" spans="1:15">
      <c r="A5" s="1" t="s">
        <v>11</v>
      </c>
      <c r="B5" s="2" t="s">
        <v>12</v>
      </c>
      <c r="C5" s="9">
        <v>1.03229669498262</v>
      </c>
      <c r="D5" s="10">
        <v>0.861565286201761</v>
      </c>
      <c r="E5" s="19">
        <v>0.0274607420542805</v>
      </c>
      <c r="F5" s="10">
        <f t="shared" si="0"/>
        <v>0.640440907746221</v>
      </c>
      <c r="G5" s="19">
        <f t="shared" si="1"/>
        <v>0.537676311673541</v>
      </c>
      <c r="I5" s="1" t="s">
        <v>11</v>
      </c>
      <c r="J5" s="2" t="s">
        <v>12</v>
      </c>
      <c r="K5" s="9">
        <v>0.950300469213266</v>
      </c>
      <c r="L5" s="10">
        <v>0.905871335961547</v>
      </c>
      <c r="M5" s="19">
        <v>1.45002230752494</v>
      </c>
      <c r="N5" s="10">
        <f t="shared" si="2"/>
        <v>1.10206470423325</v>
      </c>
      <c r="O5" s="19">
        <f t="shared" si="3"/>
        <v>0.302157834974947</v>
      </c>
    </row>
    <row r="6" spans="1:15">
      <c r="A6" s="11" t="s">
        <v>13</v>
      </c>
      <c r="B6" s="12" t="s">
        <v>14</v>
      </c>
      <c r="C6" s="13">
        <v>3.21334891100202</v>
      </c>
      <c r="D6" s="14">
        <v>4.27410786813842</v>
      </c>
      <c r="E6" s="20">
        <v>3.08885397537956</v>
      </c>
      <c r="F6" s="14">
        <f t="shared" si="0"/>
        <v>3.52543691817333</v>
      </c>
      <c r="G6" s="20">
        <f t="shared" si="1"/>
        <v>0.65134928474677</v>
      </c>
      <c r="I6" s="11" t="s">
        <v>13</v>
      </c>
      <c r="J6" s="12" t="s">
        <v>14</v>
      </c>
      <c r="K6" s="13">
        <v>2.95669659028119</v>
      </c>
      <c r="L6" s="14">
        <v>4.94310010151404</v>
      </c>
      <c r="M6" s="20">
        <v>4.13978087414262</v>
      </c>
      <c r="N6" s="14">
        <f t="shared" si="2"/>
        <v>4.01319252197928</v>
      </c>
      <c r="O6" s="20">
        <f t="shared" si="3"/>
        <v>0.999233799236755</v>
      </c>
    </row>
    <row r="7" spans="1:15">
      <c r="A7" s="5" t="s">
        <v>15</v>
      </c>
      <c r="B7" s="6" t="s">
        <v>16</v>
      </c>
      <c r="C7" s="15">
        <v>0.838107859445527</v>
      </c>
      <c r="D7" s="16">
        <v>0.729055234965059</v>
      </c>
      <c r="E7" s="21">
        <v>0.0165942224423309</v>
      </c>
      <c r="F7" s="16">
        <f t="shared" si="0"/>
        <v>0.527919105617639</v>
      </c>
      <c r="G7" s="21">
        <f t="shared" si="1"/>
        <v>0.446164735094787</v>
      </c>
      <c r="I7" s="5" t="s">
        <v>15</v>
      </c>
      <c r="J7" s="6" t="s">
        <v>16</v>
      </c>
      <c r="K7" s="15">
        <v>0.828254275871165</v>
      </c>
      <c r="L7" s="16">
        <v>0.808665249221444</v>
      </c>
      <c r="M7" s="21">
        <v>0.576741736256828</v>
      </c>
      <c r="N7" s="16">
        <f t="shared" si="2"/>
        <v>0.737887087116479</v>
      </c>
      <c r="O7" s="21">
        <f t="shared" si="3"/>
        <v>0.139899251495606</v>
      </c>
    </row>
    <row r="8" spans="1:15">
      <c r="A8" s="11" t="s">
        <v>17</v>
      </c>
      <c r="B8" s="12" t="s">
        <v>18</v>
      </c>
      <c r="C8" s="13">
        <v>1.15004412801029</v>
      </c>
      <c r="D8" s="14">
        <v>1.42136964228424</v>
      </c>
      <c r="E8" s="20">
        <v>0.975979508191886</v>
      </c>
      <c r="F8" s="14">
        <f t="shared" si="0"/>
        <v>1.18246442616214</v>
      </c>
      <c r="G8" s="20">
        <f t="shared" si="1"/>
        <v>0.224458013191537</v>
      </c>
      <c r="I8" s="11" t="s">
        <v>17</v>
      </c>
      <c r="J8" s="12" t="s">
        <v>18</v>
      </c>
      <c r="K8" s="13">
        <v>1.12109179535954</v>
      </c>
      <c r="L8" s="14">
        <v>1.49303158691418</v>
      </c>
      <c r="M8" s="20">
        <v>2.4877413886388</v>
      </c>
      <c r="N8" s="14">
        <f t="shared" si="2"/>
        <v>1.70062159030417</v>
      </c>
      <c r="O8" s="20">
        <f t="shared" si="3"/>
        <v>0.706578364254939</v>
      </c>
    </row>
  </sheetData>
  <mergeCells count="2">
    <mergeCell ref="C1:E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2024-12-03T20:59:00Z</dcterms:created>
  <dcterms:modified xsi:type="dcterms:W3CDTF">2025-02-01T12:29:38Z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9917127A82A04660B77BF02829A51383_11</vt:lpwstr>
  </property>
  <property fmtid="{D5CDD505-2E9C-101B-9397-08002B2CF9AE}" pid="3" name="KSOProductBuildVer">
    <vt:lpwstr>2052-6.14.0.8924</vt:lpwstr>
  </property>
</Properties>
</file>