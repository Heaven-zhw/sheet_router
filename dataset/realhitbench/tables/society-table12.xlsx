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<sst xmlns="http://schemas.openxmlformats.org/spreadsheetml/2006/main" count="39" uniqueCount="11">
  <si>
    <t>Activity</t>
  </si>
  <si>
    <t>Planned Hrs</t>
  </si>
  <si>
    <t xml:space="preserve">Actual Hrs </t>
  </si>
  <si>
    <t>Variance</t>
  </si>
  <si>
    <t>Percentage</t>
  </si>
  <si>
    <t>Client Billable</t>
  </si>
  <si>
    <t>Marketing</t>
  </si>
  <si>
    <t>Practice Development &amp; Research</t>
  </si>
  <si>
    <t>Education</t>
  </si>
  <si>
    <t>Administration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</si>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</sst>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color theme="1"/>
      <name val="Californian FB"/>
      <charset val="134"/>
    </font>
    <font>
      <sz val="11"/>
      <color theme="1"/>
      <name val="Californian F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/>
    <xf numFmtId="0" fontId="1" fillId="2" borderId="0" xfId="0" applyFont="1" applyFill="1" applyBorder="1" applyAlignment="1"/>
    <xf numFmtId="0" fontId="1" fillId="2" borderId="5" xfId="0" applyFont="1" applyFill="1" applyBorder="1" applyAlignment="1"/>
    <xf numFmtId="0" fontId="2" fillId="3" borderId="0" xfId="0" applyFont="1" applyFill="1" applyAlignment="1"/>
    <xf numFmtId="0" fontId="2" fillId="3" borderId="4" xfId="0" applyFont="1" applyFill="1" applyBorder="1" applyAlignment="1"/>
    <xf numFmtId="0" fontId="2" fillId="3" borderId="0" xfId="0" applyFont="1" applyFill="1" applyBorder="1" applyAlignment="1"/>
    <xf numFmtId="176" fontId="2" fillId="3" borderId="0" xfId="0" applyNumberFormat="1" applyFont="1" applyFill="1" applyBorder="1" applyAlignment="1"/>
    <xf numFmtId="9" fontId="2" fillId="3" borderId="5" xfId="3" applyFont="1" applyFill="1" applyBorder="1" applyAlignment="1"/>
    <xf numFmtId="0" fontId="2" fillId="3" borderId="6" xfId="0" applyFont="1" applyFill="1" applyBorder="1" applyAlignment="1"/>
    <xf numFmtId="0" fontId="2" fillId="3" borderId="7" xfId="0" applyFont="1" applyFill="1" applyBorder="1" applyAlignment="1"/>
    <xf numFmtId="176" fontId="2" fillId="3" borderId="6" xfId="0" applyNumberFormat="1" applyFont="1" applyFill="1" applyBorder="1" applyAlignment="1"/>
    <xf numFmtId="9" fontId="2" fillId="3" borderId="8" xfId="3" applyFont="1" applyFill="1" applyBorder="1" applyAlignment="1"/>
    <xf numFmtId="0" fontId="1" fillId="3" borderId="0" xfId="0" applyFont="1" applyFill="1" applyAlignment="1"/>
    <xf numFmtId="0" fontId="1" fillId="3" borderId="9" xfId="0" applyFont="1" applyFill="1" applyBorder="1" applyAlignment="1"/>
    <xf numFmtId="0" fontId="1" fillId="3" borderId="10" xfId="0" applyFont="1" applyFill="1" applyBorder="1" applyAlignment="1"/>
    <xf numFmtId="176" fontId="2" fillId="3" borderId="10" xfId="0" applyNumberFormat="1" applyFont="1" applyFill="1" applyBorder="1" applyAlignment="1"/>
    <xf numFmtId="9" fontId="1" fillId="3" borderId="11" xfId="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"/>
  <sheetViews>
    <sheetView tabSelected="1" workbookViewId="0">
      <selection activeCell="A1" sqref="A1:U8"/>
    </sheetView>
  </sheetViews>
  <sheetFormatPr defaultColWidth="9.23148148148148" defaultRowHeight="14.4" outlineLevelRow="7"/>
  <sheetData>
    <row r="1" spans="1:33">
      <c r="A1" s="1"/>
      <c r="B1" s="2">
        <v>2000</v>
      </c>
      <c r="C1" s="3"/>
      <c r="D1" s="3"/>
      <c r="E1" s="4"/>
      <c r="F1" s="2">
        <v>2001</v>
      </c>
      <c r="G1" s="3"/>
      <c r="H1" s="3"/>
      <c r="I1" s="4"/>
      <c r="J1" s="2">
        <v>2002</v>
      </c>
      <c r="K1" s="3"/>
      <c r="L1" s="3"/>
      <c r="M1" s="4"/>
      <c r="N1" s="2">
        <v>2003</v>
      </c>
      <c r="O1" s="3"/>
      <c r="P1" s="3"/>
      <c r="Q1" s="4"/>
      <c r="R1" s="2">
        <v>2004</v>
      </c>
      <c r="S1" s="3"/>
      <c r="T1" s="3"/>
      <c r="U1" s="4"/>
      <c r="V1" s="2">
        <v>2005</v>
      </c>
      <c r="W1" s="3"/>
      <c r="X1" s="3"/>
      <c r="Y1" s="4"/>
      <c r="Z1" s="2">
        <v>2006</v>
      </c>
      <c r="AA1" s="3"/>
      <c r="AB1" s="3"/>
      <c r="AC1" s="4"/>
      <c r="AD1" s="2">
        <v>2007</v>
      </c>
      <c r="AE1" s="3"/>
      <c r="AF1" s="3"/>
      <c r="AG1" s="4"/>
    </row>
    <row r="2" spans="1:33">
      <c r="A2" s="1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5" t="s">
        <v>1</v>
      </c>
      <c r="G2" s="6" t="s">
        <v>2</v>
      </c>
      <c r="H2" s="6" t="s">
        <v>3</v>
      </c>
      <c r="I2" s="7" t="s">
        <v>4</v>
      </c>
      <c r="J2" s="5" t="s">
        <v>1</v>
      </c>
      <c r="K2" s="6" t="s">
        <v>2</v>
      </c>
      <c r="L2" s="6" t="s">
        <v>3</v>
      </c>
      <c r="M2" s="7" t="s">
        <v>4</v>
      </c>
      <c r="N2" s="5" t="s">
        <v>1</v>
      </c>
      <c r="O2" s="6" t="s">
        <v>2</v>
      </c>
      <c r="P2" s="6" t="s">
        <v>3</v>
      </c>
      <c r="Q2" s="7" t="s">
        <v>4</v>
      </c>
      <c r="R2" s="5" t="s">
        <v>1</v>
      </c>
      <c r="S2" s="6" t="s">
        <v>2</v>
      </c>
      <c r="T2" s="6" t="s">
        <v>3</v>
      </c>
      <c r="U2" s="7" t="s">
        <v>4</v>
      </c>
      <c r="V2" s="5" t="s">
        <v>1</v>
      </c>
      <c r="W2" s="6" t="s">
        <v>2</v>
      </c>
      <c r="X2" s="6" t="s">
        <v>3</v>
      </c>
      <c r="Y2" s="7" t="s">
        <v>4</v>
      </c>
      <c r="Z2" s="5" t="s">
        <v>1</v>
      </c>
      <c r="AA2" s="6" t="s">
        <v>2</v>
      </c>
      <c r="AB2" s="6" t="s">
        <v>3</v>
      </c>
      <c r="AC2" s="7" t="s">
        <v>4</v>
      </c>
      <c r="AD2" s="5" t="s">
        <v>1</v>
      </c>
      <c r="AE2" s="6" t="s">
        <v>2</v>
      </c>
      <c r="AF2" s="6" t="s">
        <v>3</v>
      </c>
      <c r="AG2" s="7" t="s">
        <v>4</v>
      </c>
    </row>
    <row r="3" spans="1:33">
      <c r="A3" s="8" t="s">
        <v>5</v>
      </c>
      <c r="B3" s="9">
        <v>50</v>
      </c>
      <c r="C3" s="10">
        <v>10</v>
      </c>
      <c r="D3" s="11">
        <f t="shared" ref="D3:D7" si="0">C3-B3</f>
        <v>-40</v>
      </c>
      <c r="E3" s="12">
        <f t="shared" ref="E3:E7" si="1">C3/C$8</f>
        <v>0.2</v>
      </c>
      <c r="F3" s="9">
        <v>200</v>
      </c>
      <c r="G3" s="10">
        <v>10</v>
      </c>
      <c r="H3" s="11">
        <f t="shared" ref="H3:H7" si="2">G3-F3</f>
        <v>-190</v>
      </c>
      <c r="I3" s="12">
        <f t="shared" ref="I3:I7" si="3">G3/G$8</f>
        <v>0.2</v>
      </c>
      <c r="J3" s="9">
        <v>200</v>
      </c>
      <c r="K3" s="10">
        <v>10</v>
      </c>
      <c r="L3" s="11">
        <f t="shared" ref="L3:L7" si="4">K3-J3</f>
        <v>-190</v>
      </c>
      <c r="M3" s="12">
        <f t="shared" ref="M3:M7" si="5">K3/K$8</f>
        <v>0.2</v>
      </c>
      <c r="N3" s="9">
        <v>200</v>
      </c>
      <c r="O3" s="10">
        <v>10</v>
      </c>
      <c r="P3" s="11">
        <f t="shared" ref="P3:P7" si="6">O3-N3</f>
        <v>-190</v>
      </c>
      <c r="Q3" s="12">
        <f t="shared" ref="Q3:Q7" si="7">O3/O$8</f>
        <v>0.2</v>
      </c>
      <c r="R3" s="9">
        <v>200</v>
      </c>
      <c r="S3" s="10">
        <v>10</v>
      </c>
      <c r="T3" s="11">
        <f t="shared" ref="T3:T7" si="8">S3-R3</f>
        <v>-190</v>
      </c>
      <c r="U3" s="12">
        <f t="shared" ref="U3:U7" si="9">S3/S$8</f>
        <v>0.2</v>
      </c>
      <c r="V3" s="9">
        <v>200</v>
      </c>
      <c r="W3" s="10">
        <v>10</v>
      </c>
      <c r="X3" s="11">
        <f t="shared" ref="X3:X7" si="10">W3-V3</f>
        <v>-190</v>
      </c>
      <c r="Y3" s="12">
        <f t="shared" ref="Y3:Y7" si="11">W3/W$8</f>
        <v>0.2</v>
      </c>
      <c r="Z3" s="9">
        <v>200</v>
      </c>
      <c r="AA3" s="10">
        <v>10</v>
      </c>
      <c r="AB3" s="11">
        <f t="shared" ref="AB3:AB7" si="12">AA3-Z3</f>
        <v>-190</v>
      </c>
      <c r="AC3" s="12">
        <f t="shared" ref="AC3:AC7" si="13">AA3/AA$8</f>
        <v>0.2</v>
      </c>
      <c r="AD3" s="9">
        <v>200</v>
      </c>
      <c r="AE3" s="10">
        <v>10</v>
      </c>
      <c r="AF3" s="11">
        <f t="shared" ref="AF3:AF7" si="14">AE3-AD3</f>
        <v>-190</v>
      </c>
      <c r="AG3" s="12">
        <f t="shared" ref="AG3:AG7" si="15">AE3/AE$8</f>
        <v>0.2</v>
      </c>
    </row>
    <row r="4" spans="1:33">
      <c r="A4" s="8" t="s">
        <v>6</v>
      </c>
      <c r="B4" s="9">
        <v>50</v>
      </c>
      <c r="C4" s="10">
        <v>10</v>
      </c>
      <c r="D4" s="11">
        <f t="shared" si="0"/>
        <v>-40</v>
      </c>
      <c r="E4" s="12">
        <f t="shared" si="1"/>
        <v>0.2</v>
      </c>
      <c r="F4" s="9">
        <v>200</v>
      </c>
      <c r="G4" s="10">
        <v>10</v>
      </c>
      <c r="H4" s="11">
        <f t="shared" si="2"/>
        <v>-190</v>
      </c>
      <c r="I4" s="12">
        <f t="shared" si="3"/>
        <v>0.2</v>
      </c>
      <c r="J4" s="9">
        <v>200</v>
      </c>
      <c r="K4" s="10">
        <v>10</v>
      </c>
      <c r="L4" s="11">
        <f t="shared" si="4"/>
        <v>-190</v>
      </c>
      <c r="M4" s="12">
        <f t="shared" si="5"/>
        <v>0.2</v>
      </c>
      <c r="N4" s="9">
        <v>200</v>
      </c>
      <c r="O4" s="10">
        <v>10</v>
      </c>
      <c r="P4" s="11">
        <f t="shared" si="6"/>
        <v>-190</v>
      </c>
      <c r="Q4" s="12">
        <f t="shared" si="7"/>
        <v>0.2</v>
      </c>
      <c r="R4" s="9">
        <v>200</v>
      </c>
      <c r="S4" s="10">
        <v>10</v>
      </c>
      <c r="T4" s="11">
        <f t="shared" si="8"/>
        <v>-190</v>
      </c>
      <c r="U4" s="12">
        <f t="shared" si="9"/>
        <v>0.2</v>
      </c>
      <c r="V4" s="9">
        <v>200</v>
      </c>
      <c r="W4" s="10">
        <v>10</v>
      </c>
      <c r="X4" s="11">
        <f t="shared" si="10"/>
        <v>-190</v>
      </c>
      <c r="Y4" s="12">
        <f t="shared" si="11"/>
        <v>0.2</v>
      </c>
      <c r="Z4" s="9">
        <v>200</v>
      </c>
      <c r="AA4" s="10">
        <v>10</v>
      </c>
      <c r="AB4" s="11">
        <f t="shared" si="12"/>
        <v>-190</v>
      </c>
      <c r="AC4" s="12">
        <f t="shared" si="13"/>
        <v>0.2</v>
      </c>
      <c r="AD4" s="9">
        <v>200</v>
      </c>
      <c r="AE4" s="10">
        <v>10</v>
      </c>
      <c r="AF4" s="11">
        <f t="shared" si="14"/>
        <v>-190</v>
      </c>
      <c r="AG4" s="12">
        <f t="shared" si="15"/>
        <v>0.2</v>
      </c>
    </row>
    <row r="5" spans="1:33">
      <c r="A5" s="8" t="s">
        <v>7</v>
      </c>
      <c r="B5" s="9">
        <v>50</v>
      </c>
      <c r="C5" s="10">
        <v>10</v>
      </c>
      <c r="D5" s="11">
        <f t="shared" si="0"/>
        <v>-40</v>
      </c>
      <c r="E5" s="12">
        <f t="shared" si="1"/>
        <v>0.2</v>
      </c>
      <c r="F5" s="9">
        <v>200</v>
      </c>
      <c r="G5" s="10">
        <v>10</v>
      </c>
      <c r="H5" s="11">
        <f t="shared" si="2"/>
        <v>-190</v>
      </c>
      <c r="I5" s="12">
        <f t="shared" si="3"/>
        <v>0.2</v>
      </c>
      <c r="J5" s="9">
        <v>200</v>
      </c>
      <c r="K5" s="10">
        <v>10</v>
      </c>
      <c r="L5" s="11">
        <f t="shared" si="4"/>
        <v>-190</v>
      </c>
      <c r="M5" s="12">
        <f t="shared" si="5"/>
        <v>0.2</v>
      </c>
      <c r="N5" s="9">
        <v>200</v>
      </c>
      <c r="O5" s="10">
        <v>10</v>
      </c>
      <c r="P5" s="11">
        <f t="shared" si="6"/>
        <v>-190</v>
      </c>
      <c r="Q5" s="12">
        <f t="shared" si="7"/>
        <v>0.2</v>
      </c>
      <c r="R5" s="9">
        <v>200</v>
      </c>
      <c r="S5" s="10">
        <v>10</v>
      </c>
      <c r="T5" s="11">
        <f t="shared" si="8"/>
        <v>-190</v>
      </c>
      <c r="U5" s="12">
        <f t="shared" si="9"/>
        <v>0.2</v>
      </c>
      <c r="V5" s="9">
        <v>200</v>
      </c>
      <c r="W5" s="10">
        <v>10</v>
      </c>
      <c r="X5" s="11">
        <f t="shared" si="10"/>
        <v>-190</v>
      </c>
      <c r="Y5" s="12">
        <f t="shared" si="11"/>
        <v>0.2</v>
      </c>
      <c r="Z5" s="9">
        <v>200</v>
      </c>
      <c r="AA5" s="10">
        <v>10</v>
      </c>
      <c r="AB5" s="11">
        <f t="shared" si="12"/>
        <v>-190</v>
      </c>
      <c r="AC5" s="12">
        <f t="shared" si="13"/>
        <v>0.2</v>
      </c>
      <c r="AD5" s="9">
        <v>200</v>
      </c>
      <c r="AE5" s="10">
        <v>10</v>
      </c>
      <c r="AF5" s="11">
        <f t="shared" si="14"/>
        <v>-190</v>
      </c>
      <c r="AG5" s="12">
        <f t="shared" si="15"/>
        <v>0.2</v>
      </c>
    </row>
    <row r="6" spans="1:33">
      <c r="A6" s="8" t="s">
        <v>8</v>
      </c>
      <c r="B6" s="9">
        <v>50</v>
      </c>
      <c r="C6" s="10">
        <v>10</v>
      </c>
      <c r="D6" s="11">
        <f t="shared" si="0"/>
        <v>-40</v>
      </c>
      <c r="E6" s="12">
        <f t="shared" si="1"/>
        <v>0.2</v>
      </c>
      <c r="F6" s="9">
        <v>200</v>
      </c>
      <c r="G6" s="10">
        <v>10</v>
      </c>
      <c r="H6" s="11">
        <f t="shared" si="2"/>
        <v>-190</v>
      </c>
      <c r="I6" s="12">
        <f t="shared" si="3"/>
        <v>0.2</v>
      </c>
      <c r="J6" s="9">
        <v>200</v>
      </c>
      <c r="K6" s="10">
        <v>10</v>
      </c>
      <c r="L6" s="11">
        <f t="shared" si="4"/>
        <v>-190</v>
      </c>
      <c r="M6" s="12">
        <f t="shared" si="5"/>
        <v>0.2</v>
      </c>
      <c r="N6" s="9">
        <v>200</v>
      </c>
      <c r="O6" s="10">
        <v>10</v>
      </c>
      <c r="P6" s="11">
        <f t="shared" si="6"/>
        <v>-190</v>
      </c>
      <c r="Q6" s="12">
        <f t="shared" si="7"/>
        <v>0.2</v>
      </c>
      <c r="R6" s="9">
        <v>200</v>
      </c>
      <c r="S6" s="10">
        <v>10</v>
      </c>
      <c r="T6" s="11">
        <f t="shared" si="8"/>
        <v>-190</v>
      </c>
      <c r="U6" s="12">
        <f t="shared" si="9"/>
        <v>0.2</v>
      </c>
      <c r="V6" s="9">
        <v>200</v>
      </c>
      <c r="W6" s="10">
        <v>10</v>
      </c>
      <c r="X6" s="11">
        <f t="shared" si="10"/>
        <v>-190</v>
      </c>
      <c r="Y6" s="12">
        <f t="shared" si="11"/>
        <v>0.2</v>
      </c>
      <c r="Z6" s="9">
        <v>200</v>
      </c>
      <c r="AA6" s="10">
        <v>10</v>
      </c>
      <c r="AB6" s="11">
        <f t="shared" si="12"/>
        <v>-190</v>
      </c>
      <c r="AC6" s="12">
        <f t="shared" si="13"/>
        <v>0.2</v>
      </c>
      <c r="AD6" s="9">
        <v>200</v>
      </c>
      <c r="AE6" s="10">
        <v>10</v>
      </c>
      <c r="AF6" s="11">
        <f t="shared" si="14"/>
        <v>-190</v>
      </c>
      <c r="AG6" s="12">
        <f t="shared" si="15"/>
        <v>0.2</v>
      </c>
    </row>
    <row r="7" ht="15.15" spans="1:33">
      <c r="A7" s="13" t="s">
        <v>9</v>
      </c>
      <c r="B7" s="14">
        <v>50</v>
      </c>
      <c r="C7" s="13">
        <v>10</v>
      </c>
      <c r="D7" s="15">
        <f t="shared" si="0"/>
        <v>-40</v>
      </c>
      <c r="E7" s="16">
        <f t="shared" si="1"/>
        <v>0.2</v>
      </c>
      <c r="F7" s="14">
        <v>200</v>
      </c>
      <c r="G7" s="13">
        <v>10</v>
      </c>
      <c r="H7" s="15">
        <f t="shared" si="2"/>
        <v>-190</v>
      </c>
      <c r="I7" s="16">
        <f t="shared" si="3"/>
        <v>0.2</v>
      </c>
      <c r="J7" s="14">
        <v>200</v>
      </c>
      <c r="K7" s="13">
        <v>10</v>
      </c>
      <c r="L7" s="15">
        <f t="shared" si="4"/>
        <v>-190</v>
      </c>
      <c r="M7" s="16">
        <f t="shared" si="5"/>
        <v>0.2</v>
      </c>
      <c r="N7" s="14">
        <v>200</v>
      </c>
      <c r="O7" s="13">
        <v>10</v>
      </c>
      <c r="P7" s="15">
        <f t="shared" si="6"/>
        <v>-190</v>
      </c>
      <c r="Q7" s="16">
        <f t="shared" si="7"/>
        <v>0.2</v>
      </c>
      <c r="R7" s="14">
        <v>200</v>
      </c>
      <c r="S7" s="13">
        <v>10</v>
      </c>
      <c r="T7" s="15">
        <f t="shared" si="8"/>
        <v>-190</v>
      </c>
      <c r="U7" s="16">
        <f t="shared" si="9"/>
        <v>0.2</v>
      </c>
      <c r="V7" s="14">
        <v>200</v>
      </c>
      <c r="W7" s="13">
        <v>10</v>
      </c>
      <c r="X7" s="15">
        <f t="shared" si="10"/>
        <v>-190</v>
      </c>
      <c r="Y7" s="16">
        <f t="shared" si="11"/>
        <v>0.2</v>
      </c>
      <c r="Z7" s="14">
        <v>200</v>
      </c>
      <c r="AA7" s="13">
        <v>10</v>
      </c>
      <c r="AB7" s="15">
        <f t="shared" si="12"/>
        <v>-190</v>
      </c>
      <c r="AC7" s="16">
        <f t="shared" si="13"/>
        <v>0.2</v>
      </c>
      <c r="AD7" s="14">
        <v>200</v>
      </c>
      <c r="AE7" s="13">
        <v>10</v>
      </c>
      <c r="AF7" s="15">
        <f t="shared" si="14"/>
        <v>-190</v>
      </c>
      <c r="AG7" s="16">
        <f t="shared" si="15"/>
        <v>0.2</v>
      </c>
    </row>
    <row r="8" ht="15.15" spans="1:33">
      <c r="A8" s="17" t="s">
        <v>10</v>
      </c>
      <c r="B8" s="18">
        <f t="shared" ref="B8:AG8" si="16">SUM(B3:B7)</f>
        <v>250</v>
      </c>
      <c r="C8" s="19">
        <f t="shared" si="16"/>
        <v>50</v>
      </c>
      <c r="D8" s="20">
        <f t="shared" si="16"/>
        <v>-200</v>
      </c>
      <c r="E8" s="21">
        <f t="shared" si="16"/>
        <v>1</v>
      </c>
      <c r="F8" s="18">
        <f t="shared" si="16"/>
        <v>1000</v>
      </c>
      <c r="G8" s="19">
        <f t="shared" si="16"/>
        <v>50</v>
      </c>
      <c r="H8" s="20">
        <f t="shared" si="16"/>
        <v>-950</v>
      </c>
      <c r="I8" s="21">
        <f t="shared" si="16"/>
        <v>1</v>
      </c>
      <c r="J8" s="18">
        <f t="shared" si="16"/>
        <v>1000</v>
      </c>
      <c r="K8" s="19">
        <f t="shared" si="16"/>
        <v>50</v>
      </c>
      <c r="L8" s="20">
        <f t="shared" si="16"/>
        <v>-950</v>
      </c>
      <c r="M8" s="21">
        <f t="shared" si="16"/>
        <v>1</v>
      </c>
      <c r="N8" s="18">
        <f t="shared" si="16"/>
        <v>1000</v>
      </c>
      <c r="O8" s="19">
        <f t="shared" si="16"/>
        <v>50</v>
      </c>
      <c r="P8" s="20">
        <f t="shared" si="16"/>
        <v>-950</v>
      </c>
      <c r="Q8" s="21">
        <f t="shared" si="16"/>
        <v>1</v>
      </c>
      <c r="R8" s="18">
        <f t="shared" si="16"/>
        <v>1000</v>
      </c>
      <c r="S8" s="19">
        <f t="shared" si="16"/>
        <v>50</v>
      </c>
      <c r="T8" s="20">
        <f t="shared" si="16"/>
        <v>-950</v>
      </c>
      <c r="U8" s="21">
        <f t="shared" si="16"/>
        <v>1</v>
      </c>
      <c r="V8" s="18">
        <f t="shared" si="16"/>
        <v>1000</v>
      </c>
      <c r="W8" s="19">
        <f t="shared" si="16"/>
        <v>50</v>
      </c>
      <c r="X8" s="20">
        <f t="shared" si="16"/>
        <v>-950</v>
      </c>
      <c r="Y8" s="21">
        <f t="shared" si="16"/>
        <v>1</v>
      </c>
      <c r="Z8" s="18">
        <f t="shared" si="16"/>
        <v>1000</v>
      </c>
      <c r="AA8" s="19">
        <f t="shared" si="16"/>
        <v>50</v>
      </c>
      <c r="AB8" s="20">
        <f t="shared" si="16"/>
        <v>-950</v>
      </c>
      <c r="AC8" s="21">
        <f t="shared" si="16"/>
        <v>1</v>
      </c>
      <c r="AD8" s="18">
        <f t="shared" si="16"/>
        <v>1000</v>
      </c>
      <c r="AE8" s="19">
        <f t="shared" si="16"/>
        <v>50</v>
      </c>
      <c r="AF8" s="20">
        <f t="shared" si="16"/>
        <v>-950</v>
      </c>
      <c r="AG8" s="21">
        <f t="shared" si="16"/>
        <v>1</v>
      </c>
    </row>
  </sheetData>
  <mergeCells count="8">
    <mergeCell ref="B1:E1"/>
    <mergeCell ref="F1:I1"/>
    <mergeCell ref="J1:M1"/>
    <mergeCell ref="N1:Q1"/>
    <mergeCell ref="R1:U1"/>
    <mergeCell ref="V1:Y1"/>
    <mergeCell ref="Z1:AC1"/>
    <mergeCell ref="AD1:A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2024-12-16T21:14:00Z</dcterms:created>
  <dcterms:modified xsi:type="dcterms:W3CDTF">2025-01-17T12:07:21Z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9D23094D9D148312B0276067DA527BCC_41</vt:lpwstr>
  </property>
  <property fmtid="{D5CDD505-2E9C-101B-9397-08002B2CF9AE}" pid="3" name="KSOProductBuildVer">
    <vt:lpwstr>2052-12.1.0.19302</vt:lpwstr>
  </property>
</Properties>
</file>