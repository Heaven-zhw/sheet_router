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75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Contacts_During_Travel_to_Facility">'[1]Detailed COVID Calculations - 1'!$C$16</definedName>
    <definedName name="Country">[1]Intro!$B$3</definedName>
    <definedName name="Days_Individuals_Are_Infectious">'[1]Detailed COVID Calculations - 1'!$C$11</definedName>
    <definedName name="Fatality_Rate_Adult">'[1]Detailed COVID Calculations - 1'!$C$52</definedName>
    <definedName name="Fatality_Rate_Child">'[1]Detailed COVID Calculations - 1'!$C$51</definedName>
    <definedName name="Fatality_Rate_Over_60">'[1]Detailed COVID Calculations - 1'!$C$53</definedName>
    <definedName name="Package">'[1]2. COVID Impact on Coverage'!$V$3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Eva Weissman</author>
  </authors>
  <commentList>
    <comment ref="G3" authorId="0">
      <text>
        <r>
          <rPr>
            <b/>
            <sz val="9"/>
            <rFont val="Tahoma"/>
            <charset val="134"/>
          </rPr>
          <t xml:space="preserve">Formula:
=IF(By Package=1, i.e. if user selected to enter reduction by package, reduction of original coverage by % package reduction (i.e. all ANC interventions are reduced by the % specified for ANC), otherwise by specific intervention % (e.g., tetanus vaccination reduced by % specified for tetanus vaccination)
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<sst xmlns="http://schemas.openxmlformats.org/spreadsheetml/2006/main" count="106" uniqueCount="98">
  <si>
    <t>HIDDEN</t>
  </si>
  <si>
    <t>Coverage Calculations - Impact of Covid on Original Coverage, Impact of Mitigation Strategies</t>
  </si>
  <si>
    <t>Coverage Rate (%)</t>
  </si>
  <si>
    <t>Number of Women/Children Receiving Intervention*</t>
  </si>
  <si>
    <t>Selected</t>
  </si>
  <si>
    <t>Int#</t>
  </si>
  <si>
    <t>Int# in LiST</t>
  </si>
  <si>
    <t>2019 Pre-COVID</t>
  </si>
  <si>
    <t>2020 With COVID</t>
  </si>
  <si>
    <t>2021 WITHOUT Mitigation</t>
  </si>
  <si>
    <t>2021 WITH Mitigation</t>
  </si>
  <si>
    <t>2021 General recovery</t>
  </si>
  <si>
    <t>2021 WITH Mitigation + Gen. Recovery</t>
  </si>
  <si>
    <t>Family Planning</t>
  </si>
  <si>
    <t>Contraceptive Use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</si>
  <si>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</si>
  <si>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</si>
  <si>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</si>
  <si>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</si>
  <si>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</si>
  <si>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</si>
  <si>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</si>
  <si>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 + Other</t>
  </si>
  <si>
    <t>x</t>
  </si>
  <si>
    <t>Pregnancy/ Antenatal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</si>
  <si>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</si>
  <si>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</si>
  <si>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</si>
  <si>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</si>
  <si>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</si>
  <si>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</si>
  <si>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and folate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</si>
  <si>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</si>
  <si>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</si>
  <si>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</si>
  <si>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</si>
  <si>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</si>
  <si>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</si>
  <si>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Care/ 
BEmoC/ 
CEmOC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</si>
  <si>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</si>
  <si>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</si>
  <si>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</si>
  <si>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</si>
  <si>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</si>
  <si>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</si>
  <si>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</si>
  <si>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</si>
  <si>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</si>
  <si>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</si>
  <si>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</si>
  <si>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</si>
  <si>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</si>
  <si>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</si>
  <si>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</si>
  <si>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</si>
  <si>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</si>
  <si>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</si>
  <si>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</si>
  <si>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</si>
  <si>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</si>
  <si>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</si>
  <si>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</si>
  <si>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</si>
  <si>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</si>
  <si>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</si>
  <si>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</si>
  <si>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</si>
  <si>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</si>
  <si>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</si>
  <si>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Early Initiation of Breastfeeding</t>
  </si>
  <si>
    <t>Complementary feeding - Education only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</si>
  <si>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</si>
  <si>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</si>
  <si>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</si>
  <si>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</si>
  <si>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</si>
  <si>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</si>
  <si>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</si>
  <si>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</si>
  <si>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</si>
  <si>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</si>
  <si>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</si>
  <si>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</si>
  <si>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</si>
  <si>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</si>
  <si>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</si>
  <si>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</si>
  <si>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</si>
  <si>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</si>
  <si>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</si>
  <si>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</si>
  <si>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</si>
  <si>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</si>
  <si>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</si>
  <si>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</si>
  <si>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</si>
  <si>
    <t>Other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</si>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</sst>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33">
    <font>
      <sz val="11"/>
      <color theme="1"/>
      <name val="宋体"/>
      <charset val="134"/>
      <scheme val="minor"/>
    </font>
    <font>
      <sz val="9"/>
      <color rgb="FFC00000"/>
      <name val="宋体"/>
      <charset val="134"/>
      <scheme val="minor"/>
    </font>
    <font>
      <sz val="16"/>
      <color theme="1"/>
      <name val="Britannic Bold"/>
      <charset val="134"/>
    </font>
    <font>
      <i/>
      <sz val="11"/>
      <color theme="1"/>
      <name val="宋体"/>
      <charset val="134"/>
      <scheme val="minor"/>
    </font>
    <font>
      <b/>
      <sz val="9"/>
      <color theme="0"/>
      <name val="Arial Narrow"/>
      <charset val="134"/>
    </font>
    <font>
      <i/>
      <sz val="9"/>
      <color theme="0"/>
      <name val="宋体"/>
      <charset val="134"/>
      <scheme val="minor"/>
    </font>
    <font>
      <b/>
      <sz val="9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/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4" borderId="2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5" borderId="26" applyNumberFormat="0" applyAlignment="0" applyProtection="0">
      <alignment vertical="center"/>
    </xf>
    <xf numFmtId="0" fontId="21" fillId="16" borderId="27" applyNumberFormat="0" applyAlignment="0" applyProtection="0">
      <alignment vertical="center"/>
    </xf>
    <xf numFmtId="0" fontId="22" fillId="16" borderId="26" applyNumberFormat="0" applyAlignment="0" applyProtection="0">
      <alignment vertical="center"/>
    </xf>
    <xf numFmtId="0" fontId="23" fillId="17" borderId="28" applyNumberFormat="0" applyAlignment="0" applyProtection="0">
      <alignment vertical="center"/>
    </xf>
    <xf numFmtId="0" fontId="24" fillId="0" borderId="29" applyNumberFormat="0" applyFill="0" applyAlignment="0" applyProtection="0">
      <alignment vertical="center"/>
    </xf>
    <xf numFmtId="0" fontId="25" fillId="0" borderId="30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0" fillId="0" borderId="0"/>
    <xf numFmtId="0" fontId="7" fillId="0" borderId="0"/>
  </cellStyleXfs>
  <cellXfs count="63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horizontal="centerContinuous"/>
    </xf>
    <xf numFmtId="0" fontId="2" fillId="0" borderId="0" xfId="0" applyFont="1" applyFill="1" applyAlignment="1"/>
    <xf numFmtId="0" fontId="3" fillId="0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/>
    <xf numFmtId="0" fontId="5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76" fontId="6" fillId="2" borderId="3" xfId="0" applyNumberFormat="1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vertical="center"/>
    </xf>
    <xf numFmtId="0" fontId="8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vertical="center"/>
    </xf>
    <xf numFmtId="177" fontId="7" fillId="4" borderId="4" xfId="3" applyNumberFormat="1" applyFont="1" applyFill="1" applyBorder="1" applyAlignment="1"/>
    <xf numFmtId="0" fontId="8" fillId="3" borderId="7" xfId="0" applyFont="1" applyFill="1" applyBorder="1" applyAlignment="1">
      <alignment horizontal="center" vertical="center"/>
    </xf>
    <xf numFmtId="177" fontId="7" fillId="5" borderId="4" xfId="3" applyNumberFormat="1" applyFont="1" applyFill="1" applyBorder="1" applyAlignment="1"/>
    <xf numFmtId="0" fontId="9" fillId="6" borderId="4" xfId="49" applyFont="1" applyFill="1" applyBorder="1"/>
    <xf numFmtId="0" fontId="8" fillId="6" borderId="8" xfId="0" applyFont="1" applyFill="1" applyBorder="1" applyAlignment="1">
      <alignment horizontal="center" vertical="center" wrapText="1"/>
    </xf>
    <xf numFmtId="0" fontId="9" fillId="6" borderId="6" xfId="49" applyFont="1" applyFill="1" applyBorder="1"/>
    <xf numFmtId="0" fontId="8" fillId="6" borderId="9" xfId="0" applyFont="1" applyFill="1" applyBorder="1" applyAlignment="1">
      <alignment horizontal="center" vertical="center" wrapText="1"/>
    </xf>
    <xf numFmtId="0" fontId="9" fillId="6" borderId="10" xfId="49" applyFont="1" applyFill="1" applyBorder="1"/>
    <xf numFmtId="0" fontId="8" fillId="6" borderId="11" xfId="0" applyFont="1" applyFill="1" applyBorder="1" applyAlignment="1">
      <alignment horizontal="center" vertical="center" wrapText="1"/>
    </xf>
    <xf numFmtId="0" fontId="9" fillId="7" borderId="12" xfId="49" applyFont="1" applyFill="1" applyBorder="1"/>
    <xf numFmtId="0" fontId="8" fillId="7" borderId="13" xfId="50" applyFont="1" applyFill="1" applyBorder="1" applyAlignment="1">
      <alignment horizontal="center" vertical="center" wrapText="1"/>
    </xf>
    <xf numFmtId="0" fontId="7" fillId="7" borderId="12" xfId="0" applyFont="1" applyFill="1" applyBorder="1" applyAlignment="1"/>
    <xf numFmtId="0" fontId="8" fillId="7" borderId="14" xfId="50" applyFont="1" applyFill="1" applyBorder="1" applyAlignment="1">
      <alignment horizontal="center" vertical="center" wrapText="1"/>
    </xf>
    <xf numFmtId="0" fontId="8" fillId="7" borderId="15" xfId="50" applyFont="1" applyFill="1" applyBorder="1" applyAlignment="1">
      <alignment horizontal="center" vertical="center" wrapText="1"/>
    </xf>
    <xf numFmtId="0" fontId="7" fillId="3" borderId="12" xfId="0" applyFont="1" applyFill="1" applyBorder="1" applyAlignment="1"/>
    <xf numFmtId="0" fontId="9" fillId="3" borderId="12" xfId="49" applyFont="1" applyFill="1" applyBorder="1"/>
    <xf numFmtId="0" fontId="8" fillId="3" borderId="16" xfId="5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left"/>
    </xf>
    <xf numFmtId="0" fontId="8" fillId="3" borderId="0" xfId="50" applyFont="1" applyFill="1" applyAlignment="1">
      <alignment horizontal="center" vertical="center"/>
    </xf>
    <xf numFmtId="0" fontId="10" fillId="3" borderId="12" xfId="0" applyFont="1" applyFill="1" applyBorder="1" applyAlignment="1"/>
    <xf numFmtId="0" fontId="7" fillId="3" borderId="12" xfId="0" applyFont="1" applyFill="1" applyBorder="1" applyAlignment="1">
      <alignment horizontal="left" indent="1"/>
    </xf>
    <xf numFmtId="0" fontId="8" fillId="3" borderId="17" xfId="50" applyFont="1" applyFill="1" applyBorder="1" applyAlignment="1">
      <alignment horizontal="center" vertical="center"/>
    </xf>
    <xf numFmtId="0" fontId="9" fillId="8" borderId="18" xfId="49" applyFont="1" applyFill="1" applyBorder="1"/>
    <xf numFmtId="0" fontId="8" fillId="8" borderId="16" xfId="0" applyFont="1" applyFill="1" applyBorder="1" applyAlignment="1">
      <alignment horizontal="center" vertical="center"/>
    </xf>
    <xf numFmtId="0" fontId="7" fillId="8" borderId="12" xfId="0" applyFont="1" applyFill="1" applyBorder="1" applyAlignment="1"/>
    <xf numFmtId="0" fontId="8" fillId="8" borderId="0" xfId="0" applyFont="1" applyFill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0" fontId="7" fillId="9" borderId="12" xfId="0" applyFont="1" applyFill="1" applyBorder="1" applyAlignment="1"/>
    <xf numFmtId="0" fontId="8" fillId="9" borderId="19" xfId="0" applyFont="1" applyFill="1" applyBorder="1" applyAlignment="1">
      <alignment horizontal="center" vertical="center"/>
    </xf>
    <xf numFmtId="0" fontId="8" fillId="9" borderId="20" xfId="0" applyFont="1" applyFill="1" applyBorder="1" applyAlignment="1">
      <alignment horizontal="center" vertical="center"/>
    </xf>
    <xf numFmtId="0" fontId="11" fillId="9" borderId="12" xfId="0" applyFont="1" applyFill="1" applyBorder="1" applyAlignment="1"/>
    <xf numFmtId="0" fontId="7" fillId="9" borderId="12" xfId="0" applyFont="1" applyFill="1" applyBorder="1" applyAlignment="1">
      <alignment horizontal="left" indent="1"/>
    </xf>
    <xf numFmtId="0" fontId="6" fillId="2" borderId="21" xfId="0" applyFont="1" applyFill="1" applyBorder="1" applyAlignment="1">
      <alignment horizontal="center" vertical="center" wrapText="1"/>
    </xf>
    <xf numFmtId="177" fontId="7" fillId="7" borderId="4" xfId="3" applyNumberFormat="1" applyFont="1" applyFill="1" applyBorder="1" applyAlignment="1"/>
    <xf numFmtId="3" fontId="7" fillId="4" borderId="4" xfId="0" applyNumberFormat="1" applyFont="1" applyFill="1" applyBorder="1" applyAlignment="1"/>
    <xf numFmtId="177" fontId="7" fillId="10" borderId="4" xfId="3" applyNumberFormat="1" applyFont="1" applyFill="1" applyBorder="1" applyAlignment="1"/>
    <xf numFmtId="3" fontId="7" fillId="0" borderId="4" xfId="0" applyNumberFormat="1" applyFont="1" applyFill="1" applyBorder="1" applyAlignment="1"/>
    <xf numFmtId="0" fontId="8" fillId="9" borderId="22" xfId="0" applyFont="1" applyFill="1" applyBorder="1" applyAlignment="1">
      <alignment horizontal="center" vertical="center"/>
    </xf>
    <xf numFmtId="0" fontId="7" fillId="11" borderId="12" xfId="0" applyFont="1" applyFill="1" applyBorder="1" applyAlignment="1"/>
    <xf numFmtId="0" fontId="8" fillId="11" borderId="19" xfId="0" applyFont="1" applyFill="1" applyBorder="1" applyAlignment="1">
      <alignment horizontal="center" vertical="center"/>
    </xf>
    <xf numFmtId="0" fontId="7" fillId="11" borderId="12" xfId="0" applyFont="1" applyFill="1" applyBorder="1" applyAlignment="1">
      <alignment horizontal="left"/>
    </xf>
    <xf numFmtId="0" fontId="8" fillId="11" borderId="20" xfId="0" applyFont="1" applyFill="1" applyBorder="1" applyAlignment="1">
      <alignment horizontal="center" vertical="center"/>
    </xf>
    <xf numFmtId="0" fontId="7" fillId="12" borderId="12" xfId="0" applyFont="1" applyFill="1" applyBorder="1" applyAlignment="1"/>
    <xf numFmtId="0" fontId="8" fillId="12" borderId="20" xfId="0" applyFont="1" applyFill="1" applyBorder="1" applyAlignment="1">
      <alignment horizontal="center" vertical="center" wrapText="1"/>
    </xf>
    <xf numFmtId="0" fontId="9" fillId="13" borderId="12" xfId="49" applyFont="1" applyFill="1" applyBorder="1"/>
    <xf numFmtId="0" fontId="7" fillId="13" borderId="12" xfId="0" applyFont="1" applyFill="1" applyBorder="1" applyAlignment="1"/>
    <xf numFmtId="0" fontId="8" fillId="13" borderId="0" xfId="0" applyFont="1" applyFill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4" xfId="49"/>
    <cellStyle name="Normal 2" xfId="50"/>
  </cellStyles>
  <dxfs count="18">
    <dxf>
      <fill>
        <patternFill patternType="solid">
          <bgColor theme="5" tint="0.399945066682943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79834</xdr:colOff>
      <xdr:row>3</xdr:row>
      <xdr:rowOff>118373</xdr:rowOff>
    </xdr:from>
    <xdr:to>
      <xdr:col>13</xdr:col>
      <xdr:colOff>627659</xdr:colOff>
      <xdr:row>12</xdr:row>
      <xdr:rowOff>8258</xdr:rowOff>
    </xdr:to>
    <xdr:sp>
      <xdr:nvSpPr>
        <xdr:cNvPr id="4" name="TextBox 3"/>
        <xdr:cNvSpPr txBox="1"/>
      </xdr:nvSpPr>
      <xdr:spPr>
        <a:xfrm>
          <a:off x="17986375" y="1134110"/>
          <a:ext cx="1724025" cy="1490345"/>
        </a:xfrm>
        <a:prstGeom prst="rect">
          <a:avLst/>
        </a:prstGeom>
        <a:solidFill>
          <a:srgbClr val="9999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We put a cap</a:t>
          </a:r>
          <a:r>
            <a:rPr lang="en-US" sz="1100" baseline="0"/>
            <a:t> on maximum coverage for all </a:t>
          </a:r>
          <a:r>
            <a:rPr lang="en-US" sz="1100"/>
            <a:t>interventions, it</a:t>
          </a:r>
          <a:r>
            <a:rPr lang="en-US" sz="1100" baseline="0"/>
            <a:t> now can not be more than 2% above pre-COVID coverage or more than 100%.</a:t>
          </a:r>
          <a:endParaRPr lang="en-US" sz="1100" baseline="0"/>
        </a:p>
        <a:p>
          <a:r>
            <a:rPr lang="en-US" sz="1100" baseline="0"/>
            <a:t>Column V shows  where the cap is applied highlighted in orange.</a:t>
          </a:r>
          <a:endParaRPr lang="en-US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35\Downloads\Country%20Excel%20Models\Country%20Excel%20Models\Morocco%20Benefit%20Risk%20Analysis%20Model%20-%20Jan%2021%202021%20-%20Traditional%20FP%20Constant%20-%20Updated%20D+M%20Impact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  <sheetName val="FP Modifica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</row>
        <row r="7">
          <cell r="D7" t="str">
            <v>FP - Condoms</v>
          </cell>
          <cell r="E7" t="str">
            <v>x</v>
          </cell>
        </row>
        <row r="8">
          <cell r="A8">
            <v>3</v>
          </cell>
        </row>
        <row r="8">
          <cell r="D8" t="str">
            <v>FP - Injectables</v>
          </cell>
        </row>
        <row r="9">
          <cell r="A9">
            <v>4</v>
          </cell>
        </row>
        <row r="9">
          <cell r="D9" t="str">
            <v>FP - Implants</v>
          </cell>
        </row>
        <row r="10">
          <cell r="A10">
            <v>5</v>
          </cell>
        </row>
        <row r="10">
          <cell r="D10" t="str">
            <v>FP - IUD</v>
          </cell>
          <cell r="E10" t="str">
            <v>x</v>
          </cell>
        </row>
        <row r="11">
          <cell r="A11">
            <v>6</v>
          </cell>
        </row>
        <row r="11">
          <cell r="D11" t="str">
            <v>FP - Female Sterilization</v>
          </cell>
          <cell r="E11" t="str">
            <v>x</v>
          </cell>
        </row>
        <row r="12">
          <cell r="A12">
            <v>7</v>
          </cell>
        </row>
        <row r="12">
          <cell r="D12" t="str">
            <v>FP - Male Sterilization</v>
          </cell>
        </row>
        <row r="13">
          <cell r="A13">
            <v>8</v>
          </cell>
        </row>
        <row r="13">
          <cell r="D13" t="str">
            <v>FP - Traditional Methods</v>
          </cell>
          <cell r="E13" t="str">
            <v>x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</row>
        <row r="15">
          <cell r="D15" t="str">
            <v>IPTp - Intermittent preventive treatment of malaria during pregnancy</v>
          </cell>
        </row>
        <row r="16">
          <cell r="A16">
            <v>13</v>
          </cell>
        </row>
        <row r="16"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</row>
        <row r="17">
          <cell r="D17" t="str">
            <v>Calcium supplementation</v>
          </cell>
        </row>
        <row r="18">
          <cell r="A18">
            <v>15</v>
          </cell>
        </row>
        <row r="18"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</row>
        <row r="19">
          <cell r="D19" t="str">
            <v>Multiple micronutrient supplementation in pregnancy</v>
          </cell>
        </row>
        <row r="20">
          <cell r="A20">
            <v>17</v>
          </cell>
        </row>
        <row r="20">
          <cell r="D20" t="str">
            <v>Balanced energy supplementation</v>
          </cell>
        </row>
        <row r="21">
          <cell r="A21">
            <v>18</v>
          </cell>
        </row>
        <row r="21"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</row>
        <row r="22">
          <cell r="D22" t="str">
            <v>Diabetes case management</v>
          </cell>
          <cell r="E22" t="str">
            <v>x</v>
          </cell>
        </row>
        <row r="23">
          <cell r="A23">
            <v>20</v>
          </cell>
        </row>
        <row r="23">
          <cell r="D23" t="str">
            <v>Malaria case management</v>
          </cell>
          <cell r="E23" t="str">
            <v>x</v>
          </cell>
        </row>
        <row r="24">
          <cell r="A24">
            <v>21</v>
          </cell>
        </row>
        <row r="24"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</row>
        <row r="26">
          <cell r="D26" t="str">
            <v>Clean birth environment</v>
          </cell>
          <cell r="E26" t="str">
            <v>x</v>
          </cell>
        </row>
        <row r="27">
          <cell r="A27">
            <v>24</v>
          </cell>
        </row>
        <row r="27"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</row>
        <row r="28"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</row>
        <row r="29"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</row>
        <row r="30"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</row>
        <row r="31">
          <cell r="D31" t="str">
            <v>Assisted vaginal delivery</v>
          </cell>
          <cell r="E31" t="str">
            <v>x</v>
          </cell>
        </row>
        <row r="32">
          <cell r="A32">
            <v>29</v>
          </cell>
        </row>
        <row r="32"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</row>
        <row r="33"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</row>
        <row r="34"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</row>
        <row r="35">
          <cell r="D35" t="str">
            <v>Antenatal corticosteroids for preterm labor</v>
          </cell>
        </row>
        <row r="36">
          <cell r="A36">
            <v>33</v>
          </cell>
        </row>
        <row r="36">
          <cell r="D36" t="str">
            <v>Maternal sepsis case management</v>
          </cell>
        </row>
        <row r="37">
          <cell r="A37">
            <v>34</v>
          </cell>
        </row>
        <row r="37">
          <cell r="D37" t="str">
            <v>Safe abortion services</v>
          </cell>
          <cell r="E37" t="str">
            <v>x</v>
          </cell>
        </row>
        <row r="38">
          <cell r="A38">
            <v>35</v>
          </cell>
        </row>
        <row r="38">
          <cell r="D38" t="str">
            <v>Post abortion case management</v>
          </cell>
        </row>
        <row r="39">
          <cell r="A39">
            <v>36</v>
          </cell>
        </row>
        <row r="39">
          <cell r="D39" t="str">
            <v>Cesarean delivery</v>
          </cell>
          <cell r="E39" t="str">
            <v>x</v>
          </cell>
        </row>
        <row r="40">
          <cell r="A40">
            <v>37</v>
          </cell>
        </row>
        <row r="40">
          <cell r="D40" t="str">
            <v>Blood transfusion</v>
          </cell>
        </row>
        <row r="41">
          <cell r="A41">
            <v>38</v>
          </cell>
        </row>
        <row r="41"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</row>
        <row r="43">
          <cell r="D43" t="str">
            <v>Thermal protection</v>
          </cell>
          <cell r="E43" t="str">
            <v>x</v>
          </cell>
        </row>
        <row r="44">
          <cell r="A44">
            <v>41</v>
          </cell>
        </row>
        <row r="44">
          <cell r="D44" t="str">
            <v>Clean cord care</v>
          </cell>
          <cell r="E44" t="str">
            <v>x</v>
          </cell>
        </row>
        <row r="45">
          <cell r="A45">
            <v>42</v>
          </cell>
        </row>
        <row r="45"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</row>
        <row r="47">
          <cell r="D47" t="str">
            <v>Kangaroo-Mother Care (KMC)</v>
          </cell>
        </row>
        <row r="48">
          <cell r="A48">
            <v>44</v>
          </cell>
        </row>
        <row r="48"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</row>
        <row r="50">
          <cell r="D50" t="str">
            <v>Oral antibiotics for neonatal sepsis</v>
          </cell>
        </row>
        <row r="51">
          <cell r="A51">
            <v>46</v>
          </cell>
        </row>
        <row r="51"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</row>
        <row r="52"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</row>
        <row r="53">
          <cell r="D53" t="str">
            <v>Early Initiation of Breastfeeding</v>
          </cell>
        </row>
        <row r="54">
          <cell r="A54">
            <v>49</v>
          </cell>
        </row>
        <row r="54">
          <cell r="D54" t="str">
            <v>Complementary feeding - Education only</v>
          </cell>
        </row>
        <row r="55">
          <cell r="A55">
            <v>50</v>
          </cell>
        </row>
        <row r="55">
          <cell r="D55" t="str">
            <v>Complementary feeding - Supplementary feeding + Education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</row>
        <row r="57"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</row>
        <row r="59">
          <cell r="D59" t="str">
            <v>DPT - Three doses</v>
          </cell>
          <cell r="E59" t="str">
            <v>x</v>
          </cell>
        </row>
        <row r="60">
          <cell r="A60">
            <v>54</v>
          </cell>
        </row>
        <row r="60">
          <cell r="D60" t="str">
            <v>Hib - Three doses</v>
          </cell>
          <cell r="E60" t="str">
            <v>x</v>
          </cell>
        </row>
        <row r="61">
          <cell r="A61">
            <v>55</v>
          </cell>
        </row>
        <row r="61">
          <cell r="D61" t="str">
            <v>HepB - Three doses</v>
          </cell>
          <cell r="E61" t="str">
            <v>x</v>
          </cell>
        </row>
        <row r="62">
          <cell r="A62">
            <v>56</v>
          </cell>
        </row>
        <row r="62"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</row>
        <row r="63">
          <cell r="D63" t="str">
            <v>Rotavirus - Two doses</v>
          </cell>
          <cell r="E63" t="str">
            <v>x</v>
          </cell>
        </row>
        <row r="64">
          <cell r="A64">
            <v>58</v>
          </cell>
        </row>
        <row r="64">
          <cell r="D64" t="str">
            <v>Meningococcal A - Single dose</v>
          </cell>
        </row>
        <row r="65">
          <cell r="A65">
            <v>59</v>
          </cell>
        </row>
        <row r="65">
          <cell r="D65" t="str">
            <v>Malaria vaccine - Three doses</v>
          </cell>
        </row>
        <row r="66">
          <cell r="A66">
            <v>60</v>
          </cell>
        </row>
        <row r="66"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</row>
        <row r="68">
          <cell r="D68" t="str">
            <v>Zinc supplementation</v>
          </cell>
        </row>
        <row r="69">
          <cell r="A69">
            <v>63</v>
          </cell>
        </row>
        <row r="69"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</row>
        <row r="70">
          <cell r="D70" t="str">
            <v>Antibiotics for treatment of dysentery</v>
          </cell>
        </row>
        <row r="71">
          <cell r="A71">
            <v>65</v>
          </cell>
        </row>
        <row r="71">
          <cell r="D71" t="str">
            <v>Zinc for treatment of diarrhea</v>
          </cell>
        </row>
        <row r="72">
          <cell r="A72">
            <v>66</v>
          </cell>
        </row>
        <row r="72">
          <cell r="D72" t="str">
            <v>Oral antibiotics for pneumonia</v>
          </cell>
        </row>
        <row r="73">
          <cell r="A73">
            <v>67</v>
          </cell>
        </row>
        <row r="73"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</row>
        <row r="74">
          <cell r="D74" t="str">
            <v>ACTs - Artemisinin compounds for treatment of malaria</v>
          </cell>
        </row>
        <row r="75">
          <cell r="A75">
            <v>69</v>
          </cell>
          <cell r="B75" t="str">
            <v>Malnutrition</v>
          </cell>
        </row>
        <row r="75">
          <cell r="D75" t="str">
            <v>SAM - treatment for severe acute malnutrition</v>
          </cell>
        </row>
        <row r="76">
          <cell r="A76">
            <v>70</v>
          </cell>
        </row>
        <row r="76"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</row>
        <row r="77">
          <cell r="D77" t="str">
            <v>ITN/IRS - Households protected from malaria</v>
          </cell>
        </row>
      </sheetData>
      <sheetData sheetId="2"/>
      <sheetData sheetId="3">
        <row r="3">
          <cell r="AB3">
            <v>0</v>
          </cell>
          <cell r="AC3" t="str">
            <v>Family Planning</v>
          </cell>
        </row>
        <row r="3">
          <cell r="AE3" t="str">
            <v>Contraceptive Prevalence</v>
          </cell>
          <cell r="AF3" t="str">
            <v>All needs</v>
          </cell>
          <cell r="AG3">
            <v>70</v>
          </cell>
        </row>
        <row r="4">
          <cell r="AB4">
            <v>2</v>
          </cell>
        </row>
        <row r="4">
          <cell r="AE4" t="str">
            <v>FP - Condoms</v>
          </cell>
          <cell r="AF4" t="str">
            <v>Male condom</v>
          </cell>
          <cell r="AG4">
            <v>0</v>
          </cell>
        </row>
        <row r="5">
          <cell r="AB5">
            <v>6</v>
          </cell>
        </row>
        <row r="5">
          <cell r="AE5" t="str">
            <v>FP - Female Sterilization</v>
          </cell>
          <cell r="AF5" t="str">
            <v>Female sterilization</v>
          </cell>
          <cell r="AG5">
            <v>0</v>
          </cell>
        </row>
        <row r="6">
          <cell r="AB6">
            <v>7</v>
          </cell>
        </row>
        <row r="6">
          <cell r="AE6" t="str">
            <v>FP - Male Sterilization</v>
          </cell>
          <cell r="AF6" t="str">
            <v>Male sterilization</v>
          </cell>
          <cell r="AG6">
            <v>0</v>
          </cell>
        </row>
        <row r="7">
          <cell r="AB7">
            <v>3</v>
          </cell>
        </row>
        <row r="7">
          <cell r="AE7" t="str">
            <v>FP - Injectables</v>
          </cell>
          <cell r="AF7" t="str">
            <v>3 month (Depo Provera)</v>
          </cell>
          <cell r="AG7">
            <v>0</v>
          </cell>
        </row>
        <row r="8">
          <cell r="AB8">
            <v>4</v>
          </cell>
        </row>
        <row r="8">
          <cell r="AE8" t="str">
            <v>FP - Implants</v>
          </cell>
          <cell r="AF8" t="str">
            <v>Jadelle (5 years)</v>
          </cell>
          <cell r="AG8">
            <v>0</v>
          </cell>
        </row>
        <row r="9">
          <cell r="AB9">
            <v>5</v>
          </cell>
        </row>
        <row r="9">
          <cell r="AE9" t="str">
            <v>FP - IUD</v>
          </cell>
          <cell r="AF9" t="str">
            <v>Copper-T 380-A IUD (10 year)</v>
          </cell>
          <cell r="AG9">
            <v>6.24071</v>
          </cell>
        </row>
        <row r="10">
          <cell r="AB10">
            <v>1</v>
          </cell>
        </row>
        <row r="10">
          <cell r="AE10" t="str">
            <v>FP - Pills</v>
          </cell>
          <cell r="AF10" t="str">
            <v>Standard Daily regimen</v>
          </cell>
          <cell r="AG10">
            <v>71.91679</v>
          </cell>
        </row>
        <row r="11">
          <cell r="AE11" t="str">
            <v>FP - Traditional Methods</v>
          </cell>
          <cell r="AF11" t="str">
            <v>Withdrawal</v>
          </cell>
          <cell r="AG11">
            <v>6.09212</v>
          </cell>
        </row>
        <row r="12">
          <cell r="AF12" t="str">
            <v>Periodic abstinence</v>
          </cell>
          <cell r="AG12">
            <v>6.53789</v>
          </cell>
        </row>
        <row r="13">
          <cell r="AF13" t="str">
            <v>Traditional (not specified)</v>
          </cell>
          <cell r="AG13">
            <v>3.12036</v>
          </cell>
        </row>
        <row r="14">
          <cell r="AF14" t="str">
            <v>Other</v>
          </cell>
          <cell r="AG14">
            <v>0</v>
          </cell>
        </row>
        <row r="15">
          <cell r="AB15">
            <v>8</v>
          </cell>
        </row>
        <row r="15">
          <cell r="AF15" t="str">
            <v>Total Traditional and Other</v>
          </cell>
          <cell r="AG15">
            <v>15.75037</v>
          </cell>
        </row>
        <row r="16">
          <cell r="AB16" t="str">
            <v>Not Inc.</v>
          </cell>
          <cell r="AC16" t="str">
            <v>Periconceptual</v>
          </cell>
        </row>
        <row r="16">
          <cell r="AE16" t="str">
            <v>Folic acid supplementation/fortification</v>
          </cell>
          <cell r="AF16" t="str">
            <v>Folic acid supplementation/fortification</v>
          </cell>
          <cell r="AG16">
            <v>0</v>
          </cell>
        </row>
        <row r="17">
          <cell r="AB17">
            <v>34</v>
          </cell>
        </row>
        <row r="17">
          <cell r="AE17" t="str">
            <v>Safe abortion services</v>
          </cell>
          <cell r="AF17" t="str">
            <v>Safe abortion services</v>
          </cell>
          <cell r="AG17">
            <v>2.2</v>
          </cell>
        </row>
        <row r="18">
          <cell r="AB18">
            <v>35</v>
          </cell>
        </row>
        <row r="18">
          <cell r="AE18" t="str">
            <v>Post abortion case management</v>
          </cell>
          <cell r="AF18" t="str">
            <v>Post abortion case management</v>
          </cell>
          <cell r="AG18">
            <v>0</v>
          </cell>
        </row>
        <row r="19">
          <cell r="AB19">
            <v>38</v>
          </cell>
        </row>
        <row r="19">
          <cell r="AE19" t="str">
            <v>Ectopic pregnancy case management</v>
          </cell>
          <cell r="AF19" t="str">
            <v>Ectopic pregnancy case management</v>
          </cell>
          <cell r="AG19">
            <v>0</v>
          </cell>
        </row>
        <row r="20">
          <cell r="AB20" t="str">
            <v>Not Incl.</v>
          </cell>
        </row>
        <row r="20">
          <cell r="AE20" t="str">
            <v>Blanket iron supplementation/fortification</v>
          </cell>
          <cell r="AF20" t="str">
            <v>Blanket iron supplementation/fortification</v>
          </cell>
          <cell r="AG20">
            <v>0</v>
          </cell>
        </row>
        <row r="21">
          <cell r="AB21">
            <v>9</v>
          </cell>
          <cell r="AC21" t="str">
            <v>Antenatal Care</v>
          </cell>
        </row>
        <row r="21">
          <cell r="AE21" t="str">
            <v>Antenatal care (at least 1 visit)</v>
          </cell>
          <cell r="AF21" t="str">
            <v>Antenatal care (at least 1 visit)</v>
          </cell>
          <cell r="AG21">
            <v>67.5</v>
          </cell>
        </row>
        <row r="22">
          <cell r="AB22">
            <v>10</v>
          </cell>
        </row>
        <row r="22">
          <cell r="AE22" t="str">
            <v>Antenatal care (at least 4 visits)</v>
          </cell>
          <cell r="AF22" t="str">
            <v>Antenatal care (at least 4 visits)</v>
          </cell>
          <cell r="AG22">
            <v>30.1</v>
          </cell>
        </row>
        <row r="23">
          <cell r="AB23">
            <v>11</v>
          </cell>
        </row>
        <row r="23">
          <cell r="AE23" t="str">
            <v>TT - Tetanus toxoid vaccination</v>
          </cell>
          <cell r="AF23" t="str">
            <v>TT - Tetanus toxoid vaccination</v>
          </cell>
          <cell r="AG23">
            <v>88</v>
          </cell>
        </row>
        <row r="24">
          <cell r="AB24">
            <v>12</v>
          </cell>
        </row>
        <row r="24">
          <cell r="AE24" t="str">
            <v>IPTp - Intermittent preventive treatment of malaria during pregnancy</v>
          </cell>
          <cell r="AF24" t="str">
            <v>IPTp - Intermittent preventive treatment of malaria during pregnancy</v>
          </cell>
          <cell r="AG24">
            <v>0</v>
          </cell>
        </row>
        <row r="25">
          <cell r="AB25">
            <v>13</v>
          </cell>
        </row>
        <row r="25">
          <cell r="AE25" t="str">
            <v>Syphilis detection and treatment</v>
          </cell>
          <cell r="AF25" t="str">
            <v>Syphilis detection and treatment</v>
          </cell>
          <cell r="AG25">
            <v>16.7</v>
          </cell>
        </row>
        <row r="26">
          <cell r="AB26">
            <v>14</v>
          </cell>
        </row>
        <row r="26">
          <cell r="AE26" t="str">
            <v>Calcium supplementation</v>
          </cell>
          <cell r="AF26" t="str">
            <v>Calcium supplementation</v>
          </cell>
          <cell r="AG26">
            <v>0</v>
          </cell>
        </row>
        <row r="27">
          <cell r="AB27">
            <v>15</v>
          </cell>
        </row>
        <row r="27">
          <cell r="AE27" t="str">
            <v>Iron supplementation in pregnancy</v>
          </cell>
          <cell r="AF27" t="str">
            <v>Iron supplementation in pregnancy</v>
          </cell>
          <cell r="AG27">
            <v>5.2</v>
          </cell>
        </row>
        <row r="28">
          <cell r="AB28">
            <v>16</v>
          </cell>
        </row>
        <row r="28">
          <cell r="AE28" t="str">
            <v>Multiple micronutrient supplementation in pregnancy</v>
          </cell>
          <cell r="AF28" t="str">
            <v>Multiple micronutrient supplementation in pregnancy</v>
          </cell>
          <cell r="AG28">
            <v>0</v>
          </cell>
        </row>
        <row r="29">
          <cell r="AB29">
            <v>17</v>
          </cell>
        </row>
        <row r="29">
          <cell r="AE29" t="str">
            <v>Balanced energy supplementation</v>
          </cell>
          <cell r="AF29" t="str">
            <v>Balanced energy supplementation</v>
          </cell>
          <cell r="AG29">
            <v>0</v>
          </cell>
        </row>
        <row r="30">
          <cell r="AB30">
            <v>18</v>
          </cell>
        </row>
        <row r="30">
          <cell r="AE30" t="str">
            <v>Hypertensive disorder case management</v>
          </cell>
          <cell r="AF30" t="str">
            <v>Hypertensive disorder case management</v>
          </cell>
          <cell r="AG30">
            <v>7.2</v>
          </cell>
        </row>
        <row r="31">
          <cell r="AB31">
            <v>19</v>
          </cell>
        </row>
        <row r="31">
          <cell r="AE31" t="str">
            <v>Diabetes case management</v>
          </cell>
          <cell r="AF31" t="str">
            <v>Diabetes case management</v>
          </cell>
          <cell r="AG31">
            <v>5.6</v>
          </cell>
        </row>
        <row r="32">
          <cell r="AB32">
            <v>20</v>
          </cell>
        </row>
        <row r="32">
          <cell r="AE32" t="str">
            <v>Malaria case management</v>
          </cell>
          <cell r="AF32" t="str">
            <v>Malaria case management</v>
          </cell>
          <cell r="AG32">
            <v>23.3</v>
          </cell>
        </row>
        <row r="33">
          <cell r="AB33">
            <v>21</v>
          </cell>
        </row>
        <row r="33">
          <cell r="AE33" t="str">
            <v>MgSO4 management of pre-eclampsia</v>
          </cell>
          <cell r="AF33" t="str">
            <v>MgSO4 management of pre-eclampsia</v>
          </cell>
          <cell r="AG33">
            <v>14.3</v>
          </cell>
        </row>
        <row r="34">
          <cell r="AB34">
            <v>22</v>
          </cell>
          <cell r="AC34" t="str">
            <v>Delivery Care</v>
          </cell>
        </row>
        <row r="34">
          <cell r="AE34" t="str">
            <v>Health Facility Delivery</v>
          </cell>
          <cell r="AF34" t="str">
            <v>Health Facility Delivery</v>
          </cell>
          <cell r="AG34">
            <v>72.7</v>
          </cell>
        </row>
        <row r="35">
          <cell r="AB35">
            <v>23</v>
          </cell>
        </row>
        <row r="35">
          <cell r="AE35" t="str">
            <v>Clean birth environment</v>
          </cell>
          <cell r="AF35" t="str">
            <v>Clean birth environment</v>
          </cell>
          <cell r="AG35">
            <v>59.6</v>
          </cell>
        </row>
        <row r="36">
          <cell r="AB36">
            <v>39</v>
          </cell>
        </row>
        <row r="36">
          <cell r="AE36" t="str">
            <v>Immediate drying and additional stimulation</v>
          </cell>
          <cell r="AF36" t="str">
            <v>Immediate drying and additional stimulation</v>
          </cell>
          <cell r="AG36">
            <v>66.6</v>
          </cell>
        </row>
        <row r="37">
          <cell r="AB37">
            <v>40</v>
          </cell>
        </row>
        <row r="37">
          <cell r="AE37" t="str">
            <v>Thermal protection</v>
          </cell>
          <cell r="AF37" t="str">
            <v>Thermal protection</v>
          </cell>
          <cell r="AG37">
            <v>71.9</v>
          </cell>
        </row>
        <row r="38">
          <cell r="AB38">
            <v>41</v>
          </cell>
        </row>
        <row r="38">
          <cell r="AE38" t="str">
            <v>Clean cord care</v>
          </cell>
          <cell r="AF38" t="str">
            <v>Clean cord care</v>
          </cell>
          <cell r="AG38">
            <v>69.4</v>
          </cell>
        </row>
        <row r="39">
          <cell r="AB39">
            <v>24</v>
          </cell>
        </row>
        <row r="39">
          <cell r="AE39" t="str">
            <v>Manual removal of placenta</v>
          </cell>
          <cell r="AF39" t="str">
            <v>Manual removal of placenta</v>
          </cell>
          <cell r="AG39">
            <v>27.2</v>
          </cell>
        </row>
        <row r="40">
          <cell r="AB40">
            <v>25</v>
          </cell>
        </row>
        <row r="40">
          <cell r="AE40" t="str">
            <v>Parenteral administration of anti-convulsants</v>
          </cell>
          <cell r="AF40" t="str">
            <v>Parenteral administration of anti-convulsants</v>
          </cell>
          <cell r="AG40">
            <v>52</v>
          </cell>
        </row>
        <row r="41">
          <cell r="AB41">
            <v>26</v>
          </cell>
        </row>
        <row r="41">
          <cell r="AE41" t="str">
            <v>Antibiotics for preterm or prolonged PROM</v>
          </cell>
          <cell r="AF41" t="str">
            <v>Antibiotics for preterm or prolonged PROM</v>
          </cell>
          <cell r="AG41">
            <v>54.4</v>
          </cell>
        </row>
        <row r="42">
          <cell r="AB42">
            <v>27</v>
          </cell>
        </row>
        <row r="42">
          <cell r="AE42" t="str">
            <v>Parenteral administration of antibiotics</v>
          </cell>
          <cell r="AF42" t="str">
            <v>Parenteral administration of antibiotics</v>
          </cell>
          <cell r="AG42">
            <v>54.4</v>
          </cell>
        </row>
        <row r="43">
          <cell r="AB43">
            <v>28</v>
          </cell>
        </row>
        <row r="43">
          <cell r="AE43" t="str">
            <v>Assisted vaginal delivery</v>
          </cell>
          <cell r="AF43" t="str">
            <v>Assisted vaginal delivery</v>
          </cell>
          <cell r="AG43">
            <v>18.4</v>
          </cell>
        </row>
        <row r="44">
          <cell r="AB44">
            <v>42</v>
          </cell>
        </row>
        <row r="44">
          <cell r="AE44" t="str">
            <v>Neonatal resuscitation</v>
          </cell>
          <cell r="AF44" t="str">
            <v>Neonatal resuscitation</v>
          </cell>
          <cell r="AG44">
            <v>40</v>
          </cell>
        </row>
        <row r="45">
          <cell r="AB45">
            <v>29</v>
          </cell>
        </row>
        <row r="45">
          <cell r="AE45" t="str">
            <v>Parenteral administration of uterotonics</v>
          </cell>
          <cell r="AF45" t="str">
            <v>Parenteral administration of uterotonics</v>
          </cell>
          <cell r="AG45">
            <v>65</v>
          </cell>
        </row>
        <row r="46">
          <cell r="AB46">
            <v>30</v>
          </cell>
        </row>
        <row r="46">
          <cell r="AE46" t="str">
            <v>Removal of retained products of conception</v>
          </cell>
          <cell r="AF46" t="str">
            <v>Removal of retained products of conception</v>
          </cell>
          <cell r="AG46">
            <v>24.1</v>
          </cell>
        </row>
        <row r="47">
          <cell r="AB47">
            <v>31</v>
          </cell>
        </row>
        <row r="47">
          <cell r="AE47" t="str">
            <v>Induction of labor for pregnancies lasting 41+ weeks</v>
          </cell>
          <cell r="AF47" t="str">
            <v>Induction of labor for pregnancies lasting 41+ weeks</v>
          </cell>
          <cell r="AG47">
            <v>1.3</v>
          </cell>
        </row>
        <row r="48">
          <cell r="AB48">
            <v>32</v>
          </cell>
        </row>
        <row r="48">
          <cell r="AE48" t="str">
            <v>Antenatal corticosteroids for preterm labor</v>
          </cell>
          <cell r="AF48" t="str">
            <v>Antenatal corticosteroids for preterm labor</v>
          </cell>
          <cell r="AG48">
            <v>0</v>
          </cell>
        </row>
        <row r="49">
          <cell r="AB49">
            <v>36</v>
          </cell>
        </row>
        <row r="49">
          <cell r="AE49" t="str">
            <v>Cesarean delivery</v>
          </cell>
          <cell r="AF49" t="str">
            <v>Cesarean delivery</v>
          </cell>
          <cell r="AG49">
            <v>6.3</v>
          </cell>
        </row>
        <row r="50">
          <cell r="AB50">
            <v>37</v>
          </cell>
        </row>
        <row r="50">
          <cell r="AE50" t="str">
            <v>Blood transfusion</v>
          </cell>
          <cell r="AF50" t="str">
            <v>Blood transfusion</v>
          </cell>
        </row>
        <row r="51">
          <cell r="AB51">
            <v>49</v>
          </cell>
          <cell r="AC51" t="str">
            <v>Preventive Interventions</v>
          </cell>
          <cell r="AD51" t="str">
            <v>Feeding and Supplements</v>
          </cell>
          <cell r="AE51" t="str">
            <v>Complementary feeding - Education only</v>
          </cell>
          <cell r="AF51" t="str">
            <v>Complementary feeding - Education only</v>
          </cell>
          <cell r="AG51">
            <v>22.3</v>
          </cell>
        </row>
        <row r="52">
          <cell r="AB52">
            <v>50</v>
          </cell>
        </row>
        <row r="52">
          <cell r="AE52" t="str">
            <v>Complementary feeding - Supplementary feeding + Education</v>
          </cell>
          <cell r="AF52" t="str">
            <v>Complementary feeding - supplementary feeding and education</v>
          </cell>
          <cell r="AG52">
            <v>22.3</v>
          </cell>
        </row>
        <row r="53">
          <cell r="AB53">
            <v>61</v>
          </cell>
        </row>
        <row r="53">
          <cell r="AE53" t="str">
            <v>Vitamin A supplementation</v>
          </cell>
          <cell r="AF53" t="str">
            <v>Vitamin A supplementation</v>
          </cell>
          <cell r="AG53">
            <v>99</v>
          </cell>
        </row>
        <row r="54">
          <cell r="AB54">
            <v>62</v>
          </cell>
        </row>
        <row r="54">
          <cell r="AE54" t="str">
            <v>Zinc supplementation</v>
          </cell>
          <cell r="AF54" t="str">
            <v>Zinc supplementation</v>
          </cell>
          <cell r="AG54">
            <v>0</v>
          </cell>
        </row>
        <row r="55">
          <cell r="AB55" t="str">
            <v>Not Incl.</v>
          </cell>
        </row>
        <row r="55">
          <cell r="AD55" t="str">
            <v>WASH</v>
          </cell>
          <cell r="AE55" t="str">
            <v>Basic sanitation</v>
          </cell>
          <cell r="AF55" t="str">
            <v>Basic sanitation</v>
          </cell>
          <cell r="AG55">
            <v>88.5</v>
          </cell>
        </row>
        <row r="56">
          <cell r="AE56" t="str">
            <v>Point-of-use filtered water</v>
          </cell>
          <cell r="AF56" t="str">
            <v>Point-of-use filtered water</v>
          </cell>
          <cell r="AG56">
            <v>0</v>
          </cell>
        </row>
        <row r="57">
          <cell r="AE57" t="str">
            <v>Piped water</v>
          </cell>
          <cell r="AF57" t="str">
            <v>Piped water</v>
          </cell>
          <cell r="AG57">
            <v>78</v>
          </cell>
        </row>
        <row r="58">
          <cell r="AE58" t="str">
            <v>Hand washing with soap</v>
          </cell>
          <cell r="AF58" t="str">
            <v>Hand washing with soap</v>
          </cell>
          <cell r="AG58">
            <v>0</v>
          </cell>
        </row>
        <row r="59">
          <cell r="AE59" t="str">
            <v>Hygienic disposal of children's stools</v>
          </cell>
          <cell r="AF59" t="str">
            <v>Hygienic disposal of children's stools</v>
          </cell>
          <cell r="AG59">
            <v>6.3</v>
          </cell>
        </row>
        <row r="60">
          <cell r="AB60">
            <v>71</v>
          </cell>
        </row>
        <row r="60">
          <cell r="AD60" t="str">
            <v>Other</v>
          </cell>
          <cell r="AE60" t="str">
            <v>ITN/IRS - Households protected from malaria</v>
          </cell>
          <cell r="AF60" t="str">
            <v>ITN/IRS - Households protected from malaria</v>
          </cell>
          <cell r="AG60">
            <v>0</v>
          </cell>
        </row>
        <row r="61">
          <cell r="AB61">
            <v>51</v>
          </cell>
          <cell r="AC61" t="str">
            <v>Vaccines</v>
          </cell>
        </row>
        <row r="61">
          <cell r="AE61" t="str">
            <v>BCG - Single dose</v>
          </cell>
          <cell r="AF61" t="str">
            <v>BCG - Single dose</v>
          </cell>
          <cell r="AG61">
            <v>99</v>
          </cell>
        </row>
        <row r="62">
          <cell r="AB62">
            <v>52</v>
          </cell>
        </row>
        <row r="62">
          <cell r="AE62" t="str">
            <v>Polio - Three doses</v>
          </cell>
          <cell r="AF62" t="str">
            <v>Polio - Three doses</v>
          </cell>
          <cell r="AG62">
            <v>99</v>
          </cell>
        </row>
        <row r="63">
          <cell r="AE63" t="str">
            <v>Pentavalent</v>
          </cell>
          <cell r="AF63" t="str">
            <v>*Pentavalent</v>
          </cell>
          <cell r="AG63">
            <v>0</v>
          </cell>
        </row>
        <row r="64">
          <cell r="AB64">
            <v>53</v>
          </cell>
        </row>
        <row r="64">
          <cell r="AE64" t="str">
            <v>DPT - Three doses</v>
          </cell>
          <cell r="AF64" t="str">
            <v>    *DPT - Three doses</v>
          </cell>
          <cell r="AG64">
            <v>99</v>
          </cell>
        </row>
        <row r="65">
          <cell r="AB65">
            <v>54</v>
          </cell>
        </row>
        <row r="65">
          <cell r="AE65" t="str">
            <v>Hib - Three doses</v>
          </cell>
          <cell r="AF65" t="str">
            <v>    *H. influenzae type b - Three doses</v>
          </cell>
          <cell r="AG65">
            <v>99</v>
          </cell>
        </row>
        <row r="66">
          <cell r="AB66">
            <v>55</v>
          </cell>
        </row>
        <row r="66">
          <cell r="AE66" t="str">
            <v>HepB - Three doses</v>
          </cell>
          <cell r="AF66" t="str">
            <v>    *HepB - Three doses</v>
          </cell>
          <cell r="AG66">
            <v>99</v>
          </cell>
        </row>
        <row r="67">
          <cell r="AB67">
            <v>56</v>
          </cell>
        </row>
        <row r="67">
          <cell r="AE67" t="str">
            <v>Pneumococcal - Three doses</v>
          </cell>
          <cell r="AF67" t="str">
            <v>Pneumococcal - Three doses</v>
          </cell>
          <cell r="AG67">
            <v>99</v>
          </cell>
        </row>
        <row r="68">
          <cell r="AB68">
            <v>57</v>
          </cell>
        </row>
        <row r="68">
          <cell r="AE68" t="str">
            <v>Rotavirus - Two doses</v>
          </cell>
          <cell r="AF68" t="str">
            <v>Rotavirus - Two doses</v>
          </cell>
          <cell r="AG68">
            <v>99</v>
          </cell>
        </row>
        <row r="69">
          <cell r="AB69">
            <v>58</v>
          </cell>
        </row>
        <row r="69">
          <cell r="AE69" t="str">
            <v>Meningococcal A - Single dose</v>
          </cell>
          <cell r="AF69" t="str">
            <v>Meningococcal A - Single dose</v>
          </cell>
          <cell r="AG69">
            <v>0</v>
          </cell>
        </row>
        <row r="70">
          <cell r="AB70">
            <v>59</v>
          </cell>
        </row>
        <row r="70">
          <cell r="AE70" t="str">
            <v>Malaria vaccine - Three doses</v>
          </cell>
          <cell r="AF70" t="str">
            <v>Malaria vaccine - Three doses</v>
          </cell>
          <cell r="AG70">
            <v>0</v>
          </cell>
        </row>
        <row r="71">
          <cell r="AB71">
            <v>60</v>
          </cell>
        </row>
        <row r="71">
          <cell r="AE71" t="str">
            <v>Measles - Single dose</v>
          </cell>
          <cell r="AF71" t="str">
            <v>Measles - Single dose</v>
          </cell>
          <cell r="AG71">
            <v>99</v>
          </cell>
        </row>
        <row r="72">
          <cell r="AB72">
            <v>33</v>
          </cell>
          <cell r="AC72" t="str">
            <v>Curative Interventions</v>
          </cell>
          <cell r="AD72" t="str">
            <v>Maternal</v>
          </cell>
          <cell r="AE72" t="str">
            <v>Maternal sepsis case management</v>
          </cell>
          <cell r="AF72" t="str">
            <v>Maternal sepsis case management</v>
          </cell>
          <cell r="AG72">
            <v>0</v>
          </cell>
        </row>
        <row r="73">
          <cell r="AD73" t="str">
            <v>Neonatal</v>
          </cell>
          <cell r="AE73" t="str">
            <v>Case management of premature babies</v>
          </cell>
          <cell r="AF73" t="str">
            <v>Case management of premature babies</v>
          </cell>
          <cell r="AG73">
            <v>0</v>
          </cell>
        </row>
        <row r="74">
          <cell r="AB74">
            <v>43</v>
          </cell>
        </row>
        <row r="74">
          <cell r="AE74" t="str">
            <v>Kangaroo-Mother Care (KMC)</v>
          </cell>
          <cell r="AF74" t="str">
            <v>KMC - Kangaroo mother care</v>
          </cell>
          <cell r="AG74">
            <v>0</v>
          </cell>
        </row>
        <row r="75">
          <cell r="AB75">
            <v>44</v>
          </cell>
        </row>
        <row r="75">
          <cell r="AE75" t="str">
            <v>Full supportive care of prematurity</v>
          </cell>
          <cell r="AF75" t="str">
            <v>Full supportive care for prematurity</v>
          </cell>
          <cell r="AG75">
            <v>0</v>
          </cell>
        </row>
        <row r="76">
          <cell r="AE76" t="str">
            <v>Case management of neonatal sepsis/pneumonia</v>
          </cell>
          <cell r="AF76" t="str">
            <v>Case management of neonatal sepsis/pneumonia</v>
          </cell>
          <cell r="AG76">
            <v>72.7</v>
          </cell>
        </row>
        <row r="77">
          <cell r="AB77">
            <v>45</v>
          </cell>
        </row>
        <row r="77">
          <cell r="AE77" t="str">
            <v>Oral antibiotics for neonatal sepsis</v>
          </cell>
          <cell r="AF77" t="str">
            <v>Oral antibiotics for neonatal sepsis</v>
          </cell>
          <cell r="AG77">
            <v>0</v>
          </cell>
        </row>
        <row r="78">
          <cell r="AB78">
            <v>46</v>
          </cell>
        </row>
        <row r="78">
          <cell r="AE78" t="str">
            <v>Injectable antibiotics for neonatal sepsis</v>
          </cell>
          <cell r="AF78" t="str">
            <v>Injectable antibiotics for neonatal sepsis</v>
          </cell>
          <cell r="AG78">
            <v>72.7</v>
          </cell>
        </row>
        <row r="79">
          <cell r="AB79">
            <v>47</v>
          </cell>
        </row>
        <row r="79">
          <cell r="AE79" t="str">
            <v>Full supportive care for neonatal sepsis/pneumonia</v>
          </cell>
          <cell r="AF79" t="str">
            <v>Full supportive care for neonatal sepsis/pneumonia</v>
          </cell>
          <cell r="AG79">
            <v>0</v>
          </cell>
        </row>
        <row r="80">
          <cell r="AB80">
            <v>63</v>
          </cell>
        </row>
        <row r="80">
          <cell r="AD80" t="str">
            <v>Diarrhea</v>
          </cell>
          <cell r="AE80" t="str">
            <v>ORS - Oral Rehydration Solution</v>
          </cell>
          <cell r="AF80" t="str">
            <v>ORS - Oral Rehydration Solution</v>
          </cell>
          <cell r="AG80">
            <v>22.9</v>
          </cell>
        </row>
        <row r="81">
          <cell r="AB81">
            <v>64</v>
          </cell>
        </row>
        <row r="81">
          <cell r="AE81" t="str">
            <v>Antibiotics for treatment of dysentery</v>
          </cell>
          <cell r="AF81" t="str">
            <v>Antibiotics for treatment of dysentery</v>
          </cell>
          <cell r="AG81">
            <v>0</v>
          </cell>
        </row>
        <row r="82">
          <cell r="AB82">
            <v>65</v>
          </cell>
        </row>
        <row r="82">
          <cell r="AE82" t="str">
            <v>Zinc for treatment of diarrhea</v>
          </cell>
          <cell r="AF82" t="str">
            <v>Zinc for treatment of diarrhea</v>
          </cell>
          <cell r="AG82">
            <v>0</v>
          </cell>
        </row>
        <row r="83">
          <cell r="AB83">
            <v>66</v>
          </cell>
        </row>
        <row r="83">
          <cell r="AD83" t="str">
            <v>Other infectious diseases</v>
          </cell>
          <cell r="AE83" t="str">
            <v>Oral antibiotics for pneumonia</v>
          </cell>
          <cell r="AF83" t="str">
            <v>Oral antibiotics for pneumonia</v>
          </cell>
          <cell r="AG83">
            <v>0</v>
          </cell>
        </row>
        <row r="84">
          <cell r="AB84">
            <v>67</v>
          </cell>
        </row>
        <row r="84">
          <cell r="AE84" t="str">
            <v>Vitamin A for treatment of measles</v>
          </cell>
          <cell r="AF84" t="str">
            <v>Vitamin A for treatment of measles</v>
          </cell>
          <cell r="AG84">
            <v>99</v>
          </cell>
        </row>
        <row r="85">
          <cell r="AB85">
            <v>68</v>
          </cell>
        </row>
        <row r="85">
          <cell r="AE85" t="str">
            <v>ACTs - Artemisinin compounds for treatment of malaria</v>
          </cell>
          <cell r="AF85" t="str">
            <v>ACTs- Artemisinin compounds for treatment of malaria</v>
          </cell>
          <cell r="AG85">
            <v>0</v>
          </cell>
        </row>
        <row r="86">
          <cell r="AB86">
            <v>69</v>
          </cell>
        </row>
        <row r="86">
          <cell r="AD86" t="str">
            <v>Malnutrition</v>
          </cell>
          <cell r="AE86" t="str">
            <v>SAM - treatment for severe acute malnutrition</v>
          </cell>
          <cell r="AF86" t="str">
            <v>SAM - treatment for severe acute malnutrition</v>
          </cell>
          <cell r="AG86">
            <v>0</v>
          </cell>
        </row>
        <row r="87">
          <cell r="AB87">
            <v>70</v>
          </cell>
        </row>
        <row r="87">
          <cell r="AE87" t="str">
            <v>MAM - treatment for moderate acute malnutrition</v>
          </cell>
          <cell r="AF87" t="str">
            <v>MAM - treatment for moderate acute malnutrition</v>
          </cell>
          <cell r="AG87">
            <v>0</v>
          </cell>
        </row>
        <row r="90">
          <cell r="AB90" t="str">
            <v>48a</v>
          </cell>
          <cell r="AC90" t="str">
            <v>Breastfeeding</v>
          </cell>
        </row>
        <row r="90">
          <cell r="AE90" t="str">
            <v>Exclusive Breastfeeding</v>
          </cell>
          <cell r="AF90" t="str">
            <v>Exclusive breastfeeding</v>
          </cell>
          <cell r="AG90">
            <v>62</v>
          </cell>
        </row>
        <row r="91">
          <cell r="AB91" t="str">
            <v>48b</v>
          </cell>
        </row>
        <row r="91">
          <cell r="AE91" t="str">
            <v>Predominant breastfeeding</v>
          </cell>
          <cell r="AF91" t="str">
            <v>Predominant breastfeeding</v>
          </cell>
          <cell r="AG91">
            <v>8.8</v>
          </cell>
        </row>
        <row r="92">
          <cell r="AB92" t="str">
            <v>48c</v>
          </cell>
        </row>
        <row r="92">
          <cell r="AE92" t="str">
            <v>Partial breastfeeding</v>
          </cell>
          <cell r="AF92" t="str">
            <v>Partial breastfeeding</v>
          </cell>
          <cell r="AG92">
            <v>23</v>
          </cell>
        </row>
        <row r="93">
          <cell r="AB93">
            <v>48</v>
          </cell>
        </row>
        <row r="93">
          <cell r="AE93" t="str">
            <v>Early initiation of breastfeeding</v>
          </cell>
          <cell r="AF93" t="str">
            <v>Prevalence of early initiation of breastfeeding</v>
          </cell>
          <cell r="AG93">
            <v>48</v>
          </cell>
        </row>
        <row r="94">
          <cell r="AF94" t="str">
            <v>Note:  6-23 Months: Any breastfeeding</v>
          </cell>
        </row>
      </sheetData>
      <sheetData sheetId="4">
        <row r="14">
          <cell r="B14">
            <v>2</v>
          </cell>
          <cell r="C14" t="str">
            <v>FP - Condoms</v>
          </cell>
          <cell r="D14" t="str">
            <v>FP - Condoms</v>
          </cell>
          <cell r="E14" t="str">
            <v>Married WRA</v>
          </cell>
          <cell r="F14">
            <v>0</v>
          </cell>
          <cell r="G14" t="str">
            <v>% of Women Using</v>
          </cell>
          <cell r="H14">
            <v>0</v>
          </cell>
          <cell r="I14">
            <v>0</v>
          </cell>
          <cell r="J14">
            <v>0</v>
          </cell>
        </row>
        <row r="15">
          <cell r="B15">
            <v>6</v>
          </cell>
          <cell r="C15" t="str">
            <v>FP - Female Sterilization</v>
          </cell>
          <cell r="D15" t="str">
            <v>FP - Female Sterilization</v>
          </cell>
          <cell r="E15" t="str">
            <v>Married WRA</v>
          </cell>
          <cell r="F15">
            <v>0</v>
          </cell>
          <cell r="G15" t="str">
            <v>% of Women Using</v>
          </cell>
          <cell r="H15">
            <v>0</v>
          </cell>
          <cell r="I15">
            <v>0</v>
          </cell>
          <cell r="J15">
            <v>0</v>
          </cell>
        </row>
        <row r="16">
          <cell r="B16">
            <v>7</v>
          </cell>
          <cell r="C16" t="str">
            <v>FP - Male Sterilization</v>
          </cell>
          <cell r="D16" t="str">
            <v>FP - Male Sterilization</v>
          </cell>
          <cell r="E16" t="str">
            <v>Married WRA</v>
          </cell>
          <cell r="F16">
            <v>0</v>
          </cell>
          <cell r="G16" t="str">
            <v>% of Women Using</v>
          </cell>
          <cell r="H16">
            <v>0</v>
          </cell>
          <cell r="I16">
            <v>0</v>
          </cell>
          <cell r="J16">
            <v>0</v>
          </cell>
        </row>
        <row r="17">
          <cell r="B17">
            <v>3</v>
          </cell>
          <cell r="C17" t="str">
            <v>FP - Injectables</v>
          </cell>
          <cell r="D17" t="str">
            <v>FP - Injectables</v>
          </cell>
          <cell r="E17" t="str">
            <v>Married WRA</v>
          </cell>
          <cell r="F17">
            <v>0</v>
          </cell>
          <cell r="G17" t="str">
            <v>% of Women Using</v>
          </cell>
          <cell r="H17">
            <v>0</v>
          </cell>
          <cell r="I17">
            <v>0</v>
          </cell>
          <cell r="J17">
            <v>0</v>
          </cell>
        </row>
        <row r="18">
          <cell r="B18">
            <v>4</v>
          </cell>
          <cell r="C18" t="str">
            <v>FP - Implants</v>
          </cell>
          <cell r="D18" t="str">
            <v>FP - Implants</v>
          </cell>
          <cell r="E18" t="str">
            <v>Married WRA</v>
          </cell>
          <cell r="F18">
            <v>0</v>
          </cell>
          <cell r="G18" t="str">
            <v>% of Women Using</v>
          </cell>
          <cell r="H18">
            <v>0</v>
          </cell>
          <cell r="I18">
            <v>0</v>
          </cell>
          <cell r="J18">
            <v>0</v>
          </cell>
        </row>
        <row r="19">
          <cell r="B19">
            <v>5</v>
          </cell>
          <cell r="C19" t="str">
            <v>FP - IUD</v>
          </cell>
          <cell r="D19" t="str">
            <v>FP - IUD</v>
          </cell>
          <cell r="E19" t="str">
            <v>Married WRA</v>
          </cell>
          <cell r="F19">
            <v>0.04368497</v>
          </cell>
          <cell r="G19" t="str">
            <v>% of Women Using</v>
          </cell>
          <cell r="H19">
            <v>217959.25558974</v>
          </cell>
          <cell r="I19">
            <v>219479.75465556</v>
          </cell>
          <cell r="J19">
            <v>220753.38995591</v>
          </cell>
        </row>
        <row r="20">
          <cell r="B20">
            <v>1</v>
          </cell>
          <cell r="C20" t="str">
            <v>FP - Pills</v>
          </cell>
          <cell r="D20" t="str">
            <v>FP - Pills</v>
          </cell>
          <cell r="E20" t="str">
            <v>Married WRA</v>
          </cell>
          <cell r="F20">
            <v>0.50341753</v>
          </cell>
          <cell r="G20" t="str">
            <v>% of Women Using</v>
          </cell>
          <cell r="H20">
            <v>2511722.22596526</v>
          </cell>
          <cell r="I20">
            <v>2529244.17651444</v>
          </cell>
          <cell r="J20">
            <v>2543921.31460159</v>
          </cell>
        </row>
        <row r="21">
          <cell r="B21">
            <v>8</v>
          </cell>
          <cell r="C21" t="str">
            <v>FP - Traditional Methods</v>
          </cell>
          <cell r="D21" t="str">
            <v>FP - Traditional Methods</v>
          </cell>
          <cell r="E21" t="str">
            <v>Married WRA</v>
          </cell>
          <cell r="F21">
            <v>0.11025259</v>
          </cell>
          <cell r="G21" t="str">
            <v>% of Women Using</v>
          </cell>
          <cell r="H21">
            <v>550087.87789578</v>
          </cell>
          <cell r="I21">
            <v>553925.32954332</v>
          </cell>
          <cell r="J21">
            <v>557139.74380477</v>
          </cell>
        </row>
        <row r="22">
          <cell r="B22">
            <v>68</v>
          </cell>
          <cell r="C22" t="str">
            <v>Folic acid supplementation/fortification</v>
          </cell>
          <cell r="D22" t="str">
            <v>Folic acid supplementation/fortification</v>
          </cell>
          <cell r="E22" t="str">
            <v>Women of Reproductive Age (aged15-49)</v>
          </cell>
          <cell r="F22">
            <v>1</v>
          </cell>
        </row>
        <row r="22">
          <cell r="H22">
            <v>9539852</v>
          </cell>
          <cell r="I22">
            <v>9606402</v>
          </cell>
          <cell r="J22">
            <v>9662148</v>
          </cell>
        </row>
        <row r="23">
          <cell r="B23">
            <v>34</v>
          </cell>
          <cell r="C23" t="str">
            <v>Safe abortion services</v>
          </cell>
          <cell r="D23" t="str">
            <v>Safe abortion services</v>
          </cell>
          <cell r="E23" t="str">
            <v>Abortions</v>
          </cell>
          <cell r="F23">
            <v>1</v>
          </cell>
          <cell r="G23" t="str">
            <v>All abortions</v>
          </cell>
          <cell r="H23">
            <v>247188</v>
          </cell>
          <cell r="I23">
            <v>246545</v>
          </cell>
          <cell r="J23">
            <v>246387</v>
          </cell>
        </row>
        <row r="24">
          <cell r="B24">
            <v>35</v>
          </cell>
          <cell r="C24" t="str">
            <v>Post abortion case management</v>
          </cell>
          <cell r="D24" t="str">
            <v>Post abortion case management</v>
          </cell>
          <cell r="E24" t="str">
            <v>Abortions</v>
          </cell>
          <cell r="F24">
            <v>0.2635</v>
          </cell>
          <cell r="G24" t="str">
            <v>1% of safe abortions, 40% of unsafe</v>
          </cell>
          <cell r="H24">
            <v>65134.038</v>
          </cell>
          <cell r="I24">
            <v>64964.6075</v>
          </cell>
          <cell r="J24">
            <v>64922.9745</v>
          </cell>
        </row>
        <row r="25">
          <cell r="B25">
            <v>38</v>
          </cell>
          <cell r="C25" t="str">
            <v>Ectopic pregnancy case management</v>
          </cell>
          <cell r="D25" t="str">
            <v>Ectopic pregnancy case management</v>
          </cell>
          <cell r="E25" t="str">
            <v>Pregnancies</v>
          </cell>
          <cell r="F25">
            <v>0.01</v>
          </cell>
          <cell r="G25" t="str">
            <v>2% incidence, 50% requiring treatment</v>
          </cell>
          <cell r="H25">
            <v>10676.3</v>
          </cell>
          <cell r="I25">
            <v>10617.89</v>
          </cell>
          <cell r="J25">
            <v>10579.44</v>
          </cell>
        </row>
        <row r="26">
          <cell r="B26">
            <v>72</v>
          </cell>
          <cell r="C26" t="str">
            <v>Blanket iron supplementation/fortification</v>
          </cell>
          <cell r="D26" t="str">
            <v>Blanket iron supplementation/fortification</v>
          </cell>
          <cell r="E26" t="str">
            <v>Women of Reproductive Age (aged15-49)</v>
          </cell>
          <cell r="F26">
            <v>1</v>
          </cell>
          <cell r="G26" t="str">
            <v>All women of rep. age</v>
          </cell>
          <cell r="H26">
            <v>9539852</v>
          </cell>
          <cell r="I26">
            <v>9606402</v>
          </cell>
          <cell r="J26">
            <v>9662148</v>
          </cell>
        </row>
        <row r="27">
          <cell r="B27">
            <v>9</v>
          </cell>
          <cell r="C27" t="str">
            <v>Antenatal care (at least 1 visit)</v>
          </cell>
          <cell r="D27" t="str">
            <v>Antenatal care (at least 1 visit)</v>
          </cell>
          <cell r="E27" t="str">
            <v>Pregnancies</v>
          </cell>
          <cell r="F27">
            <v>1</v>
          </cell>
          <cell r="G27" t="str">
            <v>All pregnant women</v>
          </cell>
          <cell r="H27">
            <v>1067630</v>
          </cell>
          <cell r="I27">
            <v>1061789</v>
          </cell>
          <cell r="J27">
            <v>1057944</v>
          </cell>
        </row>
        <row r="28">
          <cell r="B28">
            <v>10</v>
          </cell>
          <cell r="C28" t="str">
            <v>Antenatal care (at least 4 visits)</v>
          </cell>
          <cell r="D28" t="str">
            <v>Antenatal care (at least 4 visits)</v>
          </cell>
          <cell r="E28" t="str">
            <v>Pregnancies</v>
          </cell>
          <cell r="F28">
            <v>1</v>
          </cell>
          <cell r="G28" t="str">
            <v>All pregnant women</v>
          </cell>
          <cell r="H28">
            <v>1067630</v>
          </cell>
          <cell r="I28">
            <v>1061789</v>
          </cell>
          <cell r="J28">
            <v>1057944</v>
          </cell>
        </row>
        <row r="29">
          <cell r="B29">
            <v>11</v>
          </cell>
          <cell r="C29" t="str">
            <v>TT - Tetanus toxoid vaccination</v>
          </cell>
          <cell r="D29" t="str">
            <v>TT - Tetanus toxoid vaccination</v>
          </cell>
          <cell r="E29" t="str">
            <v>Pregnancies</v>
          </cell>
          <cell r="F29">
            <v>1</v>
          </cell>
          <cell r="G29" t="str">
            <v>All pregnant women</v>
          </cell>
          <cell r="H29">
            <v>1067630</v>
          </cell>
          <cell r="I29">
            <v>1061789</v>
          </cell>
          <cell r="J29">
            <v>1057944</v>
          </cell>
        </row>
        <row r="30">
          <cell r="B30">
            <v>12</v>
          </cell>
          <cell r="C30" t="str">
            <v>IPTp - Intermittent preventive treatment of malaria during pregnancy</v>
          </cell>
          <cell r="D30" t="str">
            <v>Percent of women exposed to falciparum</v>
          </cell>
          <cell r="E30" t="str">
            <v>Pregnancies</v>
          </cell>
          <cell r="F30">
            <v>0</v>
          </cell>
          <cell r="G30" t="str">
            <v>Women exposed to falciparum</v>
          </cell>
          <cell r="H30">
            <v>0</v>
          </cell>
          <cell r="I30">
            <v>0</v>
          </cell>
          <cell r="J30">
            <v>0</v>
          </cell>
        </row>
        <row r="31">
          <cell r="B31">
            <v>13</v>
          </cell>
          <cell r="C31" t="str">
            <v>Syphilis detection and treatment</v>
          </cell>
          <cell r="D31" t="str">
            <v>Syphilis detection and treatment</v>
          </cell>
          <cell r="E31" t="str">
            <v>Pregnancies</v>
          </cell>
          <cell r="F31">
            <v>1</v>
          </cell>
          <cell r="G31" t="str">
            <v>All pregnant women</v>
          </cell>
          <cell r="H31">
            <v>1067630</v>
          </cell>
          <cell r="I31">
            <v>1061789</v>
          </cell>
          <cell r="J31">
            <v>1057944</v>
          </cell>
        </row>
        <row r="32">
          <cell r="B32">
            <v>14</v>
          </cell>
          <cell r="C32" t="str">
            <v>Calcium supplementation</v>
          </cell>
          <cell r="D32" t="str">
            <v>Calcium supplementation</v>
          </cell>
          <cell r="E32" t="str">
            <v>Pregnancies</v>
          </cell>
          <cell r="F32">
            <v>1</v>
          </cell>
          <cell r="G32" t="str">
            <v>Women with low calcium levels</v>
          </cell>
          <cell r="H32">
            <v>1067630</v>
          </cell>
          <cell r="I32">
            <v>1061789</v>
          </cell>
          <cell r="J32">
            <v>1057944</v>
          </cell>
        </row>
        <row r="33">
          <cell r="B33">
            <v>15</v>
          </cell>
          <cell r="C33" t="str">
            <v>Iron supplementation in pregnancy</v>
          </cell>
          <cell r="D33" t="str">
            <v>Iron supplementation in pregnancy</v>
          </cell>
          <cell r="E33" t="str">
            <v>Pregnancies</v>
          </cell>
          <cell r="F33">
            <v>1</v>
          </cell>
          <cell r="G33" t="str">
            <v>All pregnant women</v>
          </cell>
          <cell r="H33">
            <v>1067630</v>
          </cell>
          <cell r="I33">
            <v>1061789</v>
          </cell>
          <cell r="J33">
            <v>1057944</v>
          </cell>
        </row>
        <row r="34">
          <cell r="B34">
            <v>16</v>
          </cell>
          <cell r="C34" t="str">
            <v>Multiple micronutrient supplementation in pregnancy</v>
          </cell>
          <cell r="D34" t="str">
            <v>Multiple micronutrient supplementation in pregnancy</v>
          </cell>
          <cell r="E34" t="str">
            <v>Pregnancies</v>
          </cell>
          <cell r="F34">
            <v>1</v>
          </cell>
        </row>
        <row r="34">
          <cell r="H34">
            <v>1067630</v>
          </cell>
          <cell r="I34">
            <v>1061789</v>
          </cell>
          <cell r="J34">
            <v>1057944</v>
          </cell>
        </row>
        <row r="35">
          <cell r="B35">
            <v>17</v>
          </cell>
          <cell r="C35" t="str">
            <v>Balanced energy supplementation</v>
          </cell>
          <cell r="D35" t="str">
            <v>Percent of women with low BMI (&lt;18.5, WRA)</v>
          </cell>
          <cell r="E35" t="str">
            <v>Pregnancies</v>
          </cell>
          <cell r="F35">
            <v>0.052</v>
          </cell>
          <cell r="G35" t="str">
            <v>Women with low BMI (&lt;18.5, WRA)</v>
          </cell>
          <cell r="H35">
            <v>55516.76</v>
          </cell>
          <cell r="I35">
            <v>55213.028</v>
          </cell>
          <cell r="J35">
            <v>55013.088</v>
          </cell>
        </row>
        <row r="36">
          <cell r="B36">
            <v>18</v>
          </cell>
          <cell r="C36" t="str">
            <v>Hypertensive disorder case management</v>
          </cell>
          <cell r="D36" t="str">
            <v>Hypertensive disorder case management</v>
          </cell>
          <cell r="E36" t="str">
            <v>Pregnancies</v>
          </cell>
          <cell r="F36">
            <v>0.05</v>
          </cell>
        </row>
        <row r="36">
          <cell r="H36">
            <v>53381.5</v>
          </cell>
          <cell r="I36">
            <v>53089.45</v>
          </cell>
          <cell r="J36">
            <v>52897.2</v>
          </cell>
        </row>
        <row r="37">
          <cell r="B37">
            <v>19</v>
          </cell>
          <cell r="C37" t="str">
            <v>Diabetes case management</v>
          </cell>
          <cell r="D37" t="str">
            <v>Diabetes case management</v>
          </cell>
          <cell r="E37" t="str">
            <v>Pregnancies</v>
          </cell>
          <cell r="F37">
            <v>0.089</v>
          </cell>
          <cell r="G37" t="str">
            <v>LiST  global estimate</v>
          </cell>
          <cell r="H37">
            <v>95019.07</v>
          </cell>
          <cell r="I37">
            <v>94499.221</v>
          </cell>
          <cell r="J37">
            <v>94157.016</v>
          </cell>
        </row>
        <row r="38">
          <cell r="B38">
            <v>20</v>
          </cell>
          <cell r="C38" t="str">
            <v>Malaria case management</v>
          </cell>
          <cell r="D38" t="str">
            <v>Percent of women exposed to falciparum</v>
          </cell>
          <cell r="E38" t="str">
            <v>Pregnancies</v>
          </cell>
          <cell r="F38">
            <v>0.022</v>
          </cell>
          <cell r="G38" t="str">
            <v>Women exposed to falciparum</v>
          </cell>
          <cell r="H38">
            <v>23487.86</v>
          </cell>
          <cell r="I38">
            <v>23359.358</v>
          </cell>
          <cell r="J38">
            <v>23274.768</v>
          </cell>
        </row>
        <row r="39">
          <cell r="B39">
            <v>21</v>
          </cell>
          <cell r="C39" t="str">
            <v>MgSO4 management of pre-eclampsia</v>
          </cell>
          <cell r="D39" t="str">
            <v>MgSO4 management of pre-eclampsia</v>
          </cell>
          <cell r="E39" t="str">
            <v>Pregnancies</v>
          </cell>
          <cell r="F39">
            <v>0.0025</v>
          </cell>
        </row>
        <row r="39">
          <cell r="H39">
            <v>2669.075</v>
          </cell>
          <cell r="I39">
            <v>2654.4725</v>
          </cell>
          <cell r="J39">
            <v>2644.86</v>
          </cell>
        </row>
        <row r="40">
          <cell r="B40">
            <v>22</v>
          </cell>
          <cell r="C40" t="str">
            <v>Health Facility Delivery</v>
          </cell>
          <cell r="D40" t="str">
            <v>Health Facility Delivery</v>
          </cell>
          <cell r="E40" t="str">
            <v>Births</v>
          </cell>
          <cell r="F40">
            <v>1</v>
          </cell>
          <cell r="G40" t="str">
            <v>All births</v>
          </cell>
          <cell r="H40">
            <v>681650</v>
          </cell>
          <cell r="I40">
            <v>677212</v>
          </cell>
          <cell r="J40">
            <v>674024</v>
          </cell>
        </row>
        <row r="41">
          <cell r="B41">
            <v>23</v>
          </cell>
          <cell r="C41" t="str">
            <v>Clean birth environment</v>
          </cell>
          <cell r="D41" t="str">
            <v>Clean birth environment</v>
          </cell>
          <cell r="E41" t="str">
            <v>Births</v>
          </cell>
          <cell r="F41">
            <v>1</v>
          </cell>
          <cell r="G41" t="str">
            <v>All births</v>
          </cell>
          <cell r="H41">
            <v>681650</v>
          </cell>
          <cell r="I41">
            <v>677212</v>
          </cell>
          <cell r="J41">
            <v>674024</v>
          </cell>
        </row>
        <row r="42">
          <cell r="B42">
            <v>39</v>
          </cell>
          <cell r="C42" t="str">
            <v>Immediate drying and additional stimulation</v>
          </cell>
          <cell r="D42" t="str">
            <v>Immediate drying and additional stimulation</v>
          </cell>
          <cell r="E42" t="str">
            <v>Births</v>
          </cell>
          <cell r="F42">
            <v>1</v>
          </cell>
          <cell r="G42" t="str">
            <v>CPR x % Method Mix</v>
          </cell>
          <cell r="H42">
            <v>681650</v>
          </cell>
          <cell r="I42">
            <v>677212</v>
          </cell>
          <cell r="J42">
            <v>674024</v>
          </cell>
        </row>
        <row r="43">
          <cell r="B43">
            <v>40</v>
          </cell>
          <cell r="C43" t="str">
            <v>Thermal protection</v>
          </cell>
          <cell r="D43" t="str">
            <v>Thermal protection</v>
          </cell>
          <cell r="E43" t="str">
            <v>Births</v>
          </cell>
          <cell r="F43">
            <v>0.0667</v>
          </cell>
          <cell r="G43" t="str">
            <v>% Pre-term</v>
          </cell>
          <cell r="H43">
            <v>45466.055</v>
          </cell>
          <cell r="I43">
            <v>45170.0404</v>
          </cell>
          <cell r="J43">
            <v>44957.4008</v>
          </cell>
        </row>
        <row r="44">
          <cell r="B44">
            <v>41</v>
          </cell>
          <cell r="C44" t="str">
            <v>Clean cord care</v>
          </cell>
          <cell r="D44" t="str">
            <v>Clean cord care</v>
          </cell>
          <cell r="E44" t="str">
            <v>Births</v>
          </cell>
          <cell r="F44">
            <v>1</v>
          </cell>
          <cell r="G44" t="str">
            <v>All newborns</v>
          </cell>
          <cell r="H44">
            <v>681650</v>
          </cell>
          <cell r="I44">
            <v>677212</v>
          </cell>
          <cell r="J44">
            <v>674024</v>
          </cell>
        </row>
        <row r="45">
          <cell r="B45">
            <v>24</v>
          </cell>
          <cell r="C45" t="str">
            <v>Manual removal of placenta</v>
          </cell>
          <cell r="D45" t="str">
            <v>Manual removal of placenta</v>
          </cell>
          <cell r="E45" t="str">
            <v>Births</v>
          </cell>
          <cell r="F45">
            <v>0.02</v>
          </cell>
        </row>
        <row r="45">
          <cell r="H45">
            <v>13633</v>
          </cell>
          <cell r="I45">
            <v>13544.24</v>
          </cell>
          <cell r="J45">
            <v>13480.48</v>
          </cell>
        </row>
        <row r="46">
          <cell r="B46">
            <v>25</v>
          </cell>
          <cell r="C46" t="str">
            <v>MgSO4 management of eclampsia</v>
          </cell>
          <cell r="D46" t="str">
            <v>Parenteral administration of anti-convulsants</v>
          </cell>
          <cell r="E46" t="str">
            <v>Births</v>
          </cell>
          <cell r="F46">
            <v>0.0025</v>
          </cell>
        </row>
        <row r="46">
          <cell r="H46">
            <v>1704.125</v>
          </cell>
          <cell r="I46">
            <v>1693.03</v>
          </cell>
          <cell r="J46">
            <v>1685.06</v>
          </cell>
        </row>
        <row r="47">
          <cell r="B47">
            <v>26</v>
          </cell>
          <cell r="C47" t="str">
            <v>Antibiotics for preterm or prolonged PROM</v>
          </cell>
          <cell r="D47" t="str">
            <v>Antibiotics for preterm or prolonged PROM</v>
          </cell>
          <cell r="E47" t="str">
            <v>Births</v>
          </cell>
          <cell r="F47">
            <v>0.0667</v>
          </cell>
          <cell r="G47" t="str">
            <v>Pre-term</v>
          </cell>
          <cell r="H47">
            <v>45466.055</v>
          </cell>
          <cell r="I47">
            <v>45170.0404</v>
          </cell>
          <cell r="J47">
            <v>44957.4008</v>
          </cell>
        </row>
        <row r="48">
          <cell r="B48">
            <v>27</v>
          </cell>
          <cell r="C48" t="str">
            <v>Parenteral administration of antibiotics</v>
          </cell>
          <cell r="D48" t="str">
            <v>Parenteral administration of antibiotics</v>
          </cell>
          <cell r="E48" t="str">
            <v>Births</v>
          </cell>
          <cell r="F48">
            <v>0.1</v>
          </cell>
          <cell r="G48" t="str">
            <v>???</v>
          </cell>
          <cell r="H48">
            <v>68165</v>
          </cell>
          <cell r="I48">
            <v>67721.2</v>
          </cell>
          <cell r="J48">
            <v>67402.4</v>
          </cell>
        </row>
        <row r="49">
          <cell r="B49">
            <v>28</v>
          </cell>
          <cell r="C49" t="str">
            <v>Assisted vaginal delivery</v>
          </cell>
          <cell r="D49" t="str">
            <v>Assisted vaginal delivery</v>
          </cell>
          <cell r="E49" t="str">
            <v>Births</v>
          </cell>
          <cell r="F49">
            <v>0.1</v>
          </cell>
        </row>
        <row r="49">
          <cell r="H49">
            <v>68165</v>
          </cell>
          <cell r="I49">
            <v>67721.2</v>
          </cell>
          <cell r="J49">
            <v>67402.4</v>
          </cell>
        </row>
        <row r="50">
          <cell r="B50">
            <v>42</v>
          </cell>
          <cell r="C50" t="str">
            <v>Neonatal resuscitation</v>
          </cell>
          <cell r="D50" t="str">
            <v>Neonatal resuscitation</v>
          </cell>
          <cell r="E50" t="str">
            <v>Births</v>
          </cell>
          <cell r="F50">
            <v>0.05</v>
          </cell>
        </row>
        <row r="50">
          <cell r="H50">
            <v>34082.5</v>
          </cell>
          <cell r="I50">
            <v>33860.6</v>
          </cell>
          <cell r="J50">
            <v>33701.2</v>
          </cell>
        </row>
        <row r="51">
          <cell r="B51">
            <v>29</v>
          </cell>
          <cell r="C51" t="str">
            <v>Parenteral administration of uterotonics</v>
          </cell>
          <cell r="D51" t="str">
            <v>Parenteral administration of uterotonics</v>
          </cell>
          <cell r="E51" t="str">
            <v>Births</v>
          </cell>
          <cell r="F51">
            <v>1</v>
          </cell>
          <cell r="G51" t="str">
            <v>All deliveries</v>
          </cell>
          <cell r="H51">
            <v>681650</v>
          </cell>
          <cell r="I51">
            <v>677212</v>
          </cell>
          <cell r="J51">
            <v>674024</v>
          </cell>
        </row>
        <row r="52">
          <cell r="B52">
            <v>30</v>
          </cell>
          <cell r="C52" t="str">
            <v>Removal of retained products of conception</v>
          </cell>
          <cell r="D52" t="str">
            <v>Removal of retained products of conception</v>
          </cell>
          <cell r="E52" t="str">
            <v>Births</v>
          </cell>
          <cell r="F52">
            <v>0.01</v>
          </cell>
        </row>
        <row r="52">
          <cell r="H52">
            <v>6816.5</v>
          </cell>
          <cell r="I52">
            <v>6772.12</v>
          </cell>
          <cell r="J52">
            <v>6740.24</v>
          </cell>
        </row>
        <row r="53">
          <cell r="B53">
            <v>31</v>
          </cell>
          <cell r="C53" t="str">
            <v>Induction of labor for pregnancies lasting 41+ weeks</v>
          </cell>
          <cell r="D53" t="str">
            <v>Induction of labor for pregnancies lasting 41+ weeks</v>
          </cell>
          <cell r="E53" t="str">
            <v>Births</v>
          </cell>
          <cell r="F53">
            <v>0.05</v>
          </cell>
          <cell r="G53" t="str">
            <v>All pregnancies over 41 weeks</v>
          </cell>
          <cell r="H53">
            <v>34082.5</v>
          </cell>
          <cell r="I53">
            <v>33860.6</v>
          </cell>
          <cell r="J53">
            <v>33701.2</v>
          </cell>
        </row>
        <row r="54">
          <cell r="B54">
            <v>32</v>
          </cell>
          <cell r="C54" t="str">
            <v>Antenatal corticosteroids for preterm labor</v>
          </cell>
          <cell r="D54" t="str">
            <v>Pre-term: Small for gestational age (SGA)</v>
          </cell>
          <cell r="E54" t="str">
            <v>Births</v>
          </cell>
          <cell r="F54">
            <v>0.0667</v>
          </cell>
        </row>
        <row r="54">
          <cell r="H54">
            <v>45466.055</v>
          </cell>
          <cell r="I54">
            <v>45170.0404</v>
          </cell>
          <cell r="J54">
            <v>44957.4008</v>
          </cell>
        </row>
        <row r="55">
          <cell r="B55">
            <v>36</v>
          </cell>
          <cell r="C55" t="str">
            <v>Cesarean delivery</v>
          </cell>
          <cell r="D55" t="str">
            <v>Cesarean delivery</v>
          </cell>
          <cell r="E55" t="str">
            <v>Births</v>
          </cell>
          <cell r="F55">
            <v>0.1</v>
          </cell>
        </row>
        <row r="55">
          <cell r="H55">
            <v>68165</v>
          </cell>
          <cell r="I55">
            <v>67721.2</v>
          </cell>
          <cell r="J55">
            <v>67402.4</v>
          </cell>
        </row>
        <row r="56">
          <cell r="B56">
            <v>37</v>
          </cell>
          <cell r="C56" t="str">
            <v>Blood transfusion</v>
          </cell>
          <cell r="D56" t="str">
            <v>Blood transfusion</v>
          </cell>
          <cell r="E56" t="str">
            <v>Births</v>
          </cell>
          <cell r="F56">
            <v>0.02</v>
          </cell>
        </row>
        <row r="56">
          <cell r="H56">
            <v>13633</v>
          </cell>
          <cell r="I56">
            <v>13544.24</v>
          </cell>
          <cell r="J56">
            <v>13480.48</v>
          </cell>
        </row>
        <row r="57">
          <cell r="B57">
            <v>48</v>
          </cell>
          <cell r="C57" t="str">
            <v>Early Initiation of Breastfeeding</v>
          </cell>
          <cell r="D57" t="str">
            <v>Early Initiation of Breastfeeding</v>
          </cell>
          <cell r="E57" t="str">
            <v>Births</v>
          </cell>
          <cell r="F57">
            <v>1</v>
          </cell>
          <cell r="G57" t="str">
            <v>All newborns</v>
          </cell>
          <cell r="H57">
            <v>681650</v>
          </cell>
          <cell r="I57">
            <v>677212</v>
          </cell>
          <cell r="J57">
            <v>674024</v>
          </cell>
        </row>
        <row r="58">
          <cell r="B58">
            <v>49</v>
          </cell>
          <cell r="C58" t="str">
            <v>Complementary feeding - Education only</v>
          </cell>
          <cell r="D58" t="str">
            <v>Complementary feeding - Education only</v>
          </cell>
          <cell r="E58" t="str">
            <v>Children &lt; 1</v>
          </cell>
          <cell r="F58">
            <v>1</v>
          </cell>
          <cell r="G58" t="str">
            <v>All newborns</v>
          </cell>
          <cell r="H58">
            <v>681650</v>
          </cell>
          <cell r="I58">
            <v>677212</v>
          </cell>
          <cell r="J58">
            <v>674024</v>
          </cell>
        </row>
        <row r="59">
          <cell r="B59">
            <v>50</v>
          </cell>
          <cell r="C59" t="str">
            <v>Complementary feeding - Supplementary feeding + Education</v>
          </cell>
          <cell r="D59" t="str">
            <v>Complementary feeding - Supplementary feeding + Education</v>
          </cell>
          <cell r="E59" t="str">
            <v>Children &lt; 1</v>
          </cell>
          <cell r="F59">
            <v>0.5</v>
          </cell>
        </row>
        <row r="59">
          <cell r="H59">
            <v>340825</v>
          </cell>
          <cell r="I59">
            <v>338606</v>
          </cell>
          <cell r="J59">
            <v>337012</v>
          </cell>
        </row>
        <row r="60">
          <cell r="B60">
            <v>61</v>
          </cell>
          <cell r="C60" t="str">
            <v>Vitamin A supplementation</v>
          </cell>
          <cell r="D60" t="str">
            <v>Percent vitamin A deficient</v>
          </cell>
          <cell r="E60" t="str">
            <v>Children Under 5</v>
          </cell>
          <cell r="F60">
            <v>0.3532</v>
          </cell>
          <cell r="G60" t="str">
            <v>Percent vitamin A deficient</v>
          </cell>
          <cell r="H60">
            <v>240758.78</v>
          </cell>
          <cell r="I60">
            <v>239191.2784</v>
          </cell>
          <cell r="J60">
            <v>238065.2768</v>
          </cell>
        </row>
        <row r="61">
          <cell r="B61">
            <v>62</v>
          </cell>
          <cell r="C61" t="str">
            <v>Zinc supplementation</v>
          </cell>
          <cell r="D61" t="str">
            <v>Percent zinc deficient</v>
          </cell>
          <cell r="E61" t="str">
            <v>Children Under 5</v>
          </cell>
          <cell r="F61">
            <v>0.5747</v>
          </cell>
          <cell r="G61" t="str">
            <v>Percent zinc deficient</v>
          </cell>
          <cell r="H61">
            <v>391744.255</v>
          </cell>
          <cell r="I61">
            <v>389193.7364</v>
          </cell>
          <cell r="J61">
            <v>387361.5928</v>
          </cell>
        </row>
        <row r="62">
          <cell r="B62">
            <v>73</v>
          </cell>
          <cell r="C62" t="str">
            <v>Improved sanitation - Utilization of latrines</v>
          </cell>
          <cell r="D62" t="str">
            <v>Improved sanitation - Utilization of latrines</v>
          </cell>
          <cell r="E62" t="str">
            <v>Children Under 5</v>
          </cell>
          <cell r="F62">
            <v>1</v>
          </cell>
        </row>
        <row r="62">
          <cell r="H62">
            <v>681650</v>
          </cell>
          <cell r="I62">
            <v>677212</v>
          </cell>
          <cell r="J62">
            <v>674024</v>
          </cell>
        </row>
        <row r="63">
          <cell r="B63">
            <v>74</v>
          </cell>
          <cell r="C63" t="str">
            <v>Improved water source</v>
          </cell>
          <cell r="D63" t="str">
            <v>Improved water source</v>
          </cell>
          <cell r="E63" t="str">
            <v>Children Under 5</v>
          </cell>
          <cell r="F63">
            <v>1</v>
          </cell>
        </row>
        <row r="63">
          <cell r="H63">
            <v>681650</v>
          </cell>
          <cell r="I63">
            <v>677212</v>
          </cell>
          <cell r="J63">
            <v>674024</v>
          </cell>
        </row>
        <row r="64">
          <cell r="B64">
            <v>75</v>
          </cell>
          <cell r="C64" t="str">
            <v>Improved water source - Water connection in the home</v>
          </cell>
          <cell r="D64" t="str">
            <v>Improved water source - Water connection in the home</v>
          </cell>
          <cell r="E64" t="str">
            <v>Children Under 5</v>
          </cell>
          <cell r="F64">
            <v>0</v>
          </cell>
        </row>
        <row r="64">
          <cell r="H64">
            <v>0</v>
          </cell>
          <cell r="I64">
            <v>0</v>
          </cell>
          <cell r="J64">
            <v>0</v>
          </cell>
        </row>
        <row r="65">
          <cell r="B65">
            <v>76</v>
          </cell>
          <cell r="C65" t="str">
            <v>Hand washing with soap</v>
          </cell>
          <cell r="D65" t="str">
            <v>Hand washing with soap</v>
          </cell>
          <cell r="E65" t="str">
            <v>Children Under 5</v>
          </cell>
          <cell r="F65">
            <v>1</v>
          </cell>
        </row>
        <row r="65">
          <cell r="H65">
            <v>681650</v>
          </cell>
          <cell r="I65">
            <v>677212</v>
          </cell>
          <cell r="J65">
            <v>674024</v>
          </cell>
        </row>
        <row r="66">
          <cell r="B66">
            <v>77</v>
          </cell>
          <cell r="C66" t="str">
            <v>Hygienic Disposal of Children's stool</v>
          </cell>
          <cell r="D66" t="str">
            <v>Hygienic Disposal of Children's stool</v>
          </cell>
          <cell r="E66" t="str">
            <v>Children Under 5</v>
          </cell>
          <cell r="F66">
            <v>1</v>
          </cell>
        </row>
        <row r="66">
          <cell r="H66">
            <v>681650</v>
          </cell>
          <cell r="I66">
            <v>677212</v>
          </cell>
          <cell r="J66">
            <v>674024</v>
          </cell>
        </row>
        <row r="67">
          <cell r="B67">
            <v>71</v>
          </cell>
          <cell r="C67" t="str">
            <v>ITN</v>
          </cell>
          <cell r="D67" t="str">
            <v>Percent of women exposed to falciparum</v>
          </cell>
          <cell r="E67" t="str">
            <v>Children Under 5</v>
          </cell>
          <cell r="F67">
            <v>0.022</v>
          </cell>
          <cell r="G67" t="str">
            <v>Percent of children exposed to falciparum</v>
          </cell>
          <cell r="H67">
            <v>14996.3</v>
          </cell>
          <cell r="I67">
            <v>14898.664</v>
          </cell>
          <cell r="J67">
            <v>14828.528</v>
          </cell>
        </row>
        <row r="68">
          <cell r="B68">
            <v>51</v>
          </cell>
          <cell r="C68" t="str">
            <v>BCG - Single dose</v>
          </cell>
          <cell r="D68" t="str">
            <v>BCG - Single dose</v>
          </cell>
          <cell r="E68" t="str">
            <v>Children &lt; 1</v>
          </cell>
          <cell r="F68">
            <v>1</v>
          </cell>
          <cell r="G68" t="str">
            <v>All children</v>
          </cell>
          <cell r="H68">
            <v>681650</v>
          </cell>
          <cell r="I68">
            <v>677212</v>
          </cell>
          <cell r="J68">
            <v>674024</v>
          </cell>
        </row>
        <row r="69">
          <cell r="B69">
            <v>52</v>
          </cell>
          <cell r="C69" t="str">
            <v>Polio - Three doses</v>
          </cell>
          <cell r="D69" t="str">
            <v>Polio - Three doses</v>
          </cell>
          <cell r="E69" t="str">
            <v>Children &lt; 1</v>
          </cell>
          <cell r="F69">
            <v>1</v>
          </cell>
          <cell r="G69" t="str">
            <v>All children</v>
          </cell>
          <cell r="H69">
            <v>681650</v>
          </cell>
          <cell r="I69">
            <v>677212</v>
          </cell>
          <cell r="J69">
            <v>674024</v>
          </cell>
        </row>
        <row r="70">
          <cell r="C70" t="str">
            <v>Pentavalent</v>
          </cell>
          <cell r="D70" t="str">
            <v>Pentavalent</v>
          </cell>
          <cell r="E70" t="str">
            <v>Children &lt; 1</v>
          </cell>
          <cell r="F70">
            <v>1</v>
          </cell>
          <cell r="G70" t="str">
            <v>All children</v>
          </cell>
          <cell r="H70">
            <v>681650</v>
          </cell>
          <cell r="I70">
            <v>677212</v>
          </cell>
          <cell r="J70">
            <v>674024</v>
          </cell>
        </row>
        <row r="71">
          <cell r="B71">
            <v>53</v>
          </cell>
          <cell r="C71" t="str">
            <v>DPT - Three doses</v>
          </cell>
          <cell r="D71" t="str">
            <v>DPT - Three doses</v>
          </cell>
          <cell r="E71" t="str">
            <v>Children &lt; 1</v>
          </cell>
          <cell r="F71">
            <v>1</v>
          </cell>
          <cell r="G71" t="str">
            <v>All children</v>
          </cell>
          <cell r="H71">
            <v>681650</v>
          </cell>
          <cell r="I71">
            <v>677212</v>
          </cell>
          <cell r="J71">
            <v>674024</v>
          </cell>
        </row>
        <row r="72">
          <cell r="B72">
            <v>54</v>
          </cell>
          <cell r="C72" t="str">
            <v>Hib - Three doses</v>
          </cell>
          <cell r="D72" t="str">
            <v>Hib - Three doses</v>
          </cell>
          <cell r="E72" t="str">
            <v>Children &lt; 1</v>
          </cell>
          <cell r="F72">
            <v>1</v>
          </cell>
          <cell r="G72" t="str">
            <v>All children</v>
          </cell>
          <cell r="H72">
            <v>681650</v>
          </cell>
          <cell r="I72">
            <v>677212</v>
          </cell>
          <cell r="J72">
            <v>674024</v>
          </cell>
        </row>
        <row r="73">
          <cell r="B73">
            <v>55</v>
          </cell>
          <cell r="C73" t="str">
            <v>HepB - Three doses</v>
          </cell>
          <cell r="D73" t="str">
            <v>HepB - Three doses</v>
          </cell>
          <cell r="E73" t="str">
            <v>Children &lt; 1</v>
          </cell>
          <cell r="F73">
            <v>1</v>
          </cell>
          <cell r="G73" t="str">
            <v>All children</v>
          </cell>
          <cell r="H73">
            <v>681650</v>
          </cell>
          <cell r="I73">
            <v>677212</v>
          </cell>
          <cell r="J73">
            <v>674024</v>
          </cell>
        </row>
        <row r="74">
          <cell r="B74">
            <v>56</v>
          </cell>
          <cell r="C74" t="str">
            <v>Pneumococcal - Three doses</v>
          </cell>
          <cell r="D74" t="str">
            <v>Pneumococcal - Three doses</v>
          </cell>
          <cell r="E74" t="str">
            <v>Children &lt; 1</v>
          </cell>
          <cell r="F74">
            <v>1</v>
          </cell>
          <cell r="G74" t="str">
            <v>All children</v>
          </cell>
          <cell r="H74">
            <v>681650</v>
          </cell>
          <cell r="I74">
            <v>677212</v>
          </cell>
          <cell r="J74">
            <v>674024</v>
          </cell>
        </row>
        <row r="75">
          <cell r="B75">
            <v>57</v>
          </cell>
          <cell r="C75" t="str">
            <v>Rotavirus - Two doses</v>
          </cell>
          <cell r="D75" t="str">
            <v>Rotavirus - Two doses</v>
          </cell>
          <cell r="E75" t="str">
            <v>Children &lt; 1</v>
          </cell>
          <cell r="F75">
            <v>1</v>
          </cell>
          <cell r="G75" t="str">
            <v>All children</v>
          </cell>
          <cell r="H75">
            <v>681650</v>
          </cell>
          <cell r="I75">
            <v>677212</v>
          </cell>
          <cell r="J75">
            <v>674024</v>
          </cell>
        </row>
        <row r="76">
          <cell r="B76">
            <v>58</v>
          </cell>
          <cell r="C76" t="str">
            <v>Meningococcal A - Single dose</v>
          </cell>
          <cell r="D76" t="str">
            <v>Meningococcal A - Single dose</v>
          </cell>
          <cell r="E76" t="str">
            <v>Children &lt; 1</v>
          </cell>
          <cell r="F76">
            <v>1</v>
          </cell>
          <cell r="G76" t="str">
            <v>All children</v>
          </cell>
          <cell r="H76">
            <v>681650</v>
          </cell>
          <cell r="I76">
            <v>677212</v>
          </cell>
          <cell r="J76">
            <v>674024</v>
          </cell>
        </row>
        <row r="77">
          <cell r="B77">
            <v>59</v>
          </cell>
          <cell r="C77" t="str">
            <v>Malaria vaccine - Three doses</v>
          </cell>
          <cell r="D77" t="str">
            <v>Malaria vaccine - Three doses</v>
          </cell>
          <cell r="E77" t="str">
            <v>Children &lt; 1</v>
          </cell>
          <cell r="F77">
            <v>1</v>
          </cell>
          <cell r="G77" t="str">
            <v>All children</v>
          </cell>
          <cell r="H77">
            <v>681650</v>
          </cell>
          <cell r="I77">
            <v>677212</v>
          </cell>
          <cell r="J77">
            <v>674024</v>
          </cell>
        </row>
        <row r="78">
          <cell r="B78">
            <v>60</v>
          </cell>
          <cell r="C78" t="str">
            <v>Measles - Single dose</v>
          </cell>
          <cell r="D78" t="str">
            <v>Measles - Single dose</v>
          </cell>
          <cell r="E78" t="str">
            <v>Children &lt; 1</v>
          </cell>
          <cell r="F78">
            <v>1</v>
          </cell>
          <cell r="G78" t="str">
            <v>All children</v>
          </cell>
          <cell r="H78">
            <v>681650</v>
          </cell>
          <cell r="I78">
            <v>677212</v>
          </cell>
          <cell r="J78">
            <v>674024</v>
          </cell>
        </row>
        <row r="79">
          <cell r="B79">
            <v>33</v>
          </cell>
          <cell r="C79" t="str">
            <v>Maternal sepsis case management</v>
          </cell>
          <cell r="D79" t="str">
            <v>Maternal sepsis case management</v>
          </cell>
          <cell r="E79" t="str">
            <v>Births</v>
          </cell>
          <cell r="F79">
            <v>0.025</v>
          </cell>
          <cell r="G79" t="str">
            <v>Adding It Up</v>
          </cell>
          <cell r="H79">
            <v>17041.25</v>
          </cell>
          <cell r="I79">
            <v>16930.3</v>
          </cell>
          <cell r="J79">
            <v>16850.6</v>
          </cell>
        </row>
        <row r="80">
          <cell r="C80" t="str">
            <v>Case management of premature babies</v>
          </cell>
          <cell r="D80" t="str">
            <v>Pre-term: Small for gestational age (SGA)+Pre-term: Appropriate for gestational age (AGA)</v>
          </cell>
          <cell r="E80" t="str">
            <v>Newborns</v>
          </cell>
          <cell r="F80">
            <v>0.0667</v>
          </cell>
        </row>
        <row r="80">
          <cell r="H80">
            <v>45466.055</v>
          </cell>
          <cell r="I80">
            <v>45170.0404</v>
          </cell>
          <cell r="J80">
            <v>44957.4008</v>
          </cell>
        </row>
        <row r="81">
          <cell r="B81">
            <v>43</v>
          </cell>
          <cell r="C81" t="str">
            <v>Kangaroo-Mother Care (KMC)</v>
          </cell>
          <cell r="D81" t="str">
            <v>Pre-term: Small for gestational age (SGA)+Pre-term: Appropriate for gestational age (AGA)</v>
          </cell>
          <cell r="E81" t="str">
            <v>Newborns</v>
          </cell>
          <cell r="F81">
            <v>0.0667</v>
          </cell>
        </row>
        <row r="81">
          <cell r="H81">
            <v>45466.055</v>
          </cell>
          <cell r="I81">
            <v>45170.0404</v>
          </cell>
          <cell r="J81">
            <v>44957.4008</v>
          </cell>
        </row>
        <row r="82">
          <cell r="B82">
            <v>44</v>
          </cell>
          <cell r="C82" t="str">
            <v>Full supportive care of prematurity</v>
          </cell>
          <cell r="D82" t="str">
            <v>Pre-term: Small for gestational age (SGA)</v>
          </cell>
          <cell r="E82" t="str">
            <v>Newborns</v>
          </cell>
          <cell r="F82">
            <v>0.00107</v>
          </cell>
          <cell r="G82" t="str">
            <v>Assumed 10% of all premature</v>
          </cell>
          <cell r="H82">
            <v>729.3655</v>
          </cell>
          <cell r="I82">
            <v>724.61684</v>
          </cell>
          <cell r="J82">
            <v>721.20568</v>
          </cell>
        </row>
        <row r="83">
          <cell r="C83" t="str">
            <v>Case management of neonatal sepsis/pneumonia</v>
          </cell>
          <cell r="D83" t="str">
            <v>Incidence of severe pneumonia</v>
          </cell>
          <cell r="E83" t="str">
            <v>Newborns</v>
          </cell>
          <cell r="F83">
            <v>0.097</v>
          </cell>
        </row>
        <row r="83">
          <cell r="H83">
            <v>66120.05</v>
          </cell>
          <cell r="I83">
            <v>65689.564</v>
          </cell>
          <cell r="J83">
            <v>65380.328</v>
          </cell>
        </row>
        <row r="84">
          <cell r="B84">
            <v>45</v>
          </cell>
          <cell r="C84" t="str">
            <v>Oral antibiotics</v>
          </cell>
          <cell r="D84" t="str">
            <v>Oral antibiotics</v>
          </cell>
          <cell r="E84" t="str">
            <v>Newborns</v>
          </cell>
          <cell r="F84">
            <v>0.194</v>
          </cell>
          <cell r="G84" t="str">
            <v>Assumed 2x incidence of severe</v>
          </cell>
          <cell r="H84">
            <v>132240.1</v>
          </cell>
          <cell r="I84">
            <v>131379.128</v>
          </cell>
          <cell r="J84">
            <v>130760.656</v>
          </cell>
        </row>
        <row r="85">
          <cell r="B85">
            <v>46</v>
          </cell>
          <cell r="C85" t="str">
            <v>Injectable antibiotics</v>
          </cell>
          <cell r="D85" t="str">
            <v>Injectable antibiotics</v>
          </cell>
          <cell r="E85" t="str">
            <v>Newborns</v>
          </cell>
          <cell r="F85">
            <v>0.194</v>
          </cell>
          <cell r="G85" t="str">
            <v>Assumed 2x incidence of severe</v>
          </cell>
          <cell r="H85">
            <v>132240.1</v>
          </cell>
          <cell r="I85">
            <v>131379.128</v>
          </cell>
          <cell r="J85">
            <v>130760.656</v>
          </cell>
        </row>
        <row r="86">
          <cell r="B86">
            <v>47</v>
          </cell>
          <cell r="C86" t="str">
            <v>Full supportive care</v>
          </cell>
          <cell r="D86" t="str">
            <v>Full supportive care</v>
          </cell>
          <cell r="E86" t="str">
            <v>Newborns</v>
          </cell>
          <cell r="F86">
            <v>0.097</v>
          </cell>
        </row>
        <row r="86">
          <cell r="H86">
            <v>66120.05</v>
          </cell>
          <cell r="I86">
            <v>65689.564</v>
          </cell>
          <cell r="J86">
            <v>65380.328</v>
          </cell>
        </row>
        <row r="87">
          <cell r="B87">
            <v>63</v>
          </cell>
          <cell r="C87" t="str">
            <v>ORS - Oral Rehydration Solution</v>
          </cell>
          <cell r="D87" t="str">
            <v>Incidence of diarrhea</v>
          </cell>
          <cell r="E87" t="str">
            <v>Children Under 5</v>
          </cell>
          <cell r="F87">
            <v>0.12</v>
          </cell>
          <cell r="G87" t="str">
            <v>2-weekly prevalence rate</v>
          </cell>
          <cell r="H87">
            <v>1567077.47368421</v>
          </cell>
          <cell r="I87">
            <v>1567077.47368421</v>
          </cell>
          <cell r="J87">
            <v>1567077.47368421</v>
          </cell>
        </row>
        <row r="88">
          <cell r="B88">
            <v>64</v>
          </cell>
          <cell r="C88" t="str">
            <v>Antibiotics for treatment of dysentery</v>
          </cell>
          <cell r="D88" t="str">
            <v>Antibiotics for treatment of dysentery</v>
          </cell>
          <cell r="E88" t="str">
            <v>Children Under 5</v>
          </cell>
          <cell r="F88">
            <v>0.012</v>
          </cell>
          <cell r="G88" t="str">
            <v>Assmption 10% of diarrhea cases</v>
          </cell>
          <cell r="H88">
            <v>8179.8</v>
          </cell>
          <cell r="I88">
            <v>8126.544</v>
          </cell>
          <cell r="J88">
            <v>8088.288</v>
          </cell>
        </row>
        <row r="89">
          <cell r="B89">
            <v>65</v>
          </cell>
          <cell r="C89" t="str">
            <v>Zinc for treatment of diarrhea</v>
          </cell>
          <cell r="D89" t="str">
            <v>Incidence of diarrhea</v>
          </cell>
          <cell r="E89" t="str">
            <v>Children Under 5</v>
          </cell>
          <cell r="F89">
            <v>0.12</v>
          </cell>
        </row>
        <row r="89">
          <cell r="H89">
            <v>1567077.47368421</v>
          </cell>
          <cell r="I89">
            <v>1567077.47368421</v>
          </cell>
          <cell r="J89">
            <v>1567077.47368421</v>
          </cell>
        </row>
        <row r="90">
          <cell r="B90">
            <v>66</v>
          </cell>
          <cell r="C90" t="str">
            <v>Oral antibiotics for pneumonia</v>
          </cell>
          <cell r="D90" t="str">
            <v>Not In LiST, needs to be entered manually</v>
          </cell>
          <cell r="E90" t="str">
            <v>Children Under 5</v>
          </cell>
          <cell r="F90">
            <v>0.116</v>
          </cell>
          <cell r="G90" t="str">
            <v>2-weekly prevalence rate of ARI</v>
          </cell>
          <cell r="H90">
            <v>1514841.55789474</v>
          </cell>
          <cell r="I90">
            <v>1514841.55789474</v>
          </cell>
          <cell r="J90">
            <v>1514841.55789474</v>
          </cell>
        </row>
        <row r="91">
          <cell r="B91">
            <v>67</v>
          </cell>
          <cell r="C91" t="str">
            <v>Vitamin A for treatment of measles</v>
          </cell>
          <cell r="D91" t="str">
            <v>Vitamin A for treatment of measles</v>
          </cell>
          <cell r="E91" t="str">
            <v>Children Under 5</v>
          </cell>
          <cell r="F91">
            <v>0.00015</v>
          </cell>
          <cell r="G91" t="str">
            <v>https://www.cdc.gov/mmwr/volumes/68/wr/mm6822a4.htm</v>
          </cell>
          <cell r="H91">
            <v>102.2475</v>
          </cell>
          <cell r="I91">
            <v>101.5818</v>
          </cell>
          <cell r="J91">
            <v>101.1036</v>
          </cell>
        </row>
        <row r="92">
          <cell r="B92">
            <v>68</v>
          </cell>
          <cell r="C92" t="str">
            <v>ACTs - Artemisinin compounds for treatment of malaria</v>
          </cell>
          <cell r="D92" t="str">
            <v>Not in LiST.  See calculations below, cell F97 and F98</v>
          </cell>
          <cell r="E92" t="str">
            <v>Children Under 5</v>
          </cell>
          <cell r="F92" t="str">
            <v>Enter below</v>
          </cell>
        </row>
        <row r="92">
          <cell r="H92">
            <v>1480888.21263158</v>
          </cell>
          <cell r="I92">
            <v>1471246.63427368</v>
          </cell>
          <cell r="J92">
            <v>1464320.68749474</v>
          </cell>
        </row>
        <row r="93">
          <cell r="B93">
            <v>69</v>
          </cell>
          <cell r="C93" t="str">
            <v>SAM - treatment for severe acute malnutrition</v>
          </cell>
          <cell r="D93" t="str">
            <v>more than 3 standard deviations less than the median norm</v>
          </cell>
          <cell r="E93" t="str">
            <v>Children Under 5</v>
          </cell>
          <cell r="F93">
            <v>0.115</v>
          </cell>
          <cell r="G93" t="str">
            <v>Less than -3z</v>
          </cell>
          <cell r="H93">
            <v>78389.75</v>
          </cell>
          <cell r="I93">
            <v>77879.38</v>
          </cell>
          <cell r="J93">
            <v>77512.76</v>
          </cell>
        </row>
        <row r="94">
          <cell r="B94">
            <v>70</v>
          </cell>
          <cell r="C94" t="str">
            <v>MAM - treatment for moderate acute malnutrition</v>
          </cell>
          <cell r="D94" t="str">
            <v>between 2 and 3 standard deviations less than the median norm</v>
          </cell>
          <cell r="E94" t="str">
            <v>Children Under 5</v>
          </cell>
          <cell r="F94">
            <v>0.071</v>
          </cell>
          <cell r="G94" t="str">
            <v>Between -2z and -3z</v>
          </cell>
          <cell r="H94">
            <v>48397.15</v>
          </cell>
          <cell r="I94">
            <v>48082.052</v>
          </cell>
          <cell r="J94">
            <v>47855.704</v>
          </cell>
        </row>
      </sheetData>
      <sheetData sheetId="5">
        <row r="3">
          <cell r="V3">
            <v>2</v>
          </cell>
        </row>
        <row r="7">
          <cell r="E7">
            <v>0.36</v>
          </cell>
        </row>
        <row r="8">
          <cell r="E8">
            <v>0.21</v>
          </cell>
        </row>
        <row r="9">
          <cell r="E9">
            <v>0.14</v>
          </cell>
        </row>
        <row r="10">
          <cell r="E10">
            <v>0.16</v>
          </cell>
        </row>
        <row r="12">
          <cell r="E12">
            <v>0.17</v>
          </cell>
        </row>
        <row r="13">
          <cell r="E13">
            <v>0.17</v>
          </cell>
        </row>
        <row r="19">
          <cell r="B19">
            <v>1</v>
          </cell>
          <cell r="C19">
            <v>7</v>
          </cell>
          <cell r="D19" t="str">
            <v>Family Planning</v>
          </cell>
          <cell r="E19" t="str">
            <v>FP - Pills</v>
          </cell>
        </row>
        <row r="19">
          <cell r="I19">
            <v>0.36</v>
          </cell>
        </row>
        <row r="20">
          <cell r="B20">
            <v>2</v>
          </cell>
          <cell r="C20">
            <v>1</v>
          </cell>
        </row>
        <row r="20">
          <cell r="E20" t="str">
            <v>FP - Condoms</v>
          </cell>
        </row>
        <row r="20">
          <cell r="I20">
            <v>0.36</v>
          </cell>
        </row>
        <row r="21">
          <cell r="B21">
            <v>3</v>
          </cell>
          <cell r="C21">
            <v>4</v>
          </cell>
        </row>
        <row r="21">
          <cell r="E21" t="str">
            <v>FP - Injectables</v>
          </cell>
        </row>
        <row r="21">
          <cell r="I21">
            <v>0.36</v>
          </cell>
        </row>
        <row r="22">
          <cell r="B22">
            <v>4</v>
          </cell>
          <cell r="C22">
            <v>5</v>
          </cell>
        </row>
        <row r="22">
          <cell r="E22" t="str">
            <v>FP - Implants</v>
          </cell>
        </row>
        <row r="22">
          <cell r="I22">
            <v>0.36</v>
          </cell>
        </row>
        <row r="23">
          <cell r="B23">
            <v>5</v>
          </cell>
          <cell r="C23">
            <v>6</v>
          </cell>
        </row>
        <row r="23">
          <cell r="E23" t="str">
            <v>FP - IUD</v>
          </cell>
        </row>
        <row r="23">
          <cell r="I23">
            <v>0.36</v>
          </cell>
        </row>
        <row r="24">
          <cell r="B24">
            <v>6</v>
          </cell>
          <cell r="C24">
            <v>2</v>
          </cell>
        </row>
        <row r="24">
          <cell r="E24" t="str">
            <v>FP - Female Sterilization</v>
          </cell>
        </row>
        <row r="24">
          <cell r="I24">
            <v>0.36</v>
          </cell>
        </row>
        <row r="25">
          <cell r="B25">
            <v>7</v>
          </cell>
          <cell r="C25">
            <v>3</v>
          </cell>
        </row>
        <row r="25">
          <cell r="E25" t="str">
            <v>FP - Male Sterilization</v>
          </cell>
        </row>
        <row r="25">
          <cell r="I25">
            <v>0.36</v>
          </cell>
        </row>
        <row r="26">
          <cell r="B26">
            <v>8</v>
          </cell>
          <cell r="C26">
            <v>8</v>
          </cell>
        </row>
        <row r="26">
          <cell r="E26" t="str">
            <v>FP - Traditional Methods</v>
          </cell>
        </row>
        <row r="26">
          <cell r="I26">
            <v>0</v>
          </cell>
        </row>
        <row r="27">
          <cell r="B27">
            <v>9</v>
          </cell>
          <cell r="C27">
            <v>14</v>
          </cell>
          <cell r="D27" t="str">
            <v>Pregnancy/ Antenatal</v>
          </cell>
          <cell r="E27" t="str">
            <v>Antenatal care (at least 1 visit)</v>
          </cell>
        </row>
        <row r="27">
          <cell r="I27">
            <v>0.21</v>
          </cell>
        </row>
        <row r="28">
          <cell r="B28">
            <v>10</v>
          </cell>
          <cell r="C28">
            <v>16</v>
          </cell>
        </row>
        <row r="28">
          <cell r="E28" t="str">
            <v>Antenatal care (at least 4 visits)</v>
          </cell>
        </row>
        <row r="28">
          <cell r="I28">
            <v>0.21</v>
          </cell>
        </row>
        <row r="29">
          <cell r="B29">
            <v>11</v>
          </cell>
          <cell r="C29">
            <v>16</v>
          </cell>
        </row>
        <row r="29">
          <cell r="E29" t="str">
            <v>TT - Tetanus toxoid vaccination</v>
          </cell>
        </row>
        <row r="29">
          <cell r="I29">
            <v>0.21</v>
          </cell>
        </row>
        <row r="30">
          <cell r="B30">
            <v>12</v>
          </cell>
          <cell r="C30">
            <v>17</v>
          </cell>
        </row>
        <row r="30">
          <cell r="E30" t="str">
            <v>IPTp - Intermittent preventive treatment of malaria during pregnancy</v>
          </cell>
        </row>
        <row r="30">
          <cell r="I30">
            <v>0.21</v>
          </cell>
        </row>
        <row r="31">
          <cell r="B31">
            <v>13</v>
          </cell>
          <cell r="C31">
            <v>18</v>
          </cell>
        </row>
        <row r="31">
          <cell r="E31" t="str">
            <v>Syphilis detection and treatment</v>
          </cell>
        </row>
        <row r="31">
          <cell r="I31">
            <v>0.21</v>
          </cell>
        </row>
        <row r="32">
          <cell r="B32">
            <v>14</v>
          </cell>
          <cell r="C32">
            <v>19</v>
          </cell>
        </row>
        <row r="32">
          <cell r="E32" t="str">
            <v>Calcium supplementation</v>
          </cell>
        </row>
        <row r="32">
          <cell r="I32">
            <v>0.21</v>
          </cell>
        </row>
        <row r="33">
          <cell r="B33">
            <v>15</v>
          </cell>
          <cell r="C33">
            <v>20</v>
          </cell>
        </row>
        <row r="33">
          <cell r="E33" t="str">
            <v>Iron and folate supplementation in pregnancy</v>
          </cell>
        </row>
        <row r="33">
          <cell r="I33">
            <v>0.21</v>
          </cell>
        </row>
        <row r="34">
          <cell r="B34">
            <v>16</v>
          </cell>
          <cell r="C34">
            <v>21</v>
          </cell>
        </row>
        <row r="34">
          <cell r="E34" t="str">
            <v>Multiple micronutrient supplementation in pregnancy</v>
          </cell>
        </row>
        <row r="34">
          <cell r="I34">
            <v>0.21</v>
          </cell>
        </row>
        <row r="35">
          <cell r="B35">
            <v>17</v>
          </cell>
          <cell r="C35">
            <v>22</v>
          </cell>
        </row>
        <row r="35">
          <cell r="E35" t="str">
            <v>Balanced energy supplementation</v>
          </cell>
        </row>
        <row r="35">
          <cell r="I35">
            <v>0.21</v>
          </cell>
        </row>
        <row r="36">
          <cell r="B36">
            <v>18</v>
          </cell>
          <cell r="C36">
            <v>23</v>
          </cell>
        </row>
        <row r="36">
          <cell r="E36" t="str">
            <v>Hypertensive disorder case management</v>
          </cell>
        </row>
        <row r="36">
          <cell r="I36">
            <v>0.21</v>
          </cell>
        </row>
        <row r="37">
          <cell r="B37">
            <v>19</v>
          </cell>
          <cell r="C37">
            <v>24</v>
          </cell>
        </row>
        <row r="37">
          <cell r="E37" t="str">
            <v>Diabetes case management</v>
          </cell>
        </row>
        <row r="37">
          <cell r="I37">
            <v>0.21</v>
          </cell>
        </row>
        <row r="38">
          <cell r="B38">
            <v>20</v>
          </cell>
          <cell r="C38">
            <v>25</v>
          </cell>
        </row>
        <row r="38">
          <cell r="E38" t="str">
            <v>Malaria case management</v>
          </cell>
        </row>
        <row r="38">
          <cell r="I38">
            <v>0.21</v>
          </cell>
        </row>
        <row r="39">
          <cell r="B39">
            <v>21</v>
          </cell>
          <cell r="C39">
            <v>26</v>
          </cell>
        </row>
        <row r="39">
          <cell r="E39" t="str">
            <v>MgSO4 management of pre-eclampsia</v>
          </cell>
        </row>
        <row r="39">
          <cell r="I39">
            <v>0.21</v>
          </cell>
        </row>
        <row r="40">
          <cell r="B40">
            <v>22</v>
          </cell>
          <cell r="C40">
            <v>27</v>
          </cell>
          <cell r="D40" t="str">
            <v>Delivery Care/ 
BEmoC/ 
CEmOC</v>
          </cell>
          <cell r="E40" t="str">
            <v>Health Facility Delivery</v>
          </cell>
        </row>
        <row r="40">
          <cell r="I40">
            <v>0.14</v>
          </cell>
        </row>
        <row r="41">
          <cell r="B41">
            <v>23</v>
          </cell>
          <cell r="C41">
            <v>28</v>
          </cell>
        </row>
        <row r="41">
          <cell r="E41" t="str">
            <v>Clean birth environment</v>
          </cell>
        </row>
        <row r="41">
          <cell r="I41">
            <v>0.14</v>
          </cell>
        </row>
        <row r="42">
          <cell r="B42">
            <v>24</v>
          </cell>
          <cell r="C42">
            <v>32</v>
          </cell>
        </row>
        <row r="42">
          <cell r="E42" t="str">
            <v>Manual removal of placenta</v>
          </cell>
        </row>
        <row r="42">
          <cell r="I42">
            <v>0.14</v>
          </cell>
        </row>
        <row r="43">
          <cell r="B43">
            <v>25</v>
          </cell>
          <cell r="C43">
            <v>33</v>
          </cell>
        </row>
        <row r="43">
          <cell r="E43" t="str">
            <v>MgSO4 management of eclampsia</v>
          </cell>
        </row>
        <row r="43">
          <cell r="I43">
            <v>0.14</v>
          </cell>
        </row>
        <row r="44">
          <cell r="B44">
            <v>26</v>
          </cell>
          <cell r="C44">
            <v>34</v>
          </cell>
        </row>
        <row r="44">
          <cell r="E44" t="str">
            <v>Antibiotics for preterm or prolonged PROM</v>
          </cell>
        </row>
        <row r="44">
          <cell r="I44">
            <v>0.14</v>
          </cell>
        </row>
        <row r="45">
          <cell r="B45">
            <v>27</v>
          </cell>
          <cell r="C45">
            <v>35</v>
          </cell>
        </row>
        <row r="45">
          <cell r="E45" t="str">
            <v>Parenteral administration of antibiotics</v>
          </cell>
        </row>
        <row r="45">
          <cell r="I45">
            <v>0.14</v>
          </cell>
        </row>
        <row r="46">
          <cell r="B46">
            <v>28</v>
          </cell>
          <cell r="C46">
            <v>36</v>
          </cell>
        </row>
        <row r="46">
          <cell r="E46" t="str">
            <v>Assisted vaginal delivery</v>
          </cell>
        </row>
        <row r="46">
          <cell r="I46">
            <v>0.14</v>
          </cell>
        </row>
        <row r="47">
          <cell r="B47">
            <v>29</v>
          </cell>
          <cell r="C47">
            <v>38</v>
          </cell>
        </row>
        <row r="47">
          <cell r="E47" t="str">
            <v>Active management of third stage of labor (AMTSL)</v>
          </cell>
        </row>
        <row r="47">
          <cell r="I47">
            <v>0.14</v>
          </cell>
        </row>
        <row r="48">
          <cell r="B48">
            <v>30</v>
          </cell>
          <cell r="C48">
            <v>39</v>
          </cell>
        </row>
        <row r="48">
          <cell r="E48" t="str">
            <v>Removal of retained products of conception</v>
          </cell>
        </row>
        <row r="48">
          <cell r="I48">
            <v>0.14</v>
          </cell>
        </row>
        <row r="49">
          <cell r="B49">
            <v>31</v>
          </cell>
          <cell r="C49">
            <v>40</v>
          </cell>
        </row>
        <row r="49">
          <cell r="E49" t="str">
            <v>Induction of labor for pregnancies lasting 41+ weeks</v>
          </cell>
        </row>
        <row r="49">
          <cell r="I49">
            <v>0.14</v>
          </cell>
        </row>
        <row r="50">
          <cell r="B50">
            <v>32</v>
          </cell>
          <cell r="C50">
            <v>41</v>
          </cell>
        </row>
        <row r="50">
          <cell r="E50" t="str">
            <v>Antenatal corticosteroids for preterm labor</v>
          </cell>
        </row>
        <row r="50">
          <cell r="I50">
            <v>0.14</v>
          </cell>
        </row>
        <row r="51">
          <cell r="B51">
            <v>33</v>
          </cell>
          <cell r="C51">
            <v>65</v>
          </cell>
        </row>
        <row r="51">
          <cell r="E51" t="str">
            <v>Maternal sepsis case management</v>
          </cell>
        </row>
        <row r="51">
          <cell r="I51">
            <v>0.14</v>
          </cell>
        </row>
        <row r="52">
          <cell r="B52">
            <v>34</v>
          </cell>
          <cell r="C52">
            <v>10</v>
          </cell>
        </row>
        <row r="52">
          <cell r="E52" t="str">
            <v>Safe abortion services</v>
          </cell>
        </row>
        <row r="52">
          <cell r="I52">
            <v>0.14</v>
          </cell>
        </row>
        <row r="53">
          <cell r="B53">
            <v>35</v>
          </cell>
          <cell r="C53">
            <v>11</v>
          </cell>
        </row>
        <row r="53">
          <cell r="E53" t="str">
            <v>Post abortion case management</v>
          </cell>
        </row>
        <row r="53">
          <cell r="I53">
            <v>0.14</v>
          </cell>
        </row>
        <row r="54">
          <cell r="B54">
            <v>36</v>
          </cell>
          <cell r="C54">
            <v>42</v>
          </cell>
        </row>
        <row r="54">
          <cell r="E54" t="str">
            <v>Cesarean delivery</v>
          </cell>
        </row>
        <row r="54">
          <cell r="I54">
            <v>0.14</v>
          </cell>
        </row>
        <row r="55">
          <cell r="B55">
            <v>37</v>
          </cell>
          <cell r="C55">
            <v>43</v>
          </cell>
        </row>
        <row r="55">
          <cell r="E55" t="str">
            <v>Blood transfusion</v>
          </cell>
        </row>
        <row r="55">
          <cell r="I55">
            <v>0.14</v>
          </cell>
        </row>
        <row r="56">
          <cell r="B56">
            <v>38</v>
          </cell>
          <cell r="C56">
            <v>12</v>
          </cell>
        </row>
        <row r="56">
          <cell r="E56" t="str">
            <v>Ectopic pregnancy case management</v>
          </cell>
        </row>
        <row r="56">
          <cell r="I56">
            <v>0.14</v>
          </cell>
        </row>
        <row r="57">
          <cell r="B57">
            <v>39</v>
          </cell>
          <cell r="C57">
            <v>29</v>
          </cell>
          <cell r="D57" t="str">
            <v>Newborn Care</v>
          </cell>
          <cell r="E57" t="str">
            <v>Immediate drying and additional stimulation</v>
          </cell>
        </row>
        <row r="57">
          <cell r="I57">
            <v>0.16</v>
          </cell>
        </row>
        <row r="58">
          <cell r="B58">
            <v>40</v>
          </cell>
          <cell r="C58">
            <v>30</v>
          </cell>
        </row>
        <row r="58">
          <cell r="E58" t="str">
            <v>Thermal protection</v>
          </cell>
        </row>
        <row r="58">
          <cell r="I58">
            <v>0.16</v>
          </cell>
        </row>
        <row r="59">
          <cell r="B59">
            <v>41</v>
          </cell>
          <cell r="C59">
            <v>31</v>
          </cell>
        </row>
        <row r="59">
          <cell r="E59" t="str">
            <v>Clean cord care</v>
          </cell>
        </row>
        <row r="59">
          <cell r="I59">
            <v>0.16</v>
          </cell>
        </row>
        <row r="60">
          <cell r="B60">
            <v>42</v>
          </cell>
          <cell r="C60">
            <v>37</v>
          </cell>
        </row>
        <row r="60">
          <cell r="E60" t="str">
            <v>Neonatal resuscitation</v>
          </cell>
        </row>
        <row r="60">
          <cell r="I60">
            <v>0.16</v>
          </cell>
        </row>
        <row r="61">
          <cell r="E61" t="str">
            <v>Case management of premature babies</v>
          </cell>
        </row>
        <row r="61">
          <cell r="I61">
            <v>0.16</v>
          </cell>
        </row>
        <row r="62">
          <cell r="B62">
            <v>43</v>
          </cell>
          <cell r="C62">
            <v>66</v>
          </cell>
        </row>
        <row r="62">
          <cell r="E62" t="str">
            <v>Kangaroo-Mother Care (KMC)</v>
          </cell>
        </row>
        <row r="62">
          <cell r="I62">
            <v>0.16</v>
          </cell>
        </row>
        <row r="63">
          <cell r="B63">
            <v>44</v>
          </cell>
          <cell r="C63">
            <v>67</v>
          </cell>
        </row>
        <row r="63">
          <cell r="E63" t="str">
            <v>Full supportive care of prematurity</v>
          </cell>
        </row>
        <row r="63">
          <cell r="I63">
            <v>0.16</v>
          </cell>
        </row>
        <row r="64">
          <cell r="E64" t="str">
            <v>Case management of neonatal sepsis/pneumonia</v>
          </cell>
        </row>
        <row r="64">
          <cell r="I64">
            <v>0.16</v>
          </cell>
        </row>
        <row r="65">
          <cell r="B65">
            <v>45</v>
          </cell>
          <cell r="C65">
            <v>68</v>
          </cell>
        </row>
        <row r="65">
          <cell r="E65" t="str">
            <v>Oral antibiotics for neonatal sepsis</v>
          </cell>
        </row>
        <row r="65">
          <cell r="I65">
            <v>0.16</v>
          </cell>
        </row>
        <row r="66">
          <cell r="B66">
            <v>46</v>
          </cell>
          <cell r="C66">
            <v>69</v>
          </cell>
        </row>
        <row r="66">
          <cell r="E66" t="str">
            <v>Injectable antibiotics for neonatal sepsis</v>
          </cell>
        </row>
        <row r="66">
          <cell r="I66">
            <v>0.16</v>
          </cell>
        </row>
        <row r="67">
          <cell r="B67">
            <v>47</v>
          </cell>
          <cell r="C67">
            <v>70</v>
          </cell>
        </row>
        <row r="67">
          <cell r="E67" t="str">
            <v>Full supportive care for neonatal sepsis/pneumonia</v>
          </cell>
        </row>
        <row r="67">
          <cell r="I67">
            <v>0.16</v>
          </cell>
        </row>
        <row r="68">
          <cell r="B68">
            <v>48</v>
          </cell>
          <cell r="C68">
            <v>44</v>
          </cell>
          <cell r="D68" t="str">
            <v>Breastfeeding</v>
          </cell>
          <cell r="E68" t="str">
            <v>Early Initiation of Breastfeeding</v>
          </cell>
        </row>
        <row r="68">
          <cell r="I68">
            <v>0</v>
          </cell>
        </row>
        <row r="69">
          <cell r="B69">
            <v>49</v>
          </cell>
          <cell r="C69">
            <v>45</v>
          </cell>
        </row>
        <row r="69">
          <cell r="E69" t="str">
            <v>Complementary feeding - Education only</v>
          </cell>
        </row>
        <row r="69">
          <cell r="I69">
            <v>0</v>
          </cell>
        </row>
        <row r="70">
          <cell r="B70">
            <v>50</v>
          </cell>
          <cell r="C70">
            <v>46</v>
          </cell>
        </row>
        <row r="70">
          <cell r="E70" t="str">
            <v>Complementary feeding - Supplementary feeding + Education</v>
          </cell>
        </row>
        <row r="70">
          <cell r="I70">
            <v>0</v>
          </cell>
        </row>
        <row r="71">
          <cell r="B71">
            <v>51</v>
          </cell>
          <cell r="C71">
            <v>55</v>
          </cell>
          <cell r="D71" t="str">
            <v>Vaccines</v>
          </cell>
          <cell r="E71" t="str">
            <v>BCG - Single dose</v>
          </cell>
        </row>
        <row r="71">
          <cell r="I71">
            <v>0.17</v>
          </cell>
        </row>
        <row r="72">
          <cell r="B72">
            <v>52</v>
          </cell>
          <cell r="C72">
            <v>56</v>
          </cell>
        </row>
        <row r="72">
          <cell r="E72" t="str">
            <v>Polio - Three doses</v>
          </cell>
        </row>
        <row r="72">
          <cell r="I72">
            <v>0.17</v>
          </cell>
        </row>
        <row r="73">
          <cell r="E73" t="str">
            <v>Pentavalent</v>
          </cell>
        </row>
        <row r="73">
          <cell r="I73">
            <v>0.17</v>
          </cell>
        </row>
        <row r="74">
          <cell r="B74">
            <v>53</v>
          </cell>
          <cell r="C74">
            <v>57</v>
          </cell>
        </row>
        <row r="74">
          <cell r="E74" t="str">
            <v>DPT - Three doses</v>
          </cell>
        </row>
        <row r="74">
          <cell r="I74">
            <v>0.17</v>
          </cell>
        </row>
        <row r="75">
          <cell r="B75">
            <v>54</v>
          </cell>
          <cell r="C75">
            <v>58</v>
          </cell>
        </row>
        <row r="75">
          <cell r="E75" t="str">
            <v>Hib - Three doses</v>
          </cell>
        </row>
        <row r="75">
          <cell r="I75">
            <v>0.17</v>
          </cell>
        </row>
        <row r="76">
          <cell r="B76">
            <v>55</v>
          </cell>
          <cell r="C76">
            <v>59</v>
          </cell>
        </row>
        <row r="76">
          <cell r="E76" t="str">
            <v>HepB - Three doses</v>
          </cell>
        </row>
        <row r="76">
          <cell r="I76">
            <v>0.17</v>
          </cell>
        </row>
        <row r="77">
          <cell r="B77">
            <v>56</v>
          </cell>
          <cell r="C77">
            <v>60</v>
          </cell>
        </row>
        <row r="77">
          <cell r="E77" t="str">
            <v>Pneumococcal - Three doses</v>
          </cell>
        </row>
        <row r="77">
          <cell r="I77">
            <v>0.17</v>
          </cell>
        </row>
        <row r="78">
          <cell r="B78">
            <v>57</v>
          </cell>
          <cell r="C78">
            <v>61</v>
          </cell>
        </row>
        <row r="78">
          <cell r="E78" t="str">
            <v>Rotavirus - Two doses</v>
          </cell>
        </row>
        <row r="78">
          <cell r="I78">
            <v>0.17</v>
          </cell>
        </row>
        <row r="79">
          <cell r="B79">
            <v>58</v>
          </cell>
          <cell r="C79">
            <v>62</v>
          </cell>
        </row>
        <row r="79">
          <cell r="E79" t="str">
            <v>Meningococcal A - Single dose</v>
          </cell>
        </row>
        <row r="79">
          <cell r="I79">
            <v>0.17</v>
          </cell>
        </row>
        <row r="80">
          <cell r="B80">
            <v>59</v>
          </cell>
          <cell r="C80">
            <v>63</v>
          </cell>
        </row>
        <row r="80">
          <cell r="E80" t="str">
            <v>Malaria vaccine - Three doses</v>
          </cell>
        </row>
        <row r="80">
          <cell r="I80">
            <v>0.17</v>
          </cell>
        </row>
        <row r="81">
          <cell r="B81">
            <v>60</v>
          </cell>
          <cell r="C81">
            <v>64</v>
          </cell>
        </row>
        <row r="81">
          <cell r="E81" t="str">
            <v>Measles - Single dose</v>
          </cell>
        </row>
        <row r="81">
          <cell r="I81">
            <v>0.17</v>
          </cell>
        </row>
        <row r="82">
          <cell r="B82">
            <v>61</v>
          </cell>
          <cell r="C82">
            <v>47</v>
          </cell>
          <cell r="D82" t="str">
            <v>Child Health</v>
          </cell>
          <cell r="E82" t="str">
            <v>Vitamin A supplementation</v>
          </cell>
        </row>
        <row r="82">
          <cell r="I82">
            <v>0.17</v>
          </cell>
        </row>
        <row r="83">
          <cell r="B83">
            <v>62</v>
          </cell>
          <cell r="C83">
            <v>48</v>
          </cell>
        </row>
        <row r="83">
          <cell r="E83" t="str">
            <v>Zinc supplementation</v>
          </cell>
        </row>
        <row r="83">
          <cell r="I83">
            <v>0.17</v>
          </cell>
        </row>
        <row r="84">
          <cell r="B84">
            <v>63</v>
          </cell>
          <cell r="C84">
            <v>71</v>
          </cell>
        </row>
        <row r="84">
          <cell r="E84" t="str">
            <v>ORS - Oral Rehydration Solution</v>
          </cell>
        </row>
        <row r="84">
          <cell r="I84">
            <v>0.17</v>
          </cell>
        </row>
        <row r="85">
          <cell r="B85">
            <v>64</v>
          </cell>
          <cell r="C85">
            <v>72</v>
          </cell>
        </row>
        <row r="85">
          <cell r="E85" t="str">
            <v>Antibiotics for treatment of dysentery</v>
          </cell>
        </row>
        <row r="85">
          <cell r="I85">
            <v>0.17</v>
          </cell>
        </row>
        <row r="86">
          <cell r="B86">
            <v>65</v>
          </cell>
          <cell r="C86">
            <v>73</v>
          </cell>
        </row>
        <row r="86">
          <cell r="E86" t="str">
            <v>Zinc for treatment of diarrhea</v>
          </cell>
        </row>
        <row r="86">
          <cell r="I86">
            <v>0.17</v>
          </cell>
        </row>
        <row r="87">
          <cell r="B87">
            <v>66</v>
          </cell>
          <cell r="C87">
            <v>74</v>
          </cell>
        </row>
        <row r="87">
          <cell r="E87" t="str">
            <v>Oral antibiotics for pneumonia</v>
          </cell>
        </row>
        <row r="87">
          <cell r="I87">
            <v>0.17</v>
          </cell>
        </row>
        <row r="88">
          <cell r="B88">
            <v>67</v>
          </cell>
          <cell r="C88">
            <v>75</v>
          </cell>
        </row>
        <row r="88">
          <cell r="E88" t="str">
            <v>Vitamin A for treatment of measles</v>
          </cell>
        </row>
        <row r="88">
          <cell r="I88">
            <v>0.17</v>
          </cell>
        </row>
        <row r="89">
          <cell r="B89">
            <v>68</v>
          </cell>
          <cell r="C89">
            <v>76</v>
          </cell>
        </row>
        <row r="89">
          <cell r="E89" t="str">
            <v>ACTs - Artemisinin compounds for treatment of malaria</v>
          </cell>
        </row>
        <row r="89">
          <cell r="I89">
            <v>0.17</v>
          </cell>
        </row>
        <row r="90">
          <cell r="B90">
            <v>69</v>
          </cell>
          <cell r="C90">
            <v>77</v>
          </cell>
          <cell r="D90" t="str">
            <v>Malnutrition</v>
          </cell>
          <cell r="E90" t="str">
            <v>SAM - treatment for severe acute malnutrition</v>
          </cell>
        </row>
        <row r="90">
          <cell r="I90">
            <v>0</v>
          </cell>
        </row>
        <row r="91">
          <cell r="B91">
            <v>70</v>
          </cell>
          <cell r="C91">
            <v>78</v>
          </cell>
        </row>
        <row r="91">
          <cell r="E91" t="str">
            <v>MAM - treatment for moderate acute malnutrition</v>
          </cell>
        </row>
        <row r="91">
          <cell r="I91">
            <v>0</v>
          </cell>
        </row>
        <row r="92">
          <cell r="B92">
            <v>71</v>
          </cell>
          <cell r="C92">
            <v>54</v>
          </cell>
          <cell r="D92" t="str">
            <v>Other</v>
          </cell>
          <cell r="E92" t="str">
            <v>ITN/IRS - Households protected from malaria</v>
          </cell>
        </row>
        <row r="92">
          <cell r="I92">
            <v>0</v>
          </cell>
        </row>
      </sheetData>
      <sheetData sheetId="6">
        <row r="20">
          <cell r="J20">
            <v>0.453075777</v>
          </cell>
        </row>
        <row r="21">
          <cell r="J21">
            <v>0</v>
          </cell>
        </row>
        <row r="22">
          <cell r="J22">
            <v>0</v>
          </cell>
        </row>
        <row r="23">
          <cell r="J23">
            <v>0</v>
          </cell>
        </row>
        <row r="24">
          <cell r="J24">
            <v>0.039316473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0.099227331</v>
          </cell>
        </row>
        <row r="28">
          <cell r="J28">
            <v>0.6075</v>
          </cell>
        </row>
        <row r="29">
          <cell r="J29">
            <v>0.2709</v>
          </cell>
        </row>
        <row r="30">
          <cell r="J30">
            <v>0.792</v>
          </cell>
        </row>
        <row r="31">
          <cell r="J31">
            <v>0</v>
          </cell>
        </row>
        <row r="32">
          <cell r="J32">
            <v>0.1503</v>
          </cell>
        </row>
        <row r="33">
          <cell r="J33">
            <v>0</v>
          </cell>
        </row>
        <row r="34">
          <cell r="J34">
            <v>0.0468</v>
          </cell>
        </row>
        <row r="35">
          <cell r="J35">
            <v>0</v>
          </cell>
        </row>
        <row r="36">
          <cell r="J36">
            <v>0</v>
          </cell>
        </row>
        <row r="37">
          <cell r="J37">
            <v>0.0648</v>
          </cell>
        </row>
        <row r="38">
          <cell r="J38">
            <v>0.0504</v>
          </cell>
        </row>
        <row r="39">
          <cell r="J39">
            <v>0</v>
          </cell>
        </row>
        <row r="40">
          <cell r="J40">
            <v>0.1287</v>
          </cell>
        </row>
        <row r="41">
          <cell r="J41">
            <v>0.6543</v>
          </cell>
        </row>
        <row r="42">
          <cell r="J42">
            <v>0.5364</v>
          </cell>
        </row>
        <row r="43">
          <cell r="J43">
            <v>0.2448</v>
          </cell>
        </row>
        <row r="44">
          <cell r="J44">
            <v>0.468</v>
          </cell>
        </row>
        <row r="45">
          <cell r="J45">
            <v>0.4896</v>
          </cell>
        </row>
        <row r="46">
          <cell r="J46">
            <v>0.4896</v>
          </cell>
        </row>
        <row r="47">
          <cell r="J47">
            <v>0.1656</v>
          </cell>
        </row>
        <row r="48">
          <cell r="J48">
            <v>0.585</v>
          </cell>
        </row>
        <row r="49">
          <cell r="J49">
            <v>0.2169</v>
          </cell>
        </row>
        <row r="50">
          <cell r="J50">
            <v>0.0117</v>
          </cell>
        </row>
        <row r="51">
          <cell r="J51">
            <v>0</v>
          </cell>
        </row>
        <row r="52">
          <cell r="J52">
            <v>0</v>
          </cell>
        </row>
        <row r="53">
          <cell r="J53">
            <v>0.0198</v>
          </cell>
        </row>
        <row r="54">
          <cell r="J54">
            <v>0</v>
          </cell>
        </row>
        <row r="55">
          <cell r="J55">
            <v>0.0567</v>
          </cell>
        </row>
        <row r="56">
          <cell r="J56">
            <v>0</v>
          </cell>
        </row>
        <row r="57">
          <cell r="J57">
            <v>0</v>
          </cell>
        </row>
        <row r="58">
          <cell r="J58">
            <v>0.5994</v>
          </cell>
        </row>
        <row r="59">
          <cell r="J59">
            <v>0.6471</v>
          </cell>
        </row>
        <row r="60">
          <cell r="J60">
            <v>0.6246</v>
          </cell>
        </row>
        <row r="61">
          <cell r="J61">
            <v>0.36</v>
          </cell>
        </row>
        <row r="63">
          <cell r="J63">
            <v>0</v>
          </cell>
        </row>
        <row r="64">
          <cell r="J64">
            <v>0</v>
          </cell>
        </row>
        <row r="66">
          <cell r="J66">
            <v>0</v>
          </cell>
        </row>
        <row r="67">
          <cell r="J67">
            <v>0.6543</v>
          </cell>
        </row>
        <row r="68">
          <cell r="J68">
            <v>0</v>
          </cell>
        </row>
        <row r="69">
          <cell r="J69">
            <v>0.432</v>
          </cell>
        </row>
        <row r="70">
          <cell r="J70">
            <v>0.2007</v>
          </cell>
        </row>
        <row r="71">
          <cell r="J71">
            <v>0.2007</v>
          </cell>
        </row>
        <row r="72">
          <cell r="J72">
            <v>0.891</v>
          </cell>
        </row>
        <row r="73">
          <cell r="J73">
            <v>0.891</v>
          </cell>
        </row>
        <row r="75">
          <cell r="J75">
            <v>0.891</v>
          </cell>
        </row>
        <row r="76">
          <cell r="J76">
            <v>0.891</v>
          </cell>
        </row>
        <row r="77">
          <cell r="J77">
            <v>0.891</v>
          </cell>
        </row>
        <row r="78">
          <cell r="J78">
            <v>0.891</v>
          </cell>
        </row>
        <row r="79">
          <cell r="J79">
            <v>0.891</v>
          </cell>
        </row>
        <row r="80">
          <cell r="J80">
            <v>0</v>
          </cell>
        </row>
        <row r="81">
          <cell r="J81">
            <v>0</v>
          </cell>
        </row>
        <row r="82">
          <cell r="J82">
            <v>0.891</v>
          </cell>
        </row>
        <row r="83">
          <cell r="J83">
            <v>0.891</v>
          </cell>
        </row>
        <row r="84">
          <cell r="J84">
            <v>0</v>
          </cell>
        </row>
        <row r="85">
          <cell r="J85">
            <v>0.2061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0.891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</sheetData>
      <sheetData sheetId="7">
        <row r="5">
          <cell r="HM5">
            <v>1</v>
          </cell>
          <cell r="HN5">
            <v>2</v>
          </cell>
          <cell r="HO5">
            <v>3</v>
          </cell>
          <cell r="HP5">
            <v>4</v>
          </cell>
          <cell r="HQ5">
            <v>5</v>
          </cell>
          <cell r="HR5">
            <v>6</v>
          </cell>
          <cell r="HS5">
            <v>7</v>
          </cell>
          <cell r="HT5">
            <v>8</v>
          </cell>
          <cell r="HU5">
            <v>9</v>
          </cell>
          <cell r="HV5">
            <v>10</v>
          </cell>
          <cell r="HW5">
            <v>11</v>
          </cell>
          <cell r="HX5">
            <v>12</v>
          </cell>
          <cell r="HY5">
            <v>13</v>
          </cell>
          <cell r="HZ5">
            <v>14</v>
          </cell>
          <cell r="IA5">
            <v>15</v>
          </cell>
          <cell r="IB5">
            <v>16</v>
          </cell>
          <cell r="IC5">
            <v>17</v>
          </cell>
          <cell r="ID5">
            <v>18</v>
          </cell>
          <cell r="IE5">
            <v>19</v>
          </cell>
          <cell r="IF5">
            <v>20</v>
          </cell>
          <cell r="IG5">
            <v>21</v>
          </cell>
          <cell r="IH5">
            <v>22</v>
          </cell>
          <cell r="II5">
            <v>23</v>
          </cell>
          <cell r="IJ5">
            <v>24</v>
          </cell>
          <cell r="IK5">
            <v>25</v>
          </cell>
          <cell r="IL5">
            <v>26</v>
          </cell>
          <cell r="IM5">
            <v>27</v>
          </cell>
          <cell r="IN5">
            <v>28</v>
          </cell>
          <cell r="IO5">
            <v>29</v>
          </cell>
          <cell r="IP5">
            <v>30</v>
          </cell>
          <cell r="IQ5">
            <v>31</v>
          </cell>
          <cell r="IR5">
            <v>32</v>
          </cell>
          <cell r="IS5">
            <v>33</v>
          </cell>
          <cell r="IT5">
            <v>34</v>
          </cell>
          <cell r="IU5">
            <v>35</v>
          </cell>
          <cell r="IV5">
            <v>36</v>
          </cell>
          <cell r="IW5">
            <v>37</v>
          </cell>
          <cell r="IX5">
            <v>38</v>
          </cell>
          <cell r="IY5">
            <v>39</v>
          </cell>
          <cell r="IZ5">
            <v>40</v>
          </cell>
          <cell r="JA5">
            <v>41</v>
          </cell>
          <cell r="JB5">
            <v>42</v>
          </cell>
          <cell r="JC5">
            <v>43</v>
          </cell>
          <cell r="JD5">
            <v>44</v>
          </cell>
          <cell r="JE5">
            <v>45</v>
          </cell>
          <cell r="JF5">
            <v>46</v>
          </cell>
          <cell r="JG5">
            <v>47</v>
          </cell>
          <cell r="JH5">
            <v>48</v>
          </cell>
          <cell r="JI5">
            <v>49</v>
          </cell>
          <cell r="JJ5">
            <v>50</v>
          </cell>
          <cell r="JK5">
            <v>51</v>
          </cell>
          <cell r="JL5">
            <v>52</v>
          </cell>
          <cell r="JM5">
            <v>53</v>
          </cell>
          <cell r="JN5">
            <v>54</v>
          </cell>
          <cell r="JO5">
            <v>55</v>
          </cell>
          <cell r="JP5">
            <v>56</v>
          </cell>
          <cell r="JQ5">
            <v>57</v>
          </cell>
          <cell r="JR5">
            <v>58</v>
          </cell>
          <cell r="JS5">
            <v>59</v>
          </cell>
          <cell r="JT5">
            <v>60</v>
          </cell>
          <cell r="JU5">
            <v>61</v>
          </cell>
          <cell r="JV5">
            <v>62</v>
          </cell>
          <cell r="JW5">
            <v>63</v>
          </cell>
          <cell r="JX5">
            <v>64</v>
          </cell>
          <cell r="JY5">
            <v>65</v>
          </cell>
          <cell r="JZ5">
            <v>66</v>
          </cell>
          <cell r="KA5">
            <v>67</v>
          </cell>
          <cell r="KB5">
            <v>68</v>
          </cell>
          <cell r="KC5">
            <v>69</v>
          </cell>
          <cell r="KD5">
            <v>70</v>
          </cell>
          <cell r="KE5">
            <v>71</v>
          </cell>
        </row>
        <row r="6">
          <cell r="HM6" t="str">
            <v>FP - Pills</v>
          </cell>
          <cell r="HN6" t="str">
            <v>FP - Condoms</v>
          </cell>
          <cell r="HO6" t="str">
            <v>FP - Injectables</v>
          </cell>
          <cell r="HP6" t="str">
            <v>FP - Implants</v>
          </cell>
          <cell r="HQ6" t="str">
            <v>FP - IUD</v>
          </cell>
          <cell r="HR6" t="str">
            <v>FP - Female Sterilization</v>
          </cell>
          <cell r="HS6" t="str">
            <v>FP - Male Sterilization</v>
          </cell>
          <cell r="HT6" t="str">
            <v>FP - Traditional Methods</v>
          </cell>
          <cell r="HU6" t="str">
            <v>Antenatal care (at least 1 visit)</v>
          </cell>
          <cell r="HV6" t="str">
            <v>Antenatal care (at least 4 visits)</v>
          </cell>
          <cell r="HW6" t="str">
            <v>TT - Tetanus toxoid vaccination</v>
          </cell>
          <cell r="HX6" t="str">
            <v>IPTp - Intermittent preventive treatment of malaria during pregnancy</v>
          </cell>
          <cell r="HY6" t="str">
            <v>Syphilis detection and treatment</v>
          </cell>
          <cell r="HZ6" t="str">
            <v>Calcium supplementation</v>
          </cell>
          <cell r="IA6" t="str">
            <v>Iron and folate supplementation in pregnancy</v>
          </cell>
          <cell r="IB6" t="str">
            <v>Multiple micronutrient supplementation in pregnancy</v>
          </cell>
          <cell r="IC6" t="str">
            <v>Balanced energy supplementation</v>
          </cell>
          <cell r="ID6" t="str">
            <v>Hypertensive disorder case management</v>
          </cell>
          <cell r="IE6" t="str">
            <v>Diabetes case management</v>
          </cell>
          <cell r="IF6" t="str">
            <v>Malaria case management</v>
          </cell>
          <cell r="IG6" t="str">
            <v>MgSO4 management of pre-eclampsia</v>
          </cell>
          <cell r="IH6" t="str">
            <v>Health Facility Delivery</v>
          </cell>
          <cell r="II6" t="str">
            <v>Clean birth environment</v>
          </cell>
          <cell r="IJ6" t="str">
            <v>Manual removal of placenta</v>
          </cell>
          <cell r="IK6" t="str">
            <v>MgSO4 management of eclampsia</v>
          </cell>
          <cell r="IL6" t="str">
            <v>Antibiotics for preterm or prolonged PROM</v>
          </cell>
          <cell r="IM6" t="str">
            <v>Parenteral administration of antibiotics</v>
          </cell>
          <cell r="IN6" t="str">
            <v>Assisted vaginal delivery</v>
          </cell>
          <cell r="IO6" t="str">
            <v>Active management of third stage of labor (AMTSL)</v>
          </cell>
          <cell r="IP6" t="str">
            <v>Removal of retained products of conception</v>
          </cell>
          <cell r="IQ6" t="str">
            <v>Induction of labor for pregnancies lasting 41+ weeks</v>
          </cell>
          <cell r="IR6" t="str">
            <v>Antenatal corticosteroids for preterm labor</v>
          </cell>
          <cell r="IS6" t="str">
            <v>Maternal sepsis case management</v>
          </cell>
          <cell r="IT6" t="str">
            <v>Safe abortion services</v>
          </cell>
          <cell r="IU6" t="str">
            <v>Post abortion case management</v>
          </cell>
          <cell r="IV6" t="str">
            <v>Cesarean delivery</v>
          </cell>
          <cell r="IW6" t="str">
            <v>Blood transfusion</v>
          </cell>
          <cell r="IX6" t="str">
            <v>Ectopic pregnancy case management</v>
          </cell>
          <cell r="IY6" t="str">
            <v>Immediate drying and additional stimulation</v>
          </cell>
          <cell r="IZ6" t="str">
            <v>Thermal protection</v>
          </cell>
          <cell r="JA6" t="str">
            <v>Clean cord care</v>
          </cell>
          <cell r="JB6" t="str">
            <v>Neonatal resuscitation</v>
          </cell>
          <cell r="JC6" t="str">
            <v>Kangaroo-Mother Care (KMC)</v>
          </cell>
          <cell r="JD6" t="str">
            <v>Full supportive care of prematurity</v>
          </cell>
          <cell r="JE6" t="str">
            <v>Oral antibiotics for neonatal sepsis</v>
          </cell>
          <cell r="JF6" t="str">
            <v>Injectable antibiotics for neonatal sepsis</v>
          </cell>
          <cell r="JG6" t="str">
            <v>Full supportive care for neonatal sepsis/pneumonia</v>
          </cell>
          <cell r="JH6" t="str">
            <v>Breastfeeding</v>
          </cell>
          <cell r="JI6" t="str">
            <v>Complementary feeding - Education only</v>
          </cell>
          <cell r="JJ6" t="str">
            <v>Complementary feeding - Supplementary feeding + Education</v>
          </cell>
          <cell r="JK6" t="str">
            <v>BCG - Single dose</v>
          </cell>
          <cell r="JL6" t="str">
            <v>Polio - Three doses</v>
          </cell>
          <cell r="JM6" t="str">
            <v>DPT - Three doses</v>
          </cell>
          <cell r="JN6" t="str">
            <v>Hib - Three doses</v>
          </cell>
          <cell r="JO6" t="str">
            <v>HepB - Three doses</v>
          </cell>
          <cell r="JP6" t="str">
            <v>Pneumococcal - Three doses</v>
          </cell>
          <cell r="JQ6" t="str">
            <v>Rotavirus - Two doses</v>
          </cell>
          <cell r="JR6" t="str">
            <v>Meningococcal A - Single dose</v>
          </cell>
          <cell r="JS6" t="str">
            <v>Malaria vaccine - Three doses</v>
          </cell>
          <cell r="JT6" t="str">
            <v>Measles - Single dose</v>
          </cell>
          <cell r="JU6" t="str">
            <v>Vitamin A supplementation</v>
          </cell>
          <cell r="JV6" t="str">
            <v>Zinc supplementation</v>
          </cell>
          <cell r="JW6" t="str">
            <v>ORS - Oral Rehydration Solution</v>
          </cell>
          <cell r="JX6" t="str">
            <v>Antibiotics for treatment of dysentery</v>
          </cell>
          <cell r="JY6" t="str">
            <v>Zinc for treatment of diarrhea</v>
          </cell>
          <cell r="JZ6" t="str">
            <v>Oral antibiotics for pneumonia</v>
          </cell>
          <cell r="KA6" t="str">
            <v>Vitamin A for treatment of measles</v>
          </cell>
          <cell r="KB6" t="str">
            <v>ACTs - Artemisinin compounds for treatment of malaria</v>
          </cell>
          <cell r="KC6" t="str">
            <v>SAM - treatment for severe acute malnutrition</v>
          </cell>
          <cell r="KD6" t="str">
            <v>MAM - treatment for moderate acute malnutrition</v>
          </cell>
          <cell r="KE6" t="str">
            <v>ITN/IRS - Households protected from malaria</v>
          </cell>
        </row>
        <row r="7">
          <cell r="HM7">
            <v>0.16</v>
          </cell>
          <cell r="HN7">
            <v>0.16</v>
          </cell>
          <cell r="HO7">
            <v>0.16</v>
          </cell>
          <cell r="HP7">
            <v>0.16</v>
          </cell>
          <cell r="HQ7">
            <v>0.16</v>
          </cell>
          <cell r="HR7">
            <v>0.16</v>
          </cell>
          <cell r="HS7">
            <v>0.16</v>
          </cell>
          <cell r="HT7">
            <v>0.16</v>
          </cell>
          <cell r="HU7">
            <v>0.16</v>
          </cell>
          <cell r="HV7">
            <v>0.16</v>
          </cell>
          <cell r="HW7">
            <v>0.16</v>
          </cell>
          <cell r="HX7">
            <v>0.16</v>
          </cell>
          <cell r="HY7">
            <v>0.16</v>
          </cell>
          <cell r="HZ7">
            <v>0.16</v>
          </cell>
          <cell r="IA7">
            <v>0.16</v>
          </cell>
          <cell r="IB7">
            <v>0.16</v>
          </cell>
          <cell r="IC7">
            <v>0.16</v>
          </cell>
          <cell r="ID7">
            <v>0.16</v>
          </cell>
          <cell r="IE7">
            <v>0.16</v>
          </cell>
          <cell r="IF7">
            <v>0.16</v>
          </cell>
          <cell r="IG7">
            <v>0.16</v>
          </cell>
          <cell r="IH7">
            <v>0.16</v>
          </cell>
          <cell r="II7">
            <v>0.16</v>
          </cell>
          <cell r="IJ7">
            <v>0.16</v>
          </cell>
          <cell r="IK7">
            <v>0.16</v>
          </cell>
          <cell r="IL7">
            <v>0.16</v>
          </cell>
          <cell r="IM7">
            <v>0.16</v>
          </cell>
          <cell r="IN7">
            <v>0.16</v>
          </cell>
          <cell r="IO7">
            <v>0.16</v>
          </cell>
          <cell r="IP7">
            <v>0.16</v>
          </cell>
          <cell r="IQ7">
            <v>0.16</v>
          </cell>
          <cell r="IR7">
            <v>0.16</v>
          </cell>
          <cell r="IS7">
            <v>0.16</v>
          </cell>
          <cell r="IT7">
            <v>0.16</v>
          </cell>
          <cell r="IU7">
            <v>0.16</v>
          </cell>
          <cell r="IV7">
            <v>0.16</v>
          </cell>
          <cell r="IW7">
            <v>0.16</v>
          </cell>
          <cell r="IX7">
            <v>0.16</v>
          </cell>
          <cell r="IY7">
            <v>0.16</v>
          </cell>
          <cell r="IZ7">
            <v>0.16</v>
          </cell>
          <cell r="JA7">
            <v>0.16</v>
          </cell>
          <cell r="JB7">
            <v>0.16</v>
          </cell>
          <cell r="JC7">
            <v>0.16</v>
          </cell>
          <cell r="JD7">
            <v>0.16</v>
          </cell>
          <cell r="JE7">
            <v>0.16</v>
          </cell>
          <cell r="JF7">
            <v>0.16</v>
          </cell>
          <cell r="JG7">
            <v>0.16</v>
          </cell>
          <cell r="JH7">
            <v>0.16</v>
          </cell>
          <cell r="JI7">
            <v>0.16</v>
          </cell>
          <cell r="JJ7">
            <v>0.16</v>
          </cell>
          <cell r="JK7">
            <v>0.16</v>
          </cell>
          <cell r="JL7">
            <v>0.16</v>
          </cell>
          <cell r="JM7">
            <v>0.16</v>
          </cell>
          <cell r="JN7">
            <v>0.16</v>
          </cell>
          <cell r="JO7">
            <v>0.16</v>
          </cell>
          <cell r="JP7">
            <v>0.16</v>
          </cell>
          <cell r="JQ7">
            <v>0.16</v>
          </cell>
          <cell r="JR7">
            <v>0.16</v>
          </cell>
          <cell r="JS7">
            <v>0.16</v>
          </cell>
          <cell r="JT7">
            <v>0.16</v>
          </cell>
          <cell r="JU7">
            <v>0.16</v>
          </cell>
          <cell r="JV7">
            <v>0.16</v>
          </cell>
          <cell r="JW7">
            <v>0.16</v>
          </cell>
          <cell r="JX7">
            <v>0.16</v>
          </cell>
          <cell r="JY7">
            <v>0.16</v>
          </cell>
          <cell r="JZ7">
            <v>0.16</v>
          </cell>
          <cell r="KA7">
            <v>0.16</v>
          </cell>
          <cell r="KB7">
            <v>0.16</v>
          </cell>
          <cell r="KC7">
            <v>0.16</v>
          </cell>
          <cell r="KD7">
            <v>0.16</v>
          </cell>
          <cell r="KE7">
            <v>0.16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8"/>
  <sheetViews>
    <sheetView tabSelected="1" zoomScale="25" zoomScaleNormal="25" topLeftCell="D1" workbookViewId="0">
      <selection activeCell="AB29" sqref="AB29"/>
    </sheetView>
  </sheetViews>
  <sheetFormatPr defaultColWidth="9.91818181818182" defaultRowHeight="14"/>
  <cols>
    <col min="1" max="3" width="4.36363636363636" style="1" hidden="1" customWidth="1"/>
    <col min="4" max="4" width="136.545454545455" style="1" customWidth="1"/>
    <col min="5" max="5" width="69.2727272727273" style="1" customWidth="1"/>
    <col min="6" max="7" width="8" style="1" customWidth="1"/>
    <col min="8" max="8" width="8.36363636363636" style="1" customWidth="1"/>
    <col min="9" max="9" width="8.45454545454546" style="1" customWidth="1"/>
    <col min="10" max="10" width="7.90909090909091" style="1" customWidth="1"/>
    <col min="11" max="11" width="9.81818181818182" style="1" customWidth="1"/>
    <col min="12" max="12" width="9.45454545454546" style="1" customWidth="1" outlineLevel="1"/>
    <col min="13" max="13" width="8" style="1" customWidth="1" outlineLevel="1"/>
    <col min="14" max="14" width="8.36363636363636" style="1" customWidth="1" outlineLevel="1"/>
    <col min="15" max="16" width="9.45454545454546" style="1" customWidth="1" outlineLevel="1"/>
    <col min="17" max="17" width="9.81818181818182" style="1" customWidth="1" outlineLevel="1"/>
    <col min="18" max="18" width="9.91818181818182" style="1" collapsed="1"/>
    <col min="19" max="16377" width="9.91818181818182" style="1"/>
  </cols>
  <sheetData>
    <row r="1" s="1" customFormat="1" ht="20" spans="1:5">
      <c r="A1" s="2" t="s">
        <v>0</v>
      </c>
      <c r="B1" s="2"/>
      <c r="C1" s="2"/>
      <c r="D1" s="3" t="s">
        <v>1</v>
      </c>
      <c r="E1" s="4"/>
    </row>
    <row r="2" s="1" customFormat="1" spans="1:17">
      <c r="A2" s="5"/>
      <c r="B2" s="5"/>
      <c r="C2" s="5"/>
      <c r="D2" s="6"/>
      <c r="E2" s="7"/>
      <c r="F2" s="8" t="s">
        <v>2</v>
      </c>
      <c r="G2" s="9"/>
      <c r="H2" s="9"/>
      <c r="I2" s="9"/>
      <c r="J2" s="9"/>
      <c r="K2" s="9"/>
      <c r="L2" s="48" t="s">
        <v>3</v>
      </c>
      <c r="M2" s="48"/>
      <c r="N2" s="48"/>
      <c r="O2" s="48"/>
      <c r="P2" s="48"/>
      <c r="Q2" s="48"/>
    </row>
    <row r="3" s="1" customFormat="1" ht="46" spans="1:17">
      <c r="A3" s="5" t="s">
        <v>4</v>
      </c>
      <c r="B3" s="5" t="s">
        <v>5</v>
      </c>
      <c r="C3" s="5" t="s">
        <v>6</v>
      </c>
      <c r="D3" s="6"/>
      <c r="E3" s="7"/>
      <c r="F3" s="10" t="s">
        <v>7</v>
      </c>
      <c r="G3" s="10" t="s">
        <v>8</v>
      </c>
      <c r="H3" s="11" t="s">
        <v>9</v>
      </c>
      <c r="I3" s="11" t="s">
        <v>10</v>
      </c>
      <c r="J3" s="11" t="s">
        <v>11</v>
      </c>
      <c r="K3" s="11" t="s">
        <v>12</v>
      </c>
      <c r="L3" s="10" t="s">
        <v>7</v>
      </c>
      <c r="M3" s="10" t="s">
        <v>8</v>
      </c>
      <c r="N3" s="11" t="s">
        <v>9</v>
      </c>
      <c r="O3" s="11" t="s">
        <v>10</v>
      </c>
      <c r="P3" s="11" t="s">
        <v>11</v>
      </c>
      <c r="Q3" s="11" t="s">
        <v>12</v>
      </c>
    </row>
    <row r="4" s="1" customFormat="1" spans="1:17">
      <c r="A4" s="12"/>
      <c r="B4" s="13">
        <v>0</v>
      </c>
      <c r="C4" s="13">
        <v>0</v>
      </c>
      <c r="D4" s="14" t="s">
        <v>13</v>
      </c>
      <c r="E4" s="15" t="s">
        <v>14</v>
      </c>
      <c r="F4" s="16">
        <f t="shared" ref="F4:Q4" si="0">SUM(F5:F12)</f>
        <v>0.65735509</v>
      </c>
      <c r="G4" s="16">
        <f t="shared" si="0"/>
        <v>0.46039819</v>
      </c>
      <c r="H4" s="16">
        <f t="shared" ref="H4:H46" si="1">G4</f>
        <v>0.46039819</v>
      </c>
      <c r="I4" s="49">
        <f t="shared" si="0"/>
        <v>0.5186265378</v>
      </c>
      <c r="J4" s="16">
        <f t="shared" si="0"/>
        <v>0.591619581</v>
      </c>
      <c r="K4" s="49">
        <f t="shared" si="0"/>
        <v>0.68627871396</v>
      </c>
      <c r="L4" s="50">
        <f t="shared" si="0"/>
        <v>1334500</v>
      </c>
      <c r="M4" s="50">
        <f t="shared" si="0"/>
        <v>882100</v>
      </c>
      <c r="N4" s="50">
        <f t="shared" si="0"/>
        <v>887200</v>
      </c>
      <c r="O4" s="50">
        <f t="shared" si="0"/>
        <v>1020700</v>
      </c>
      <c r="P4" s="50">
        <f t="shared" si="0"/>
        <v>1216600</v>
      </c>
      <c r="Q4" s="50">
        <f t="shared" si="0"/>
        <v>1411200</v>
      </c>
    </row>
    <row r="5" s="1" customFormat="1" spans="1:17">
      <c r="A5" s="12" t="str">
        <f>IF(VLOOKUP(B5,'[1]1. Select Services'!$A$6:$E$77,5,FALSE)="x","x","")</f>
        <v>x</v>
      </c>
      <c r="B5" s="13">
        <v>1</v>
      </c>
      <c r="C5" s="13">
        <v>7</v>
      </c>
      <c r="D5" s="14"/>
      <c r="E5" s="15" t="s">
        <v>15</v>
      </c>
      <c r="F5" s="16">
        <f>VLOOKUP(B5,'[1]Review Dem +Epi Data'!$B$14:$F$21,5,FALSE)</f>
        <v>0.50341753</v>
      </c>
      <c r="G5" s="16" cm="1">
        <f t="array" ref="G5">IF(Package=1,$F5*(1-'[1]2. COVID Impact on Coverage'!$E$7),$F5*(1-VLOOKUP(B5,'[1]2. COVID Impact on Coverage'!$B$19:$I$92,8,FALSE)))</f>
        <v>0.3221872192</v>
      </c>
      <c r="H5" s="16">
        <f t="shared" si="1"/>
        <v>0.3221872192</v>
      </c>
      <c r="I5" s="49">
        <f>MIN($H5*(1+HLOOKUP($B5,'[1]3. Mitigation Impact on Coverag'!$HM$5:$KE$7,3,FALSE)),IF(F5*102%&gt;100%,100%,F5*102%))</f>
        <v>0.373737174272</v>
      </c>
      <c r="J5" s="16">
        <f>'[1]2a. Coverage General Recovery'!J20</f>
        <v>0.453075777</v>
      </c>
      <c r="K5" s="49">
        <f>MIN($J5*(1+HLOOKUP($B5,'[1]3. Mitigation Impact on Coverag'!$HM$5:$KE$7,3,FALSE)),100%)</f>
        <v>0.52556790132</v>
      </c>
      <c r="L5" s="50">
        <f>ROUND(VLOOKUP($B5,'[1]Review Dem +Epi Data'!$B$14:$J$94,7,FALSE)*$F5,-2)</f>
        <v>1264400</v>
      </c>
      <c r="M5" s="50">
        <f>ROUND(VLOOKUP($B5,'[1]Review Dem +Epi Data'!$B$14:$J$94,8,FALSE)*$G5,-2)</f>
        <v>814900</v>
      </c>
      <c r="N5" s="50">
        <f>ROUND(VLOOKUP($B5,'[1]Review Dem +Epi Data'!$B$14:$J$94,9,FALSE)*$H5,-2)</f>
        <v>819600</v>
      </c>
      <c r="O5" s="50">
        <f>ROUND(VLOOKUP($B5,'[1]Review Dem +Epi Data'!$B$14:$J$94,9,FALSE)*$I5,-2)</f>
        <v>950800</v>
      </c>
      <c r="P5" s="50">
        <f>ROUND(VLOOKUP($B5,'[1]Review Dem +Epi Data'!$B$14:$J$94,9,FALSE)*$J5,-2)</f>
        <v>1152600</v>
      </c>
      <c r="Q5" s="50">
        <f>ROUND(VLOOKUP($B5,'[1]Review Dem +Epi Data'!$B$14:$J$94,9,FALSE)*$K5,-2)</f>
        <v>1337000</v>
      </c>
    </row>
    <row r="6" s="1" customFormat="1" spans="1:17">
      <c r="A6" s="12" t="str">
        <f>IF(VLOOKUP(B6,'[1]1. Select Services'!$A$6:$E$77,5,FALSE)="x","x","")</f>
        <v>x</v>
      </c>
      <c r="B6" s="13">
        <v>2</v>
      </c>
      <c r="C6" s="13">
        <v>1</v>
      </c>
      <c r="D6" s="14"/>
      <c r="E6" s="15" t="s">
        <v>16</v>
      </c>
      <c r="F6" s="16">
        <f>VLOOKUP(B6,'[1]Review Dem +Epi Data'!$B$14:$F$21,5,FALSE)</f>
        <v>0</v>
      </c>
      <c r="G6" s="16" cm="1">
        <f t="array" ref="G6">IF(Package=1,$F6*(1-'[1]2. COVID Impact on Coverage'!$E$7),$F6*(1-VLOOKUP(B6,'[1]2. COVID Impact on Coverage'!$B$19:$I$92,8,FALSE)))</f>
        <v>0</v>
      </c>
      <c r="H6" s="16">
        <f t="shared" si="1"/>
        <v>0</v>
      </c>
      <c r="I6" s="51">
        <f>MIN($H6*(1+HLOOKUP($B6,'[1]3. Mitigation Impact on Coverag'!$HM$5:$KE$7,3,FALSE)),IF(F6*102%&gt;100%,100%,F6*102%))</f>
        <v>0</v>
      </c>
      <c r="J6" s="16">
        <f>'[1]2a. Coverage General Recovery'!J21</f>
        <v>0</v>
      </c>
      <c r="K6" s="49">
        <f>MIN($J6*(1+HLOOKUP($B6,'[1]3. Mitigation Impact on Coverag'!$HM$5:$KE$7,3,FALSE)),100%)</f>
        <v>0</v>
      </c>
      <c r="L6" s="50">
        <f>ROUND(VLOOKUP($B6,'[1]Review Dem +Epi Data'!$B$14:$J$94,7,FALSE)*$F6,-2)</f>
        <v>0</v>
      </c>
      <c r="M6" s="50">
        <f>ROUND(VLOOKUP($B6,'[1]Review Dem +Epi Data'!$B$14:$J$94,8,FALSE)*$G6,-2)</f>
        <v>0</v>
      </c>
      <c r="N6" s="50">
        <f>ROUND(VLOOKUP($B6,'[1]Review Dem +Epi Data'!$B$14:$J$94,9,FALSE)*$H6,-2)</f>
        <v>0</v>
      </c>
      <c r="O6" s="50">
        <f>ROUND(VLOOKUP($B6,'[1]Review Dem +Epi Data'!$B$14:$J$94,9,FALSE)*$I6,-2)</f>
        <v>0</v>
      </c>
      <c r="P6" s="50">
        <f>ROUND(VLOOKUP($B6,'[1]Review Dem +Epi Data'!$B$14:$J$94,9,FALSE)*$J6,-2)</f>
        <v>0</v>
      </c>
      <c r="Q6" s="50">
        <f>ROUND(VLOOKUP($B6,'[1]Review Dem +Epi Data'!$B$14:$J$94,9,FALSE)*$K6,-2)</f>
        <v>0</v>
      </c>
    </row>
    <row r="7" s="1" customFormat="1" spans="1:17">
      <c r="A7" s="12" t="str">
        <f>IF(VLOOKUP(B7,'[1]1. Select Services'!$A$6:$E$77,5,FALSE)="x","x","")</f>
        <v/>
      </c>
      <c r="B7" s="13">
        <v>3</v>
      </c>
      <c r="C7" s="13">
        <v>4</v>
      </c>
      <c r="D7" s="14"/>
      <c r="E7" s="15" t="s">
        <v>17</v>
      </c>
      <c r="F7" s="16">
        <f>VLOOKUP(B7,'[1]Review Dem +Epi Data'!$B$14:$F$21,5,FALSE)</f>
        <v>0</v>
      </c>
      <c r="G7" s="16" cm="1">
        <f t="array" ref="G7">IF(Package=1,$F7*(1-'[1]2. COVID Impact on Coverage'!$E$7),$F7*(1-VLOOKUP(B7,'[1]2. COVID Impact on Coverage'!$B$19:$I$92,8,FALSE)))</f>
        <v>0</v>
      </c>
      <c r="H7" s="16">
        <f t="shared" si="1"/>
        <v>0</v>
      </c>
      <c r="I7" s="49">
        <f>MIN($H7*(1+HLOOKUP($B7,'[1]3. Mitigation Impact on Coverag'!$HM$5:$KE$7,3,FALSE)),IF(F7*102%&gt;100%,100%,F7*102%))</f>
        <v>0</v>
      </c>
      <c r="J7" s="16">
        <f>'[1]2a. Coverage General Recovery'!J22</f>
        <v>0</v>
      </c>
      <c r="K7" s="49">
        <f>MIN($J7*(1+HLOOKUP($B7,'[1]3. Mitigation Impact on Coverag'!$HM$5:$KE$7,3,FALSE)),100%)</f>
        <v>0</v>
      </c>
      <c r="L7" s="50">
        <f>ROUND(VLOOKUP($B7,'[1]Review Dem +Epi Data'!$B$14:$J$94,7,FALSE)*$F7,-2)</f>
        <v>0</v>
      </c>
      <c r="M7" s="50">
        <f>ROUND(VLOOKUP($B7,'[1]Review Dem +Epi Data'!$B$14:$J$94,8,FALSE)*$G7,-2)</f>
        <v>0</v>
      </c>
      <c r="N7" s="50">
        <f>ROUND(VLOOKUP($B7,'[1]Review Dem +Epi Data'!$B$14:$J$94,9,FALSE)*$H7,-2)</f>
        <v>0</v>
      </c>
      <c r="O7" s="50">
        <f>ROUND(VLOOKUP($B7,'[1]Review Dem +Epi Data'!$B$14:$J$94,9,FALSE)*$I7,-2)</f>
        <v>0</v>
      </c>
      <c r="P7" s="50">
        <f>ROUND(VLOOKUP($B7,'[1]Review Dem +Epi Data'!$B$14:$J$94,9,FALSE)*$J7,-2)</f>
        <v>0</v>
      </c>
      <c r="Q7" s="50">
        <f>ROUND(VLOOKUP($B7,'[1]Review Dem +Epi Data'!$B$14:$J$94,9,FALSE)*$K7,-2)</f>
        <v>0</v>
      </c>
    </row>
    <row r="8" s="1" customFormat="1" spans="1:17">
      <c r="A8" s="12" t="str">
        <f>IF(VLOOKUP(B8,'[1]1. Select Services'!$A$6:$E$77,5,FALSE)="x","x","")</f>
        <v/>
      </c>
      <c r="B8" s="13">
        <v>4</v>
      </c>
      <c r="C8" s="13">
        <v>5</v>
      </c>
      <c r="D8" s="14"/>
      <c r="E8" s="15" t="s">
        <v>18</v>
      </c>
      <c r="F8" s="16">
        <f>VLOOKUP(B8,'[1]Review Dem +Epi Data'!$B$14:$F$21,5,FALSE)</f>
        <v>0</v>
      </c>
      <c r="G8" s="16" cm="1">
        <f t="array" ref="G8">IF(Package=1,$F8*(1-'[1]2. COVID Impact on Coverage'!$E$7),$F8*(1-VLOOKUP(B8,'[1]2. COVID Impact on Coverage'!$B$19:$I$92,8,FALSE)))</f>
        <v>0</v>
      </c>
      <c r="H8" s="16">
        <f t="shared" si="1"/>
        <v>0</v>
      </c>
      <c r="I8" s="49">
        <f>MIN($H8*(1+HLOOKUP($B8,'[1]3. Mitigation Impact on Coverag'!$HM$5:$KE$7,3,FALSE)),IF(F8*102%&gt;100%,100%,F8*102%))</f>
        <v>0</v>
      </c>
      <c r="J8" s="16">
        <f>'[1]2a. Coverage General Recovery'!J23</f>
        <v>0</v>
      </c>
      <c r="K8" s="49">
        <f>MIN($J8*(1+HLOOKUP($B8,'[1]3. Mitigation Impact on Coverag'!$HM$5:$KE$7,3,FALSE)),100%)</f>
        <v>0</v>
      </c>
      <c r="L8" s="50">
        <f>ROUND(VLOOKUP($B8,'[1]Review Dem +Epi Data'!$B$14:$J$94,7,FALSE)*$F8,-2)</f>
        <v>0</v>
      </c>
      <c r="M8" s="50">
        <f>ROUND(VLOOKUP($B8,'[1]Review Dem +Epi Data'!$B$14:$J$94,8,FALSE)*$G8,-2)</f>
        <v>0</v>
      </c>
      <c r="N8" s="50">
        <f>ROUND(VLOOKUP($B8,'[1]Review Dem +Epi Data'!$B$14:$J$94,9,FALSE)*$H8,-2)</f>
        <v>0</v>
      </c>
      <c r="O8" s="50">
        <f>ROUND(VLOOKUP($B8,'[1]Review Dem +Epi Data'!$B$14:$J$94,9,FALSE)*$I8,-2)</f>
        <v>0</v>
      </c>
      <c r="P8" s="50">
        <f>ROUND(VLOOKUP($B8,'[1]Review Dem +Epi Data'!$B$14:$J$94,9,FALSE)*$J8,-2)</f>
        <v>0</v>
      </c>
      <c r="Q8" s="50">
        <f>ROUND(VLOOKUP($B8,'[1]Review Dem +Epi Data'!$B$14:$J$94,9,FALSE)*$K8,-2)</f>
        <v>0</v>
      </c>
    </row>
    <row r="9" s="1" customFormat="1" spans="1:17">
      <c r="A9" s="12" t="str">
        <f>IF(VLOOKUP(B9,'[1]1. Select Services'!$A$6:$E$77,5,FALSE)="x","x","")</f>
        <v>x</v>
      </c>
      <c r="B9" s="13">
        <v>5</v>
      </c>
      <c r="C9" s="13">
        <v>6</v>
      </c>
      <c r="D9" s="14"/>
      <c r="E9" s="15" t="s">
        <v>19</v>
      </c>
      <c r="F9" s="16">
        <f>VLOOKUP(B9,'[1]Review Dem +Epi Data'!$B$14:$F$21,5,FALSE)</f>
        <v>0.04368497</v>
      </c>
      <c r="G9" s="16" cm="1">
        <f t="array" ref="G9">IF(Package=1,$F9*(1-'[1]2. COVID Impact on Coverage'!$E$7),$F9*(1-VLOOKUP(B9,'[1]2. COVID Impact on Coverage'!$B$19:$I$92,8,FALSE)))</f>
        <v>0.0279583808</v>
      </c>
      <c r="H9" s="16">
        <f t="shared" si="1"/>
        <v>0.0279583808</v>
      </c>
      <c r="I9" s="49">
        <f>MIN($H9*(1+HLOOKUP($B9,'[1]3. Mitigation Impact on Coverag'!$HM$5:$KE$7,3,FALSE)),IF(F9*102%&gt;100%,100%,F9*102%))</f>
        <v>0.032431721728</v>
      </c>
      <c r="J9" s="16">
        <f>'[1]2a. Coverage General Recovery'!J24</f>
        <v>0.039316473</v>
      </c>
      <c r="K9" s="49">
        <f>MIN($J9*(1+HLOOKUP($B9,'[1]3. Mitigation Impact on Coverag'!$HM$5:$KE$7,3,FALSE)),100%)</f>
        <v>0.04560710868</v>
      </c>
      <c r="L9" s="50">
        <f>ROUND(VLOOKUP($B9,'[1]Review Dem +Epi Data'!$B$14:$J$94,7,FALSE)*$F9,-2)</f>
        <v>9500</v>
      </c>
      <c r="M9" s="50">
        <f>ROUND(VLOOKUP($B9,'[1]Review Dem +Epi Data'!$B$14:$J$94,8,FALSE)*$G9,-2)</f>
        <v>6100</v>
      </c>
      <c r="N9" s="50">
        <f>ROUND(VLOOKUP($B9,'[1]Review Dem +Epi Data'!$B$14:$J$94,9,FALSE)*$H9,-2)</f>
        <v>6200</v>
      </c>
      <c r="O9" s="50">
        <f>ROUND(VLOOKUP($B9,'[1]Review Dem +Epi Data'!$B$14:$J$94,9,FALSE)*$I9,-2)</f>
        <v>7200</v>
      </c>
      <c r="P9" s="50">
        <f>ROUND(VLOOKUP($B9,'[1]Review Dem +Epi Data'!$B$14:$J$94,9,FALSE)*$J9,-2)</f>
        <v>8700</v>
      </c>
      <c r="Q9" s="50">
        <f>ROUND(VLOOKUP($B9,'[1]Review Dem +Epi Data'!$B$14:$J$94,9,FALSE)*$K9,-2)</f>
        <v>10100</v>
      </c>
    </row>
    <row r="10" s="1" customFormat="1" spans="1:17">
      <c r="A10" s="12" t="str">
        <f>IF(VLOOKUP(B10,'[1]1. Select Services'!$A$6:$E$77,5,FALSE)="x","x","")</f>
        <v>x</v>
      </c>
      <c r="B10" s="13">
        <v>6</v>
      </c>
      <c r="C10" s="13">
        <v>2</v>
      </c>
      <c r="D10" s="14"/>
      <c r="E10" s="15" t="s">
        <v>20</v>
      </c>
      <c r="F10" s="16">
        <f>VLOOKUP(B10,'[1]Review Dem +Epi Data'!$B$14:$F$21,5,FALSE)</f>
        <v>0</v>
      </c>
      <c r="G10" s="16" cm="1">
        <f t="array" ref="G10">IF(Package=1,$F10*(1-'[1]2. COVID Impact on Coverage'!$E$7),$F10*(1-VLOOKUP(B10,'[1]2. COVID Impact on Coverage'!$B$19:$I$92,8,FALSE)))</f>
        <v>0</v>
      </c>
      <c r="H10" s="16">
        <f t="shared" si="1"/>
        <v>0</v>
      </c>
      <c r="I10" s="49">
        <f>MIN($H10*(1+HLOOKUP($B10,'[1]3. Mitigation Impact on Coverag'!$HM$5:$KE$7,3,FALSE)),IF(F10*102%&gt;100%,100%,F10*102%))</f>
        <v>0</v>
      </c>
      <c r="J10" s="16">
        <f>'[1]2a. Coverage General Recovery'!J25</f>
        <v>0</v>
      </c>
      <c r="K10" s="49">
        <f>MIN($J10*(1+HLOOKUP($B10,'[1]3. Mitigation Impact on Coverag'!$HM$5:$KE$7,3,FALSE)),100%)</f>
        <v>0</v>
      </c>
      <c r="L10" s="50">
        <f>ROUND(VLOOKUP($B10,'[1]Review Dem +Epi Data'!$B$14:$J$94,7,FALSE)*$F10,-2)</f>
        <v>0</v>
      </c>
      <c r="M10" s="50">
        <f>ROUND(VLOOKUP($B10,'[1]Review Dem +Epi Data'!$B$14:$J$94,8,FALSE)*$G10,-2)</f>
        <v>0</v>
      </c>
      <c r="N10" s="50">
        <f>ROUND(VLOOKUP($B10,'[1]Review Dem +Epi Data'!$B$14:$J$94,9,FALSE)*$H10,-2)</f>
        <v>0</v>
      </c>
      <c r="O10" s="50">
        <f>ROUND(VLOOKUP($B10,'[1]Review Dem +Epi Data'!$B$14:$J$94,9,FALSE)*$I10,-2)</f>
        <v>0</v>
      </c>
      <c r="P10" s="50">
        <f>ROUND(VLOOKUP($B10,'[1]Review Dem +Epi Data'!$B$14:$J$94,9,FALSE)*$J10,-2)</f>
        <v>0</v>
      </c>
      <c r="Q10" s="50">
        <f>ROUND(VLOOKUP($B10,'[1]Review Dem +Epi Data'!$B$14:$J$94,9,FALSE)*$K10,-2)</f>
        <v>0</v>
      </c>
    </row>
    <row r="11" s="1" customFormat="1" spans="1:17">
      <c r="A11" s="12" t="str">
        <f>IF(VLOOKUP(B11,'[1]1. Select Services'!$A$6:$E$77,5,FALSE)="x","x","")</f>
        <v/>
      </c>
      <c r="B11" s="13">
        <v>7</v>
      </c>
      <c r="C11" s="13">
        <v>3</v>
      </c>
      <c r="D11" s="14"/>
      <c r="E11" s="15" t="s">
        <v>21</v>
      </c>
      <c r="F11" s="16">
        <f>VLOOKUP(B11,'[1]Review Dem +Epi Data'!$B$14:$F$21,5,FALSE)</f>
        <v>0</v>
      </c>
      <c r="G11" s="16" cm="1">
        <f t="array" ref="G11">IF(Package=1,$F11*(1-'[1]2. COVID Impact on Coverage'!$E$7),$F11*(1-VLOOKUP(B11,'[1]2. COVID Impact on Coverage'!$B$19:$I$92,8,FALSE)))</f>
        <v>0</v>
      </c>
      <c r="H11" s="16">
        <f t="shared" si="1"/>
        <v>0</v>
      </c>
      <c r="I11" s="49">
        <f>MIN($H11*(1+HLOOKUP($B11,'[1]3. Mitigation Impact on Coverag'!$HM$5:$KE$7,3,FALSE)),IF(F11*102%&gt;100%,100%,F11*102%))</f>
        <v>0</v>
      </c>
      <c r="J11" s="16">
        <f>'[1]2a. Coverage General Recovery'!J26</f>
        <v>0</v>
      </c>
      <c r="K11" s="49">
        <f>MIN($J11*(1+HLOOKUP($B11,'[1]3. Mitigation Impact on Coverag'!$HM$5:$KE$7,3,FALSE)),100%)</f>
        <v>0</v>
      </c>
      <c r="L11" s="50">
        <f>ROUND(VLOOKUP($B11,'[1]Review Dem +Epi Data'!$B$14:$J$94,7,FALSE)*$F11,-2)</f>
        <v>0</v>
      </c>
      <c r="M11" s="50">
        <f>ROUND(VLOOKUP($B11,'[1]Review Dem +Epi Data'!$B$14:$J$94,8,FALSE)*$G11,-2)</f>
        <v>0</v>
      </c>
      <c r="N11" s="50">
        <f>ROUND(VLOOKUP($B11,'[1]Review Dem +Epi Data'!$B$14:$J$94,9,FALSE)*$H11,-2)</f>
        <v>0</v>
      </c>
      <c r="O11" s="50">
        <f>ROUND(VLOOKUP($B11,'[1]Review Dem +Epi Data'!$B$14:$J$94,9,FALSE)*$I11,-2)</f>
        <v>0</v>
      </c>
      <c r="P11" s="50">
        <f>ROUND(VLOOKUP($B11,'[1]Review Dem +Epi Data'!$B$14:$J$94,9,FALSE)*$J11,-2)</f>
        <v>0</v>
      </c>
      <c r="Q11" s="50">
        <f>ROUND(VLOOKUP($B11,'[1]Review Dem +Epi Data'!$B$14:$J$94,9,FALSE)*$K11,-2)</f>
        <v>0</v>
      </c>
    </row>
    <row r="12" s="1" customFormat="1" spans="1:17">
      <c r="A12" s="12" t="str">
        <f>IF(VLOOKUP(B12,'[1]1. Select Services'!$A$6:$E$77,5,FALSE)="x","x","")</f>
        <v>x</v>
      </c>
      <c r="B12" s="13">
        <v>8</v>
      </c>
      <c r="C12" s="13">
        <v>8</v>
      </c>
      <c r="D12" s="17"/>
      <c r="E12" s="15" t="s">
        <v>22</v>
      </c>
      <c r="F12" s="16">
        <f>VLOOKUP(B12,'[1]Review Dem +Epi Data'!$B$14:$F$21,5,FALSE)</f>
        <v>0.11025259</v>
      </c>
      <c r="G12" s="18">
        <f>$F12*(1-VLOOKUP(B12,'[1]2. COVID Impact on Coverage'!$B$19:$I$92,8,FALSE))</f>
        <v>0.11025259</v>
      </c>
      <c r="H12" s="16">
        <f t="shared" si="1"/>
        <v>0.11025259</v>
      </c>
      <c r="I12" s="49">
        <f>MIN($H12*(1+HLOOKUP($B12,'[1]3. Mitigation Impact on Coverag'!$HM$5:$KE$7,3,FALSE)),IF(F12*102%&gt;100%,100%,F12*102%))</f>
        <v>0.1124576418</v>
      </c>
      <c r="J12" s="16">
        <f>'[1]2a. Coverage General Recovery'!J27</f>
        <v>0.099227331</v>
      </c>
      <c r="K12" s="49">
        <f>MIN($J12*(1+HLOOKUP($B12,'[1]3. Mitigation Impact on Coverag'!$HM$5:$KE$7,3,FALSE)),100%)</f>
        <v>0.11510370396</v>
      </c>
      <c r="L12" s="50">
        <f>ROUND(VLOOKUP($B12,'[1]Review Dem +Epi Data'!$B$14:$J$94,7,FALSE)*$F12,-2)</f>
        <v>60600</v>
      </c>
      <c r="M12" s="50">
        <f>ROUND(VLOOKUP($B12,'[1]Review Dem +Epi Data'!$B$14:$J$94,8,FALSE)*$G12,-2)</f>
        <v>61100</v>
      </c>
      <c r="N12" s="50">
        <f>ROUND(VLOOKUP($B12,'[1]Review Dem +Epi Data'!$B$14:$J$94,9,FALSE)*$H12,-2)</f>
        <v>61400</v>
      </c>
      <c r="O12" s="50">
        <f>ROUND(VLOOKUP($B12,'[1]Review Dem +Epi Data'!$B$14:$J$94,9,FALSE)*$I12,-2)</f>
        <v>62700</v>
      </c>
      <c r="P12" s="50">
        <f>ROUND(VLOOKUP($B12,'[1]Review Dem +Epi Data'!$B$14:$J$94,9,FALSE)*$J12,-2)</f>
        <v>55300</v>
      </c>
      <c r="Q12" s="50">
        <f>ROUND(VLOOKUP($B12,'[1]Review Dem +Epi Data'!$B$14:$J$94,9,FALSE)*$K12,-2)</f>
        <v>64100</v>
      </c>
    </row>
    <row r="13" s="1" customFormat="1" spans="1:17">
      <c r="A13" s="12" t="s">
        <v>23</v>
      </c>
      <c r="B13" s="19">
        <v>9</v>
      </c>
      <c r="C13" s="19">
        <v>14</v>
      </c>
      <c r="D13" s="20" t="s">
        <v>24</v>
      </c>
      <c r="E13" s="21" t="s">
        <v>25</v>
      </c>
      <c r="F13" s="16">
        <f>VLOOKUP(B13,'[1]Spectrum Baseline Data'!$AB$3:$AG$87,6,FALSE)/100</f>
        <v>0.675</v>
      </c>
      <c r="G13" s="16" cm="1">
        <f t="array" ref="G13">IF(Package=1,$F13*(1-'[1]2. COVID Impact on Coverage'!$E$8),$F13*(1-VLOOKUP(B13,'[1]2. COVID Impact on Coverage'!$B$19:$I$92,8,FALSE)))</f>
        <v>0.53325</v>
      </c>
      <c r="H13" s="16">
        <f t="shared" si="1"/>
        <v>0.53325</v>
      </c>
      <c r="I13" s="49">
        <f>MIN($H13*(1+HLOOKUP($B13,'[1]3. Mitigation Impact on Coverag'!$HM$5:$KE$7,3,FALSE)),IF(F13*102%&gt;100%,100%,F13*102%))</f>
        <v>0.61857</v>
      </c>
      <c r="J13" s="16">
        <f>'[1]2a. Coverage General Recovery'!J28</f>
        <v>0.6075</v>
      </c>
      <c r="K13" s="49">
        <f>MIN($J13*(1+HLOOKUP($B13,'[1]3. Mitigation Impact on Coverag'!$HM$5:$KE$7,3,FALSE)),100%)</f>
        <v>0.7047</v>
      </c>
      <c r="L13" s="50">
        <f>ROUND(VLOOKUP($B13,'[1]Review Dem +Epi Data'!$B$14:$J$94,7,FALSE)*$F13,-2)</f>
        <v>720700</v>
      </c>
      <c r="M13" s="50">
        <f>ROUND(VLOOKUP($B13,'[1]Review Dem +Epi Data'!$B$14:$J$94,8,FALSE)*$G13,-2)</f>
        <v>566200</v>
      </c>
      <c r="N13" s="50">
        <f>ROUND(VLOOKUP($B13,'[1]Review Dem +Epi Data'!$B$14:$J$94,9,FALSE)*$H13,-2)</f>
        <v>564100</v>
      </c>
      <c r="O13" s="50">
        <f>ROUND(VLOOKUP($B13,'[1]Review Dem +Epi Data'!$B$14:$J$94,9,FALSE)*$I13,-2)</f>
        <v>654400</v>
      </c>
      <c r="P13" s="50">
        <f>ROUND(VLOOKUP($B13,'[1]Review Dem +Epi Data'!$B$14:$J$94,9,FALSE)*$J13,-2)</f>
        <v>642700</v>
      </c>
      <c r="Q13" s="50">
        <f>ROUND(VLOOKUP($B13,'[1]Review Dem +Epi Data'!$B$14:$J$94,9,FALSE)*$K13,-2)</f>
        <v>745500</v>
      </c>
    </row>
    <row r="14" s="1" customFormat="1" spans="1:17">
      <c r="A14" s="12" t="s">
        <v>23</v>
      </c>
      <c r="B14" s="19">
        <v>10</v>
      </c>
      <c r="C14" s="19">
        <v>15</v>
      </c>
      <c r="D14" s="22"/>
      <c r="E14" s="21" t="s">
        <v>26</v>
      </c>
      <c r="F14" s="16">
        <f>VLOOKUP(B14,'[1]Spectrum Baseline Data'!$AB$3:$AG$94,6,FALSE)/100</f>
        <v>0.301</v>
      </c>
      <c r="G14" s="16" cm="1">
        <f t="array" ref="G14">IF(Package=1,$F14*(1-'[1]2. COVID Impact on Coverage'!$E$8),$F14*(1-VLOOKUP(B14,'[1]2. COVID Impact on Coverage'!$B$19:$I$92,8,FALSE)))</f>
        <v>0.23779</v>
      </c>
      <c r="H14" s="16">
        <f t="shared" si="1"/>
        <v>0.23779</v>
      </c>
      <c r="I14" s="49">
        <f>MIN($H14*(1+HLOOKUP($B14,'[1]3. Mitigation Impact on Coverag'!$HM$5:$KE$7,3,FALSE)),IF(F14*102%&gt;100%,100%,F14*102%))</f>
        <v>0.2758364</v>
      </c>
      <c r="J14" s="16">
        <f>'[1]2a. Coverage General Recovery'!J29</f>
        <v>0.2709</v>
      </c>
      <c r="K14" s="49">
        <f>MIN($J14*(1+HLOOKUP($B14,'[1]3. Mitigation Impact on Coverag'!$HM$5:$KE$7,3,FALSE)),100%)</f>
        <v>0.314244</v>
      </c>
      <c r="L14" s="50">
        <f>ROUND(VLOOKUP($B14,'[1]Review Dem +Epi Data'!$B$14:$J$94,7,FALSE)*$F14,-2)</f>
        <v>321400</v>
      </c>
      <c r="M14" s="50">
        <f>ROUND(VLOOKUP($B14,'[1]Review Dem +Epi Data'!$B$14:$J$94,8,FALSE)*$G14,-2)</f>
        <v>252500</v>
      </c>
      <c r="N14" s="50">
        <f>ROUND(VLOOKUP($B14,'[1]Review Dem +Epi Data'!$B$14:$J$94,9,FALSE)*$H14,-2)</f>
        <v>251600</v>
      </c>
      <c r="O14" s="50">
        <f>ROUND(VLOOKUP($B14,'[1]Review Dem +Epi Data'!$B$14:$J$94,9,FALSE)*$I14,-2)</f>
        <v>291800</v>
      </c>
      <c r="P14" s="50">
        <f>ROUND(VLOOKUP($B14,'[1]Review Dem +Epi Data'!$B$14:$J$94,9,FALSE)*$J14,-2)</f>
        <v>286600</v>
      </c>
      <c r="Q14" s="50">
        <f>ROUND(VLOOKUP($B14,'[1]Review Dem +Epi Data'!$B$14:$J$94,9,FALSE)*$K14,-2)</f>
        <v>332500</v>
      </c>
    </row>
    <row r="15" s="1" customFormat="1" spans="1:17">
      <c r="A15" s="12" t="str">
        <f>IF(VLOOKUP(B15,'[1]1. Select Services'!$A$6:$E$77,5,FALSE)="x","x","")</f>
        <v>x</v>
      </c>
      <c r="B15" s="19">
        <v>11</v>
      </c>
      <c r="C15" s="19">
        <v>16</v>
      </c>
      <c r="D15" s="22"/>
      <c r="E15" s="21" t="s">
        <v>27</v>
      </c>
      <c r="F15" s="16">
        <f>VLOOKUP(B15,'[1]Spectrum Baseline Data'!$AB$3:$AG$94,6,FALSE)/100</f>
        <v>0.88</v>
      </c>
      <c r="G15" s="16" cm="1">
        <f t="array" ref="G15">IF(Package=1,$F15*(1-'[1]2. COVID Impact on Coverage'!$E$8),$F15*(1-VLOOKUP(B15,'[1]2. COVID Impact on Coverage'!$B$19:$I$92,8,FALSE)))</f>
        <v>0.6952</v>
      </c>
      <c r="H15" s="16">
        <f t="shared" si="1"/>
        <v>0.6952</v>
      </c>
      <c r="I15" s="49">
        <f>MIN($H15*(1+HLOOKUP($B15,'[1]3. Mitigation Impact on Coverag'!$HM$5:$KE$7,3,FALSE)),IF(F15*102%&gt;100%,100%,F15*102%))</f>
        <v>0.806432</v>
      </c>
      <c r="J15" s="16">
        <f>'[1]2a. Coverage General Recovery'!J30</f>
        <v>0.792</v>
      </c>
      <c r="K15" s="49">
        <f>MIN($J15*(1+HLOOKUP($B15,'[1]3. Mitigation Impact on Coverag'!$HM$5:$KE$7,3,FALSE)),100%)</f>
        <v>0.91872</v>
      </c>
      <c r="L15" s="50">
        <f>ROUND(VLOOKUP($B15,'[1]Review Dem +Epi Data'!$B$14:$J$94,7,FALSE)*$F15,-2)</f>
        <v>939500</v>
      </c>
      <c r="M15" s="50">
        <f>ROUND(VLOOKUP($B15,'[1]Review Dem +Epi Data'!$B$14:$J$94,8,FALSE)*$G15,-2)</f>
        <v>738200</v>
      </c>
      <c r="N15" s="50">
        <f>ROUND(VLOOKUP($B15,'[1]Review Dem +Epi Data'!$B$14:$J$94,9,FALSE)*$H15,-2)</f>
        <v>735500</v>
      </c>
      <c r="O15" s="50">
        <f>ROUND(VLOOKUP($B15,'[1]Review Dem +Epi Data'!$B$14:$J$94,9,FALSE)*$I15,-2)</f>
        <v>853200</v>
      </c>
      <c r="P15" s="50">
        <f>ROUND(VLOOKUP($B15,'[1]Review Dem +Epi Data'!$B$14:$J$94,9,FALSE)*$J15,-2)</f>
        <v>837900</v>
      </c>
      <c r="Q15" s="50">
        <f>ROUND(VLOOKUP($B15,'[1]Review Dem +Epi Data'!$B$14:$J$94,9,FALSE)*$K15,-2)</f>
        <v>972000</v>
      </c>
    </row>
    <row r="16" s="1" customFormat="1" spans="1:17">
      <c r="A16" s="12" t="str">
        <f>IF(VLOOKUP(B16,'[1]1. Select Services'!$A$6:$E$77,5,FALSE)="x","x","")</f>
        <v/>
      </c>
      <c r="B16" s="19">
        <v>12</v>
      </c>
      <c r="C16" s="19">
        <v>17</v>
      </c>
      <c r="D16" s="22"/>
      <c r="E16" s="21" t="s">
        <v>28</v>
      </c>
      <c r="F16" s="16">
        <f>VLOOKUP(B16,'[1]Spectrum Baseline Data'!$AB$3:$AG$94,6,FALSE)/100</f>
        <v>0</v>
      </c>
      <c r="G16" s="16" cm="1">
        <f t="array" ref="G16">IF(Package=1,$F16*(1-'[1]2. COVID Impact on Coverage'!$E$8),$F16*(1-VLOOKUP(B16,'[1]2. COVID Impact on Coverage'!$B$19:$I$92,8,FALSE)))</f>
        <v>0</v>
      </c>
      <c r="H16" s="16">
        <f t="shared" si="1"/>
        <v>0</v>
      </c>
      <c r="I16" s="49">
        <f>MIN($H16*(1+HLOOKUP($B16,'[1]3. Mitigation Impact on Coverag'!$HM$5:$KE$7,3,FALSE)),IF(F16*102%&gt;100%,100%,F16*102%))</f>
        <v>0</v>
      </c>
      <c r="J16" s="16">
        <f>'[1]2a. Coverage General Recovery'!J31</f>
        <v>0</v>
      </c>
      <c r="K16" s="49">
        <f>MIN($J16*(1+HLOOKUP($B16,'[1]3. Mitigation Impact on Coverag'!$HM$5:$KE$7,3,FALSE)),100%)</f>
        <v>0</v>
      </c>
      <c r="L16" s="50">
        <f>ROUND(VLOOKUP($B16,'[1]Review Dem +Epi Data'!$B$14:$J$94,7,FALSE)*$F16,-2)</f>
        <v>0</v>
      </c>
      <c r="M16" s="50">
        <f>ROUND(VLOOKUP($B16,'[1]Review Dem +Epi Data'!$B$14:$J$94,8,FALSE)*$G16,-2)</f>
        <v>0</v>
      </c>
      <c r="N16" s="50">
        <f>ROUND(VLOOKUP($B16,'[1]Review Dem +Epi Data'!$B$14:$J$94,9,FALSE)*$H16,-2)</f>
        <v>0</v>
      </c>
      <c r="O16" s="50">
        <f>ROUND(VLOOKUP($B16,'[1]Review Dem +Epi Data'!$B$14:$J$94,9,FALSE)*$I16,-2)</f>
        <v>0</v>
      </c>
      <c r="P16" s="50">
        <f>ROUND(VLOOKUP($B16,'[1]Review Dem +Epi Data'!$B$14:$J$94,9,FALSE)*$J16,-2)</f>
        <v>0</v>
      </c>
      <c r="Q16" s="50">
        <f>ROUND(VLOOKUP($B16,'[1]Review Dem +Epi Data'!$B$14:$J$94,9,FALSE)*$K16,-2)</f>
        <v>0</v>
      </c>
    </row>
    <row r="17" s="1" customFormat="1" spans="1:17">
      <c r="A17" s="12" t="str">
        <f>IF(VLOOKUP(B17,'[1]1. Select Services'!$A$6:$E$77,5,FALSE)="x","x","")</f>
        <v>x</v>
      </c>
      <c r="B17" s="19">
        <v>13</v>
      </c>
      <c r="C17" s="19">
        <v>18</v>
      </c>
      <c r="D17" s="22"/>
      <c r="E17" s="21" t="s">
        <v>29</v>
      </c>
      <c r="F17" s="16">
        <f>VLOOKUP(B17,'[1]Spectrum Baseline Data'!$AB$3:$AG$94,6,FALSE)/100</f>
        <v>0.167</v>
      </c>
      <c r="G17" s="16" cm="1">
        <f t="array" ref="G17">IF(Package=1,$F17*(1-'[1]2. COVID Impact on Coverage'!$E$8),$F17*(1-VLOOKUP(B17,'[1]2. COVID Impact on Coverage'!$B$19:$I$92,8,FALSE)))</f>
        <v>0.13193</v>
      </c>
      <c r="H17" s="16">
        <f t="shared" si="1"/>
        <v>0.13193</v>
      </c>
      <c r="I17" s="49">
        <f>MIN($H17*(1+HLOOKUP($B17,'[1]3. Mitigation Impact on Coverag'!$HM$5:$KE$7,3,FALSE)),IF(F17*102%&gt;100%,100%,F17*102%))</f>
        <v>0.1530388</v>
      </c>
      <c r="J17" s="16">
        <f>'[1]2a. Coverage General Recovery'!J32</f>
        <v>0.1503</v>
      </c>
      <c r="K17" s="49">
        <f>MIN($J17*(1+HLOOKUP($B17,'[1]3. Mitigation Impact on Coverag'!$HM$5:$KE$7,3,FALSE)),100%)</f>
        <v>0.174348</v>
      </c>
      <c r="L17" s="50">
        <f>ROUND(VLOOKUP($B17,'[1]Review Dem +Epi Data'!$B$14:$J$94,7,FALSE)*$F17,-2)</f>
        <v>178300</v>
      </c>
      <c r="M17" s="50">
        <f>ROUND(VLOOKUP($B17,'[1]Review Dem +Epi Data'!$B$14:$J$94,8,FALSE)*$G17,-2)</f>
        <v>140100</v>
      </c>
      <c r="N17" s="50">
        <f>ROUND(VLOOKUP($B17,'[1]Review Dem +Epi Data'!$B$14:$J$94,9,FALSE)*$H17,-2)</f>
        <v>139600</v>
      </c>
      <c r="O17" s="50">
        <f>ROUND(VLOOKUP($B17,'[1]Review Dem +Epi Data'!$B$14:$J$94,9,FALSE)*$I17,-2)</f>
        <v>161900</v>
      </c>
      <c r="P17" s="50">
        <f>ROUND(VLOOKUP($B17,'[1]Review Dem +Epi Data'!$B$14:$J$94,9,FALSE)*$J17,-2)</f>
        <v>159000</v>
      </c>
      <c r="Q17" s="50">
        <f>ROUND(VLOOKUP($B17,'[1]Review Dem +Epi Data'!$B$14:$J$94,9,FALSE)*$K17,-2)</f>
        <v>184500</v>
      </c>
    </row>
    <row r="18" s="1" customFormat="1" spans="1:17">
      <c r="A18" s="12" t="str">
        <f>IF(VLOOKUP(B18,'[1]1. Select Services'!$A$6:$E$77,5,FALSE)="x","x","")</f>
        <v/>
      </c>
      <c r="B18" s="19">
        <v>14</v>
      </c>
      <c r="C18" s="19">
        <v>19</v>
      </c>
      <c r="D18" s="22"/>
      <c r="E18" s="21" t="s">
        <v>30</v>
      </c>
      <c r="F18" s="16">
        <f>VLOOKUP(B18,'[1]Spectrum Baseline Data'!$AB$3:$AG$94,6,FALSE)/100</f>
        <v>0</v>
      </c>
      <c r="G18" s="16" cm="1">
        <f t="array" ref="G18">IF(Package=1,$F18*(1-'[1]2. COVID Impact on Coverage'!$E$8),$F18*(1-VLOOKUP(B18,'[1]2. COVID Impact on Coverage'!$B$19:$I$92,8,FALSE)))</f>
        <v>0</v>
      </c>
      <c r="H18" s="16">
        <f t="shared" si="1"/>
        <v>0</v>
      </c>
      <c r="I18" s="49">
        <f>MIN($H18*(1+HLOOKUP($B18,'[1]3. Mitigation Impact on Coverag'!$HM$5:$KE$7,3,FALSE)),IF(F18*102%&gt;100%,100%,F18*102%))</f>
        <v>0</v>
      </c>
      <c r="J18" s="16">
        <f>'[1]2a. Coverage General Recovery'!J33</f>
        <v>0</v>
      </c>
      <c r="K18" s="49">
        <f>MIN($J18*(1+HLOOKUP($B18,'[1]3. Mitigation Impact on Coverag'!$HM$5:$KE$7,3,FALSE)),100%)</f>
        <v>0</v>
      </c>
      <c r="L18" s="50">
        <f>ROUND(VLOOKUP($B18,'[1]Review Dem +Epi Data'!$B$14:$J$94,7,FALSE)*$F18,-2)</f>
        <v>0</v>
      </c>
      <c r="M18" s="50">
        <f>ROUND(VLOOKUP($B18,'[1]Review Dem +Epi Data'!$B$14:$J$94,8,FALSE)*$G18,-2)</f>
        <v>0</v>
      </c>
      <c r="N18" s="50">
        <f>ROUND(VLOOKUP($B18,'[1]Review Dem +Epi Data'!$B$14:$J$94,9,FALSE)*$H18,-2)</f>
        <v>0</v>
      </c>
      <c r="O18" s="50">
        <f>ROUND(VLOOKUP($B18,'[1]Review Dem +Epi Data'!$B$14:$J$94,9,FALSE)*$I18,-2)</f>
        <v>0</v>
      </c>
      <c r="P18" s="50">
        <f>ROUND(VLOOKUP($B18,'[1]Review Dem +Epi Data'!$B$14:$J$94,9,FALSE)*$J18,-2)</f>
        <v>0</v>
      </c>
      <c r="Q18" s="50">
        <f>ROUND(VLOOKUP($B18,'[1]Review Dem +Epi Data'!$B$14:$J$94,9,FALSE)*$K18,-2)</f>
        <v>0</v>
      </c>
    </row>
    <row r="19" s="1" customFormat="1" spans="1:17">
      <c r="A19" s="12" t="str">
        <f>IF(VLOOKUP(B19,'[1]1. Select Services'!$A$6:$E$77,5,FALSE)="x","x","")</f>
        <v>x</v>
      </c>
      <c r="B19" s="19">
        <v>15</v>
      </c>
      <c r="C19" s="19">
        <v>20</v>
      </c>
      <c r="D19" s="22"/>
      <c r="E19" s="23" t="s">
        <v>31</v>
      </c>
      <c r="F19" s="16">
        <f>VLOOKUP(B19,'[1]Spectrum Baseline Data'!$AB$3:$AG$94,6,FALSE)/100</f>
        <v>0.052</v>
      </c>
      <c r="G19" s="16" cm="1">
        <f t="array" ref="G19">IF(Package=1,$F19*(1-'[1]2. COVID Impact on Coverage'!$E$8),$F19*(1-VLOOKUP(B19,'[1]2. COVID Impact on Coverage'!$B$19:$I$92,8,FALSE)))</f>
        <v>0.04108</v>
      </c>
      <c r="H19" s="16">
        <f t="shared" si="1"/>
        <v>0.04108</v>
      </c>
      <c r="I19" s="49">
        <f>MIN($H19*(1+HLOOKUP($B19,'[1]3. Mitigation Impact on Coverag'!$HM$5:$KE$7,3,FALSE)),IF(F19*102%&gt;100%,100%,F19*102%))</f>
        <v>0.0476528</v>
      </c>
      <c r="J19" s="16">
        <f>'[1]2a. Coverage General Recovery'!J34</f>
        <v>0.0468</v>
      </c>
      <c r="K19" s="49">
        <f>MIN($J19*(1+HLOOKUP($B19,'[1]3. Mitigation Impact on Coverag'!$HM$5:$KE$7,3,FALSE)),100%)</f>
        <v>0.054288</v>
      </c>
      <c r="L19" s="50">
        <f>ROUND(VLOOKUP($B19,'[1]Review Dem +Epi Data'!$B$14:$J$94,7,FALSE)*$F19,-2)</f>
        <v>55500</v>
      </c>
      <c r="M19" s="50">
        <f>ROUND(VLOOKUP($B19,'[1]Review Dem +Epi Data'!$B$14:$J$94,8,FALSE)*$G19,-2)</f>
        <v>43600</v>
      </c>
      <c r="N19" s="50">
        <f>ROUND(VLOOKUP($B19,'[1]Review Dem +Epi Data'!$B$14:$J$94,9,FALSE)*$H19,-2)</f>
        <v>43500</v>
      </c>
      <c r="O19" s="50">
        <f>ROUND(VLOOKUP($B19,'[1]Review Dem +Epi Data'!$B$14:$J$94,9,FALSE)*$I19,-2)</f>
        <v>50400</v>
      </c>
      <c r="P19" s="50">
        <f>ROUND(VLOOKUP($B19,'[1]Review Dem +Epi Data'!$B$14:$J$94,9,FALSE)*$J19,-2)</f>
        <v>49500</v>
      </c>
      <c r="Q19" s="50">
        <f>ROUND(VLOOKUP($B19,'[1]Review Dem +Epi Data'!$B$14:$J$94,9,FALSE)*$K19,-2)</f>
        <v>57400</v>
      </c>
    </row>
    <row r="20" s="1" customFormat="1" spans="1:17">
      <c r="A20" s="12" t="str">
        <f>IF(VLOOKUP(B20,'[1]1. Select Services'!$A$6:$E$77,5,FALSE)="x","x","")</f>
        <v/>
      </c>
      <c r="B20" s="19">
        <v>16</v>
      </c>
      <c r="C20" s="19">
        <v>21</v>
      </c>
      <c r="D20" s="22"/>
      <c r="E20" s="21" t="s">
        <v>32</v>
      </c>
      <c r="F20" s="16">
        <f>VLOOKUP(B20,'[1]Spectrum Baseline Data'!$AB$3:$AG$94,6,FALSE)/100</f>
        <v>0</v>
      </c>
      <c r="G20" s="16" cm="1">
        <f t="array" ref="G20">IF(Package=1,$F20*(1-'[1]2. COVID Impact on Coverage'!$E$8),$F20*(1-VLOOKUP(B20,'[1]2. COVID Impact on Coverage'!$B$19:$I$92,8,FALSE)))</f>
        <v>0</v>
      </c>
      <c r="H20" s="16">
        <f t="shared" si="1"/>
        <v>0</v>
      </c>
      <c r="I20" s="49">
        <f>MIN($H20*(1+HLOOKUP($B20,'[1]3. Mitigation Impact on Coverag'!$HM$5:$KE$7,3,FALSE)),IF(F20*102%&gt;100%,100%,F20*102%))</f>
        <v>0</v>
      </c>
      <c r="J20" s="16">
        <f>'[1]2a. Coverage General Recovery'!J35</f>
        <v>0</v>
      </c>
      <c r="K20" s="49">
        <f>MIN($J20*(1+HLOOKUP($B20,'[1]3. Mitigation Impact on Coverag'!$HM$5:$KE$7,3,FALSE)),100%)</f>
        <v>0</v>
      </c>
      <c r="L20" s="50">
        <f>ROUND(VLOOKUP($B20,'[1]Review Dem +Epi Data'!$B$14:$J$94,7,FALSE)*$F20,-2)</f>
        <v>0</v>
      </c>
      <c r="M20" s="50">
        <f>ROUND(VLOOKUP($B20,'[1]Review Dem +Epi Data'!$B$14:$J$94,8,FALSE)*$G20,-2)</f>
        <v>0</v>
      </c>
      <c r="N20" s="50">
        <f>ROUND(VLOOKUP($B20,'[1]Review Dem +Epi Data'!$B$14:$J$94,9,FALSE)*$H20,-2)</f>
        <v>0</v>
      </c>
      <c r="O20" s="50">
        <f>ROUND(VLOOKUP($B20,'[1]Review Dem +Epi Data'!$B$14:$J$94,9,FALSE)*$I20,-2)</f>
        <v>0</v>
      </c>
      <c r="P20" s="50">
        <f>ROUND(VLOOKUP($B20,'[1]Review Dem +Epi Data'!$B$14:$J$94,9,FALSE)*$J20,-2)</f>
        <v>0</v>
      </c>
      <c r="Q20" s="50">
        <f>ROUND(VLOOKUP($B20,'[1]Review Dem +Epi Data'!$B$14:$J$94,9,FALSE)*$K20,-2)</f>
        <v>0</v>
      </c>
    </row>
    <row r="21" s="1" customFormat="1" spans="1:17">
      <c r="A21" s="12" t="str">
        <f>IF(VLOOKUP(B21,'[1]1. Select Services'!$A$6:$E$77,5,FALSE)="x","x","")</f>
        <v/>
      </c>
      <c r="B21" s="19">
        <v>17</v>
      </c>
      <c r="C21" s="19">
        <v>22</v>
      </c>
      <c r="D21" s="22"/>
      <c r="E21" s="21" t="s">
        <v>33</v>
      </c>
      <c r="F21" s="16">
        <f>VLOOKUP(B21,'[1]Spectrum Baseline Data'!$AB$3:$AG$94,6,FALSE)/100</f>
        <v>0</v>
      </c>
      <c r="G21" s="16" cm="1">
        <f t="array" ref="G21">IF(Package=1,$F21*(1-'[1]2. COVID Impact on Coverage'!$E$8),$F21*(1-VLOOKUP(B21,'[1]2. COVID Impact on Coverage'!$B$19:$I$92,8,FALSE)))</f>
        <v>0</v>
      </c>
      <c r="H21" s="16">
        <f t="shared" si="1"/>
        <v>0</v>
      </c>
      <c r="I21" s="49">
        <f>MIN($H21*(1+HLOOKUP($B21,'[1]3. Mitigation Impact on Coverag'!$HM$5:$KE$7,3,FALSE)),IF(F21*102%&gt;100%,100%,F21*102%))</f>
        <v>0</v>
      </c>
      <c r="J21" s="16">
        <f>'[1]2a. Coverage General Recovery'!J36</f>
        <v>0</v>
      </c>
      <c r="K21" s="49">
        <f>MIN($J21*(1+HLOOKUP($B21,'[1]3. Mitigation Impact on Coverag'!$HM$5:$KE$7,3,FALSE)),100%)</f>
        <v>0</v>
      </c>
      <c r="L21" s="50">
        <f>ROUND(VLOOKUP($B21,'[1]Review Dem +Epi Data'!$B$14:$J$94,7,FALSE)*$F21,-2)</f>
        <v>0</v>
      </c>
      <c r="M21" s="50">
        <f>ROUND(VLOOKUP($B21,'[1]Review Dem +Epi Data'!$B$14:$J$94,8,FALSE)*$G21,-2)</f>
        <v>0</v>
      </c>
      <c r="N21" s="50">
        <f>ROUND(VLOOKUP($B21,'[1]Review Dem +Epi Data'!$B$14:$J$94,9,FALSE)*$H21,-2)</f>
        <v>0</v>
      </c>
      <c r="O21" s="50">
        <f>ROUND(VLOOKUP($B21,'[1]Review Dem +Epi Data'!$B$14:$J$94,9,FALSE)*$I21,-2)</f>
        <v>0</v>
      </c>
      <c r="P21" s="50">
        <f>ROUND(VLOOKUP($B21,'[1]Review Dem +Epi Data'!$B$14:$J$94,9,FALSE)*$J21,-2)</f>
        <v>0</v>
      </c>
      <c r="Q21" s="50">
        <f>ROUND(VLOOKUP($B21,'[1]Review Dem +Epi Data'!$B$14:$J$94,9,FALSE)*$K21,-2)</f>
        <v>0</v>
      </c>
    </row>
    <row r="22" s="1" customFormat="1" spans="1:17">
      <c r="A22" s="12" t="str">
        <f>IF(VLOOKUP(B22,'[1]1. Select Services'!$A$6:$E$77,5,FALSE)="x","x","")</f>
        <v>x</v>
      </c>
      <c r="B22" s="19">
        <v>18</v>
      </c>
      <c r="C22" s="19">
        <v>23</v>
      </c>
      <c r="D22" s="22"/>
      <c r="E22" s="21" t="s">
        <v>34</v>
      </c>
      <c r="F22" s="16">
        <f>VLOOKUP(B22,'[1]Spectrum Baseline Data'!$AB$3:$AG$94,6,FALSE)/100</f>
        <v>0.072</v>
      </c>
      <c r="G22" s="16" cm="1">
        <f t="array" ref="G22">IF(Package=1,$F22*(1-'[1]2. COVID Impact on Coverage'!$E$8),$F22*(1-VLOOKUP(B22,'[1]2. COVID Impact on Coverage'!$B$19:$I$92,8,FALSE)))</f>
        <v>0.05688</v>
      </c>
      <c r="H22" s="16">
        <f t="shared" si="1"/>
        <v>0.05688</v>
      </c>
      <c r="I22" s="49">
        <f>MIN($H22*(1+HLOOKUP($B22,'[1]3. Mitigation Impact on Coverag'!$HM$5:$KE$7,3,FALSE)),IF(F22*102%&gt;100%,100%,F22*102%))</f>
        <v>0.0659808</v>
      </c>
      <c r="J22" s="16">
        <f>'[1]2a. Coverage General Recovery'!J37</f>
        <v>0.0648</v>
      </c>
      <c r="K22" s="49">
        <f>MIN($J22*(1+HLOOKUP($B22,'[1]3. Mitigation Impact on Coverag'!$HM$5:$KE$7,3,FALSE)),100%)</f>
        <v>0.075168</v>
      </c>
      <c r="L22" s="50">
        <f>ROUND(VLOOKUP($B22,'[1]Review Dem +Epi Data'!$B$14:$J$94,7,FALSE)*$F22,-2)</f>
        <v>3800</v>
      </c>
      <c r="M22" s="50">
        <f>ROUND(VLOOKUP($B22,'[1]Review Dem +Epi Data'!$B$14:$J$94,8,FALSE)*$G22,-2)</f>
        <v>3000</v>
      </c>
      <c r="N22" s="50">
        <f>ROUND(VLOOKUP($B22,'[1]Review Dem +Epi Data'!$B$14:$J$94,9,FALSE)*$H22,-2)</f>
        <v>3000</v>
      </c>
      <c r="O22" s="50">
        <f>ROUND(VLOOKUP($B22,'[1]Review Dem +Epi Data'!$B$14:$J$94,9,FALSE)*$I22,-2)</f>
        <v>3500</v>
      </c>
      <c r="P22" s="50">
        <f>ROUND(VLOOKUP($B22,'[1]Review Dem +Epi Data'!$B$14:$J$94,9,FALSE)*$J22,-2)</f>
        <v>3400</v>
      </c>
      <c r="Q22" s="50">
        <f>ROUND(VLOOKUP($B22,'[1]Review Dem +Epi Data'!$B$14:$J$94,9,FALSE)*$K22,-2)</f>
        <v>4000</v>
      </c>
    </row>
    <row r="23" s="1" customFormat="1" spans="1:17">
      <c r="A23" s="12" t="str">
        <f>IF(VLOOKUP(B23,'[1]1. Select Services'!$A$6:$E$77,5,FALSE)="x","x","")</f>
        <v>x</v>
      </c>
      <c r="B23" s="19">
        <v>19</v>
      </c>
      <c r="C23" s="19">
        <v>24</v>
      </c>
      <c r="D23" s="22"/>
      <c r="E23" s="21" t="s">
        <v>35</v>
      </c>
      <c r="F23" s="16">
        <f>VLOOKUP(B23,'[1]Spectrum Baseline Data'!$AB$3:$AG$94,6,FALSE)/100</f>
        <v>0.056</v>
      </c>
      <c r="G23" s="16" cm="1">
        <f t="array" ref="G23">IF(Package=1,$F23*(1-'[1]2. COVID Impact on Coverage'!$E$8),$F23*(1-VLOOKUP(B23,'[1]2. COVID Impact on Coverage'!$B$19:$I$92,8,FALSE)))</f>
        <v>0.04424</v>
      </c>
      <c r="H23" s="16">
        <f t="shared" si="1"/>
        <v>0.04424</v>
      </c>
      <c r="I23" s="49">
        <f>MIN($H23*(1+HLOOKUP($B23,'[1]3. Mitigation Impact on Coverag'!$HM$5:$KE$7,3,FALSE)),IF(F23*102%&gt;100%,100%,F23*102%))</f>
        <v>0.0513184</v>
      </c>
      <c r="J23" s="16">
        <f>'[1]2a. Coverage General Recovery'!J38</f>
        <v>0.0504</v>
      </c>
      <c r="K23" s="49">
        <f>MIN($J23*(1+HLOOKUP($B23,'[1]3. Mitigation Impact on Coverag'!$HM$5:$KE$7,3,FALSE)),100%)</f>
        <v>0.058464</v>
      </c>
      <c r="L23" s="50">
        <f>ROUND(VLOOKUP($B23,'[1]Review Dem +Epi Data'!$B$14:$J$94,7,FALSE)*$F23,-2)</f>
        <v>5300</v>
      </c>
      <c r="M23" s="50">
        <f>ROUND(VLOOKUP($B23,'[1]Review Dem +Epi Data'!$B$14:$J$94,8,FALSE)*$G23,-2)</f>
        <v>4200</v>
      </c>
      <c r="N23" s="50">
        <f>ROUND(VLOOKUP($B23,'[1]Review Dem +Epi Data'!$B$14:$J$94,9,FALSE)*$H23,-2)</f>
        <v>4200</v>
      </c>
      <c r="O23" s="50">
        <f>ROUND(VLOOKUP($B23,'[1]Review Dem +Epi Data'!$B$14:$J$94,9,FALSE)*$I23,-2)</f>
        <v>4800</v>
      </c>
      <c r="P23" s="50">
        <f>ROUND(VLOOKUP($B23,'[1]Review Dem +Epi Data'!$B$14:$J$94,9,FALSE)*$J23,-2)</f>
        <v>4700</v>
      </c>
      <c r="Q23" s="50">
        <f>ROUND(VLOOKUP($B23,'[1]Review Dem +Epi Data'!$B$14:$J$94,9,FALSE)*$K23,-2)</f>
        <v>5500</v>
      </c>
    </row>
    <row r="24" s="1" customFormat="1" spans="1:17">
      <c r="A24" s="12" t="str">
        <f>IF(VLOOKUP(B24,'[1]1. Select Services'!$A$6:$E$77,5,FALSE)="x","x","")</f>
        <v>x</v>
      </c>
      <c r="B24" s="19">
        <v>20</v>
      </c>
      <c r="C24" s="19">
        <v>25</v>
      </c>
      <c r="D24" s="22"/>
      <c r="E24" s="21" t="s">
        <v>36</v>
      </c>
      <c r="F24" s="16">
        <v>0</v>
      </c>
      <c r="G24" s="16" cm="1">
        <f t="array" ref="G24">IF(Package=1,$F24*(1-'[1]2. COVID Impact on Coverage'!$E$8),$F24*(1-VLOOKUP(B24,'[1]2. COVID Impact on Coverage'!$B$19:$I$92,8,FALSE)))</f>
        <v>0</v>
      </c>
      <c r="H24" s="16">
        <f t="shared" si="1"/>
        <v>0</v>
      </c>
      <c r="I24" s="49">
        <f>MIN($H24*(1+HLOOKUP($B24,'[1]3. Mitigation Impact on Coverag'!$HM$5:$KE$7,3,FALSE)),IF(F24*102%&gt;100%,100%,F24*102%))</f>
        <v>0</v>
      </c>
      <c r="J24" s="16">
        <f>'[1]2a. Coverage General Recovery'!J39</f>
        <v>0</v>
      </c>
      <c r="K24" s="49">
        <f>MIN($J24*(1+HLOOKUP($B24,'[1]3. Mitigation Impact on Coverag'!$HM$5:$KE$7,3,FALSE)),100%)</f>
        <v>0</v>
      </c>
      <c r="L24" s="50">
        <f>ROUND(VLOOKUP($B24,'[1]Review Dem +Epi Data'!$B$14:$J$94,7,FALSE)*$F24,-2)</f>
        <v>0</v>
      </c>
      <c r="M24" s="50">
        <f>ROUND(VLOOKUP($B24,'[1]Review Dem +Epi Data'!$B$14:$J$94,8,FALSE)*$G24,-2)</f>
        <v>0</v>
      </c>
      <c r="N24" s="50">
        <f>ROUND(VLOOKUP($B24,'[1]Review Dem +Epi Data'!$B$14:$J$94,9,FALSE)*$H24,-2)</f>
        <v>0</v>
      </c>
      <c r="O24" s="50">
        <f>ROUND(VLOOKUP($B24,'[1]Review Dem +Epi Data'!$B$14:$J$94,9,FALSE)*$I24,-2)</f>
        <v>0</v>
      </c>
      <c r="P24" s="50">
        <f>ROUND(VLOOKUP($B24,'[1]Review Dem +Epi Data'!$B$14:$J$94,9,FALSE)*$J24,-2)</f>
        <v>0</v>
      </c>
      <c r="Q24" s="50">
        <f>ROUND(VLOOKUP($B24,'[1]Review Dem +Epi Data'!$B$14:$J$94,9,FALSE)*$K24,-2)</f>
        <v>0</v>
      </c>
    </row>
    <row r="25" s="1" customFormat="1" spans="1:17">
      <c r="A25" s="12" t="str">
        <f>IF(VLOOKUP(B25,'[1]1. Select Services'!$A$6:$E$77,5,FALSE)="x","x","")</f>
        <v>x</v>
      </c>
      <c r="B25" s="19">
        <v>21</v>
      </c>
      <c r="C25" s="19">
        <v>26</v>
      </c>
      <c r="D25" s="24"/>
      <c r="E25" s="21" t="s">
        <v>37</v>
      </c>
      <c r="F25" s="16">
        <f>VLOOKUP(B25,'[1]Spectrum Baseline Data'!$AB$3:$AG$94,6,FALSE)/100</f>
        <v>0.143</v>
      </c>
      <c r="G25" s="16" cm="1">
        <f t="array" ref="G25">IF(Package=1,$F25*(1-'[1]2. COVID Impact on Coverage'!$E$8),$F25*(1-VLOOKUP(B25,'[1]2. COVID Impact on Coverage'!$B$19:$I$92,8,FALSE)))</f>
        <v>0.11297</v>
      </c>
      <c r="H25" s="16">
        <f t="shared" si="1"/>
        <v>0.11297</v>
      </c>
      <c r="I25" s="49">
        <f>MIN($H25*(1+HLOOKUP($B25,'[1]3. Mitigation Impact on Coverag'!$HM$5:$KE$7,3,FALSE)),IF(F25*102%&gt;100%,100%,F25*102%))</f>
        <v>0.1310452</v>
      </c>
      <c r="J25" s="16">
        <f>'[1]2a. Coverage General Recovery'!J40</f>
        <v>0.1287</v>
      </c>
      <c r="K25" s="49">
        <f>MIN($J25*(1+HLOOKUP($B25,'[1]3. Mitigation Impact on Coverag'!$HM$5:$KE$7,3,FALSE)),100%)</f>
        <v>0.149292</v>
      </c>
      <c r="L25" s="50">
        <f>ROUND(VLOOKUP($B25,'[1]Review Dem +Epi Data'!$B$14:$J$94,7,FALSE)*$F25,-2)</f>
        <v>400</v>
      </c>
      <c r="M25" s="50">
        <f>ROUND(VLOOKUP($B25,'[1]Review Dem +Epi Data'!$B$14:$J$94,8,FALSE)*$G25,-2)</f>
        <v>300</v>
      </c>
      <c r="N25" s="50">
        <f>ROUND(VLOOKUP($B25,'[1]Review Dem +Epi Data'!$B$14:$J$94,9,FALSE)*$H25,-2)</f>
        <v>300</v>
      </c>
      <c r="O25" s="50">
        <f>ROUND(VLOOKUP($B25,'[1]Review Dem +Epi Data'!$B$14:$J$94,9,FALSE)*$I25,-2)</f>
        <v>300</v>
      </c>
      <c r="P25" s="50">
        <f>ROUND(VLOOKUP($B25,'[1]Review Dem +Epi Data'!$B$14:$J$94,9,FALSE)*$J25,-2)</f>
        <v>300</v>
      </c>
      <c r="Q25" s="50">
        <f>ROUND(VLOOKUP($B25,'[1]Review Dem +Epi Data'!$B$14:$J$94,9,FALSE)*$K25,-2)</f>
        <v>400</v>
      </c>
    </row>
    <row r="26" s="1" customFormat="1" spans="1:17">
      <c r="A26" s="12" t="s">
        <v>23</v>
      </c>
      <c r="B26" s="25">
        <v>22</v>
      </c>
      <c r="C26" s="25">
        <v>27</v>
      </c>
      <c r="D26" s="26" t="s">
        <v>38</v>
      </c>
      <c r="E26" s="27" t="s">
        <v>39</v>
      </c>
      <c r="F26" s="16">
        <f>VLOOKUP(B26,'[1]Spectrum Baseline Data'!$AB$3:$AG$94,6,FALSE)/100</f>
        <v>0.727</v>
      </c>
      <c r="G26" s="16" cm="1">
        <f t="array" ref="G26">IF(Package=1,$F26*(1-'[1]2. COVID Impact on Coverage'!$E$8),$F26*(1-VLOOKUP(B26,'[1]2. COVID Impact on Coverage'!$B$19:$I$92,8,FALSE)))</f>
        <v>0.62522</v>
      </c>
      <c r="H26" s="16">
        <f t="shared" si="1"/>
        <v>0.62522</v>
      </c>
      <c r="I26" s="49">
        <f>MIN($H26*(1+HLOOKUP($B26,'[1]3. Mitigation Impact on Coverag'!$HM$5:$KE$7,3,FALSE)),IF(F26*102%&gt;100%,100%,F26*102%))</f>
        <v>0.7252552</v>
      </c>
      <c r="J26" s="16">
        <f>'[1]2a. Coverage General Recovery'!J41</f>
        <v>0.6543</v>
      </c>
      <c r="K26" s="49">
        <f>MIN($J26*(1+HLOOKUP($B26,'[1]3. Mitigation Impact on Coverag'!$HM$5:$KE$7,3,FALSE)),100%)</f>
        <v>0.758988</v>
      </c>
      <c r="L26" s="50">
        <f>ROUND(VLOOKUP($B26,'[1]Review Dem +Epi Data'!$B$14:$J$94,7,FALSE)*$F26,-2)</f>
        <v>495600</v>
      </c>
      <c r="M26" s="50">
        <f>ROUND(VLOOKUP($B26,'[1]Review Dem +Epi Data'!$B$14:$J$94,8,FALSE)*$G26,-2)</f>
        <v>423400</v>
      </c>
      <c r="N26" s="50">
        <f>ROUND(VLOOKUP($B26,'[1]Review Dem +Epi Data'!$B$14:$J$94,9,FALSE)*$H26,-2)</f>
        <v>421400</v>
      </c>
      <c r="O26" s="50">
        <f>ROUND(VLOOKUP($B26,'[1]Review Dem +Epi Data'!$B$14:$J$94,9,FALSE)*$I26,-2)</f>
        <v>488800</v>
      </c>
      <c r="P26" s="50">
        <f>ROUND(VLOOKUP($B26,'[1]Review Dem +Epi Data'!$B$14:$J$94,9,FALSE)*$J26,-2)</f>
        <v>441000</v>
      </c>
      <c r="Q26" s="50">
        <f>ROUND(VLOOKUP($B26,'[1]Review Dem +Epi Data'!$B$14:$J$94,9,FALSE)*$K26,-2)</f>
        <v>511600</v>
      </c>
    </row>
    <row r="27" s="1" customFormat="1" spans="1:17">
      <c r="A27" s="12" t="str">
        <f>IF(VLOOKUP(B27,'[1]1. Select Services'!$A$6:$E$77,5,FALSE)="x","x","")</f>
        <v>x</v>
      </c>
      <c r="B27" s="25">
        <v>23</v>
      </c>
      <c r="C27" s="25">
        <v>28</v>
      </c>
      <c r="D27" s="28"/>
      <c r="E27" s="27" t="s">
        <v>40</v>
      </c>
      <c r="F27" s="16">
        <f>VLOOKUP(B27,'[1]Spectrum Baseline Data'!$AB$3:$AG$94,6,FALSE)/100</f>
        <v>0.596</v>
      </c>
      <c r="G27" s="16" cm="1">
        <f t="array" ref="G27">IF(Package=1,$F27*(1-'[1]2. COVID Impact on Coverage'!$E$9),$F27*(1-VLOOKUP(B27,'[1]2. COVID Impact on Coverage'!$B$19:$I$92,8,FALSE)))</f>
        <v>0.51256</v>
      </c>
      <c r="H27" s="16">
        <f t="shared" si="1"/>
        <v>0.51256</v>
      </c>
      <c r="I27" s="49">
        <f>MIN($H27*(1+HLOOKUP($B27,'[1]3. Mitigation Impact on Coverag'!$HM$5:$KE$7,3,FALSE)),IF(F27*102%&gt;100%,100%,F27*102%))</f>
        <v>0.5945696</v>
      </c>
      <c r="J27" s="16">
        <f>'[1]2a. Coverage General Recovery'!J42</f>
        <v>0.5364</v>
      </c>
      <c r="K27" s="49">
        <f>MIN($J27*(1+HLOOKUP($B27,'[1]3. Mitigation Impact on Coverag'!$HM$5:$KE$7,3,FALSE)),100%)</f>
        <v>0.622224</v>
      </c>
      <c r="L27" s="50">
        <f>ROUND(VLOOKUP($B27,'[1]Review Dem +Epi Data'!$B$14:$J$94,7,FALSE)*$F27,-2)</f>
        <v>406300</v>
      </c>
      <c r="M27" s="50">
        <f>ROUND(VLOOKUP($B27,'[1]Review Dem +Epi Data'!$B$14:$J$94,8,FALSE)*$G27,-2)</f>
        <v>347100</v>
      </c>
      <c r="N27" s="50">
        <f>ROUND(VLOOKUP($B27,'[1]Review Dem +Epi Data'!$B$14:$J$94,9,FALSE)*$H27,-2)</f>
        <v>345500</v>
      </c>
      <c r="O27" s="50">
        <f>ROUND(VLOOKUP($B27,'[1]Review Dem +Epi Data'!$B$14:$J$94,9,FALSE)*$I27,-2)</f>
        <v>400800</v>
      </c>
      <c r="P27" s="50">
        <f>ROUND(VLOOKUP($B27,'[1]Review Dem +Epi Data'!$B$14:$J$94,9,FALSE)*$J27,-2)</f>
        <v>361500</v>
      </c>
      <c r="Q27" s="50">
        <f>ROUND(VLOOKUP($B27,'[1]Review Dem +Epi Data'!$B$14:$J$94,9,FALSE)*$K27,-2)</f>
        <v>419400</v>
      </c>
    </row>
    <row r="28" s="1" customFormat="1" spans="1:17">
      <c r="A28" s="12" t="str">
        <f>IF(VLOOKUP(B28,'[1]1. Select Services'!$A$6:$E$77,5,FALSE)="x","x","")</f>
        <v>x</v>
      </c>
      <c r="B28" s="25">
        <v>24</v>
      </c>
      <c r="C28" s="25">
        <v>32</v>
      </c>
      <c r="D28" s="28"/>
      <c r="E28" s="27" t="s">
        <v>41</v>
      </c>
      <c r="F28" s="16">
        <f>VLOOKUP(B28,'[1]Spectrum Baseline Data'!$AB$3:$AG$94,6,FALSE)/100</f>
        <v>0.272</v>
      </c>
      <c r="G28" s="16" cm="1">
        <f t="array" ref="G28">IF(Package=1,$F28*(1-'[1]2. COVID Impact on Coverage'!$E$9),$F28*(1-VLOOKUP(B28,'[1]2. COVID Impact on Coverage'!$B$19:$I$92,8,FALSE)))</f>
        <v>0.23392</v>
      </c>
      <c r="H28" s="16">
        <f t="shared" si="1"/>
        <v>0.23392</v>
      </c>
      <c r="I28" s="49">
        <f>MIN($H28*(1+HLOOKUP($B28,'[1]3. Mitigation Impact on Coverag'!$HM$5:$KE$7,3,FALSE)),IF(F28*102%&gt;100%,100%,F28*102%))</f>
        <v>0.2713472</v>
      </c>
      <c r="J28" s="16">
        <f>'[1]2a. Coverage General Recovery'!J43</f>
        <v>0.2448</v>
      </c>
      <c r="K28" s="49">
        <f>MIN($J28*(1+HLOOKUP($B28,'[1]3. Mitigation Impact on Coverag'!$HM$5:$KE$7,3,FALSE)),100%)</f>
        <v>0.283968</v>
      </c>
      <c r="L28" s="50">
        <f>ROUND(VLOOKUP($B28,'[1]Review Dem +Epi Data'!$B$14:$J$94,7,FALSE)*$F28,-2)</f>
        <v>3700</v>
      </c>
      <c r="M28" s="50">
        <f>ROUND(VLOOKUP($B28,'[1]Review Dem +Epi Data'!$B$14:$J$94,8,FALSE)*$G28,-2)</f>
        <v>3200</v>
      </c>
      <c r="N28" s="50">
        <f>ROUND(VLOOKUP($B28,'[1]Review Dem +Epi Data'!$B$14:$J$94,9,FALSE)*$H28,-2)</f>
        <v>3200</v>
      </c>
      <c r="O28" s="50">
        <f>ROUND(VLOOKUP($B28,'[1]Review Dem +Epi Data'!$B$14:$J$94,9,FALSE)*$I28,-2)</f>
        <v>3700</v>
      </c>
      <c r="P28" s="50">
        <f>ROUND(VLOOKUP($B28,'[1]Review Dem +Epi Data'!$B$14:$J$94,9,FALSE)*$J28,-2)</f>
        <v>3300</v>
      </c>
      <c r="Q28" s="50">
        <f>ROUND(VLOOKUP($B28,'[1]Review Dem +Epi Data'!$B$14:$J$94,9,FALSE)*$K28,-2)</f>
        <v>3800</v>
      </c>
    </row>
    <row r="29" s="1" customFormat="1" spans="1:17">
      <c r="A29" s="12" t="str">
        <f>IF(VLOOKUP(B29,'[1]1. Select Services'!$A$6:$E$77,5,FALSE)="x","x","")</f>
        <v>x</v>
      </c>
      <c r="B29" s="25">
        <v>25</v>
      </c>
      <c r="C29" s="25">
        <v>33</v>
      </c>
      <c r="D29" s="28"/>
      <c r="E29" s="27" t="s">
        <v>42</v>
      </c>
      <c r="F29" s="16">
        <f>VLOOKUP(B29,'[1]Spectrum Baseline Data'!$AB$3:$AG$94,6,FALSE)/100</f>
        <v>0.52</v>
      </c>
      <c r="G29" s="16" cm="1">
        <f t="array" ref="G29">IF(Package=1,$F29*(1-'[1]2. COVID Impact on Coverage'!$E$9),$F29*(1-VLOOKUP(B29,'[1]2. COVID Impact on Coverage'!$B$19:$I$92,8,FALSE)))</f>
        <v>0.4472</v>
      </c>
      <c r="H29" s="16">
        <f t="shared" si="1"/>
        <v>0.4472</v>
      </c>
      <c r="I29" s="49">
        <f>MIN($H29*(1+HLOOKUP($B29,'[1]3. Mitigation Impact on Coverag'!$HM$5:$KE$7,3,FALSE)),IF(F29*102%&gt;100%,100%,F29*102%))</f>
        <v>0.518752</v>
      </c>
      <c r="J29" s="16">
        <f>'[1]2a. Coverage General Recovery'!J44</f>
        <v>0.468</v>
      </c>
      <c r="K29" s="49">
        <f>MIN($J29*(1+HLOOKUP($B29,'[1]3. Mitigation Impact on Coverag'!$HM$5:$KE$7,3,FALSE)),100%)</f>
        <v>0.54288</v>
      </c>
      <c r="L29" s="50">
        <f>ROUND(VLOOKUP($B29,'[1]Review Dem +Epi Data'!$B$14:$J$94,7,FALSE)*$F29,-2)</f>
        <v>900</v>
      </c>
      <c r="M29" s="50">
        <f>ROUND(VLOOKUP($B29,'[1]Review Dem +Epi Data'!$B$14:$J$94,8,FALSE)*$G29,-2)</f>
        <v>800</v>
      </c>
      <c r="N29" s="50">
        <f>ROUND(VLOOKUP($B29,'[1]Review Dem +Epi Data'!$B$14:$J$94,9,FALSE)*$H29,-2)</f>
        <v>800</v>
      </c>
      <c r="O29" s="50">
        <f>ROUND(VLOOKUP($B29,'[1]Review Dem +Epi Data'!$B$14:$J$94,9,FALSE)*$I29,-2)</f>
        <v>900</v>
      </c>
      <c r="P29" s="50">
        <f>ROUND(VLOOKUP($B29,'[1]Review Dem +Epi Data'!$B$14:$J$94,9,FALSE)*$J29,-2)</f>
        <v>800</v>
      </c>
      <c r="Q29" s="50">
        <f>ROUND(VLOOKUP($B29,'[1]Review Dem +Epi Data'!$B$14:$J$94,9,FALSE)*$K29,-2)</f>
        <v>900</v>
      </c>
    </row>
    <row r="30" s="1" customFormat="1" spans="1:17">
      <c r="A30" s="12" t="str">
        <f>IF(VLOOKUP(B30,'[1]1. Select Services'!$A$6:$E$77,5,FALSE)="x","x","")</f>
        <v>x</v>
      </c>
      <c r="B30" s="25">
        <v>26</v>
      </c>
      <c r="C30" s="25">
        <v>34</v>
      </c>
      <c r="D30" s="28"/>
      <c r="E30" s="27" t="s">
        <v>43</v>
      </c>
      <c r="F30" s="16">
        <f>VLOOKUP(B30,'[1]Spectrum Baseline Data'!$AB$3:$AG$94,6,FALSE)/100</f>
        <v>0.544</v>
      </c>
      <c r="G30" s="16" cm="1">
        <f t="array" ref="G30">IF(Package=1,$F30*(1-'[1]2. COVID Impact on Coverage'!$E$9),$F30*(1-VLOOKUP(B30,'[1]2. COVID Impact on Coverage'!$B$19:$I$92,8,FALSE)))</f>
        <v>0.46784</v>
      </c>
      <c r="H30" s="16">
        <f t="shared" si="1"/>
        <v>0.46784</v>
      </c>
      <c r="I30" s="49">
        <f>MIN($H30*(1+HLOOKUP($B30,'[1]3. Mitigation Impact on Coverag'!$HM$5:$KE$7,3,FALSE)),IF(F30*102%&gt;100%,100%,F30*102%))</f>
        <v>0.5426944</v>
      </c>
      <c r="J30" s="16">
        <f>'[1]2a. Coverage General Recovery'!J45</f>
        <v>0.4896</v>
      </c>
      <c r="K30" s="49">
        <f>MIN($J30*(1+HLOOKUP($B30,'[1]3. Mitigation Impact on Coverag'!$HM$5:$KE$7,3,FALSE)),100%)</f>
        <v>0.567936</v>
      </c>
      <c r="L30" s="50">
        <f>ROUND(VLOOKUP($B30,'[1]Review Dem +Epi Data'!$B$14:$J$94,7,FALSE)*$F30,-2)</f>
        <v>24700</v>
      </c>
      <c r="M30" s="50">
        <f>ROUND(VLOOKUP($B30,'[1]Review Dem +Epi Data'!$B$14:$J$94,8,FALSE)*$G30,-2)</f>
        <v>21100</v>
      </c>
      <c r="N30" s="50">
        <f>ROUND(VLOOKUP($B30,'[1]Review Dem +Epi Data'!$B$14:$J$94,9,FALSE)*$H30,-2)</f>
        <v>21000</v>
      </c>
      <c r="O30" s="50">
        <f>ROUND(VLOOKUP($B30,'[1]Review Dem +Epi Data'!$B$14:$J$94,9,FALSE)*$I30,-2)</f>
        <v>24400</v>
      </c>
      <c r="P30" s="50">
        <f>ROUND(VLOOKUP($B30,'[1]Review Dem +Epi Data'!$B$14:$J$94,9,FALSE)*$J30,-2)</f>
        <v>22000</v>
      </c>
      <c r="Q30" s="50">
        <f>ROUND(VLOOKUP($B30,'[1]Review Dem +Epi Data'!$B$14:$J$94,9,FALSE)*$K30,-2)</f>
        <v>25500</v>
      </c>
    </row>
    <row r="31" s="1" customFormat="1" spans="1:17">
      <c r="A31" s="12" t="str">
        <f>IF(VLOOKUP(B31,'[1]1. Select Services'!$A$6:$E$77,5,FALSE)="x","x","")</f>
        <v>x</v>
      </c>
      <c r="B31" s="25">
        <v>27</v>
      </c>
      <c r="C31" s="25">
        <v>35</v>
      </c>
      <c r="D31" s="28"/>
      <c r="E31" s="27" t="s">
        <v>44</v>
      </c>
      <c r="F31" s="16">
        <f>VLOOKUP(B31,'[1]Spectrum Baseline Data'!$AB$3:$AG$94,6,FALSE)/100</f>
        <v>0.544</v>
      </c>
      <c r="G31" s="16" cm="1">
        <f t="array" ref="G31">IF(Package=1,$F31*(1-'[1]2. COVID Impact on Coverage'!$E$9),$F31*(1-VLOOKUP(B31,'[1]2. COVID Impact on Coverage'!$B$19:$I$92,8,FALSE)))</f>
        <v>0.46784</v>
      </c>
      <c r="H31" s="16">
        <f t="shared" si="1"/>
        <v>0.46784</v>
      </c>
      <c r="I31" s="49">
        <f>MIN($H31*(1+HLOOKUP($B31,'[1]3. Mitigation Impact on Coverag'!$HM$5:$KE$7,3,FALSE)),IF(F31*102%&gt;100%,100%,F31*102%))</f>
        <v>0.5426944</v>
      </c>
      <c r="J31" s="16">
        <f>'[1]2a. Coverage General Recovery'!J46</f>
        <v>0.4896</v>
      </c>
      <c r="K31" s="49">
        <f>MIN($J31*(1+HLOOKUP($B31,'[1]3. Mitigation Impact on Coverag'!$HM$5:$KE$7,3,FALSE)),100%)</f>
        <v>0.567936</v>
      </c>
      <c r="L31" s="50">
        <f>ROUND(VLOOKUP($B31,'[1]Review Dem +Epi Data'!$B$14:$J$94,7,FALSE)*$F31,-2)</f>
        <v>37100</v>
      </c>
      <c r="M31" s="50">
        <f>ROUND(VLOOKUP($B31,'[1]Review Dem +Epi Data'!$B$14:$J$94,8,FALSE)*$G31,-2)</f>
        <v>31700</v>
      </c>
      <c r="N31" s="50">
        <f>ROUND(VLOOKUP($B31,'[1]Review Dem +Epi Data'!$B$14:$J$94,9,FALSE)*$H31,-2)</f>
        <v>31500</v>
      </c>
      <c r="O31" s="50">
        <f>ROUND(VLOOKUP($B31,'[1]Review Dem +Epi Data'!$B$14:$J$94,9,FALSE)*$I31,-2)</f>
        <v>36600</v>
      </c>
      <c r="P31" s="50">
        <f>ROUND(VLOOKUP($B31,'[1]Review Dem +Epi Data'!$B$14:$J$94,9,FALSE)*$J31,-2)</f>
        <v>33000</v>
      </c>
      <c r="Q31" s="50">
        <f>ROUND(VLOOKUP($B31,'[1]Review Dem +Epi Data'!$B$14:$J$94,9,FALSE)*$K31,-2)</f>
        <v>38300</v>
      </c>
    </row>
    <row r="32" s="1" customFormat="1" spans="1:17">
      <c r="A32" s="12" t="str">
        <f>IF(VLOOKUP(B32,'[1]1. Select Services'!$A$6:$E$77,5,FALSE)="x","x","")</f>
        <v>x</v>
      </c>
      <c r="B32" s="25">
        <v>28</v>
      </c>
      <c r="C32" s="25">
        <v>36</v>
      </c>
      <c r="D32" s="28"/>
      <c r="E32" s="27" t="s">
        <v>45</v>
      </c>
      <c r="F32" s="16">
        <f>VLOOKUP(B32,'[1]Spectrum Baseline Data'!$AB$3:$AG$94,6,FALSE)/100</f>
        <v>0.184</v>
      </c>
      <c r="G32" s="16" cm="1">
        <f t="array" ref="G32">IF(Package=1,$F32*(1-'[1]2. COVID Impact on Coverage'!$E$9),$F32*(1-VLOOKUP(B32,'[1]2. COVID Impact on Coverage'!$B$19:$I$92,8,FALSE)))</f>
        <v>0.15824</v>
      </c>
      <c r="H32" s="16">
        <f t="shared" si="1"/>
        <v>0.15824</v>
      </c>
      <c r="I32" s="49">
        <f>MIN($H32*(1+HLOOKUP($B32,'[1]3. Mitigation Impact on Coverag'!$HM$5:$KE$7,3,FALSE)),IF(F32*102%&gt;100%,100%,F32*102%))</f>
        <v>0.1835584</v>
      </c>
      <c r="J32" s="16">
        <f>'[1]2a. Coverage General Recovery'!J47</f>
        <v>0.1656</v>
      </c>
      <c r="K32" s="49">
        <f>MIN($J32*(1+HLOOKUP($B32,'[1]3. Mitigation Impact on Coverag'!$HM$5:$KE$7,3,FALSE)),100%)</f>
        <v>0.192096</v>
      </c>
      <c r="L32" s="50">
        <f>ROUND(VLOOKUP($B32,'[1]Review Dem +Epi Data'!$B$14:$J$94,7,FALSE)*$F32,-2)</f>
        <v>12500</v>
      </c>
      <c r="M32" s="50">
        <f>ROUND(VLOOKUP($B32,'[1]Review Dem +Epi Data'!$B$14:$J$94,8,FALSE)*$G32,-2)</f>
        <v>10700</v>
      </c>
      <c r="N32" s="50">
        <f>ROUND(VLOOKUP($B32,'[1]Review Dem +Epi Data'!$B$14:$J$94,9,FALSE)*$H32,-2)</f>
        <v>10700</v>
      </c>
      <c r="O32" s="50">
        <f>ROUND(VLOOKUP($B32,'[1]Review Dem +Epi Data'!$B$14:$J$94,9,FALSE)*$I32,-2)</f>
        <v>12400</v>
      </c>
      <c r="P32" s="50">
        <f>ROUND(VLOOKUP($B32,'[1]Review Dem +Epi Data'!$B$14:$J$94,9,FALSE)*$J32,-2)</f>
        <v>11200</v>
      </c>
      <c r="Q32" s="50">
        <f>ROUND(VLOOKUP($B32,'[1]Review Dem +Epi Data'!$B$14:$J$94,9,FALSE)*$K32,-2)</f>
        <v>12900</v>
      </c>
    </row>
    <row r="33" s="1" customFormat="1" spans="1:17">
      <c r="A33" s="12" t="str">
        <f>IF(VLOOKUP(B33,'[1]1. Select Services'!$A$6:$E$77,5,FALSE)="x","x","")</f>
        <v>x</v>
      </c>
      <c r="B33" s="25">
        <v>29</v>
      </c>
      <c r="C33" s="25">
        <v>38</v>
      </c>
      <c r="D33" s="28"/>
      <c r="E33" s="27" t="s">
        <v>46</v>
      </c>
      <c r="F33" s="16">
        <f>VLOOKUP(B33,'[1]Spectrum Baseline Data'!$AB$3:$AG$94,6,FALSE)/100</f>
        <v>0.65</v>
      </c>
      <c r="G33" s="16" cm="1">
        <f t="array" ref="G33">IF(Package=1,$F33*(1-'[1]2. COVID Impact on Coverage'!$E$9),$F33*(1-VLOOKUP(B33,'[1]2. COVID Impact on Coverage'!$B$19:$I$92,8,FALSE)))</f>
        <v>0.559</v>
      </c>
      <c r="H33" s="16">
        <f t="shared" si="1"/>
        <v>0.559</v>
      </c>
      <c r="I33" s="49">
        <f>MIN($H33*(1+HLOOKUP($B33,'[1]3. Mitigation Impact on Coverag'!$HM$5:$KE$7,3,FALSE)),IF(F33*102%&gt;100%,100%,F33*102%))</f>
        <v>0.64844</v>
      </c>
      <c r="J33" s="16">
        <f>'[1]2a. Coverage General Recovery'!J48</f>
        <v>0.585</v>
      </c>
      <c r="K33" s="49">
        <f>MIN($J33*(1+HLOOKUP($B33,'[1]3. Mitigation Impact on Coverag'!$HM$5:$KE$7,3,FALSE)),100%)</f>
        <v>0.6786</v>
      </c>
      <c r="L33" s="50">
        <f>ROUND(VLOOKUP($B33,'[1]Review Dem +Epi Data'!$B$14:$J$94,7,FALSE)*$F33,-2)</f>
        <v>443100</v>
      </c>
      <c r="M33" s="50">
        <f>ROUND(VLOOKUP($B33,'[1]Review Dem +Epi Data'!$B$14:$J$94,8,FALSE)*$G33,-2)</f>
        <v>378600</v>
      </c>
      <c r="N33" s="50">
        <f>ROUND(VLOOKUP($B33,'[1]Review Dem +Epi Data'!$B$14:$J$94,9,FALSE)*$H33,-2)</f>
        <v>376800</v>
      </c>
      <c r="O33" s="50">
        <f>ROUND(VLOOKUP($B33,'[1]Review Dem +Epi Data'!$B$14:$J$94,9,FALSE)*$I33,-2)</f>
        <v>437100</v>
      </c>
      <c r="P33" s="50">
        <f>ROUND(VLOOKUP($B33,'[1]Review Dem +Epi Data'!$B$14:$J$94,9,FALSE)*$J33,-2)</f>
        <v>394300</v>
      </c>
      <c r="Q33" s="50">
        <f>ROUND(VLOOKUP($B33,'[1]Review Dem +Epi Data'!$B$14:$J$94,9,FALSE)*$K33,-2)</f>
        <v>457400</v>
      </c>
    </row>
    <row r="34" s="1" customFormat="1" spans="1:17">
      <c r="A34" s="12" t="str">
        <f>IF(VLOOKUP(B34,'[1]1. Select Services'!$A$6:$E$77,5,FALSE)="x","x","")</f>
        <v>x</v>
      </c>
      <c r="B34" s="25">
        <v>30</v>
      </c>
      <c r="C34" s="25">
        <v>39</v>
      </c>
      <c r="D34" s="28"/>
      <c r="E34" s="27" t="s">
        <v>47</v>
      </c>
      <c r="F34" s="16">
        <f>VLOOKUP(B34,'[1]Spectrum Baseline Data'!$AB$3:$AG$94,6,FALSE)/100</f>
        <v>0.241</v>
      </c>
      <c r="G34" s="16" cm="1">
        <f t="array" ref="G34">IF(Package=1,$F34*(1-'[1]2. COVID Impact on Coverage'!$E$9),$F34*(1-VLOOKUP(B34,'[1]2. COVID Impact on Coverage'!$B$19:$I$92,8,FALSE)))</f>
        <v>0.20726</v>
      </c>
      <c r="H34" s="16">
        <f t="shared" si="1"/>
        <v>0.20726</v>
      </c>
      <c r="I34" s="49">
        <f>MIN($H34*(1+HLOOKUP($B34,'[1]3. Mitigation Impact on Coverag'!$HM$5:$KE$7,3,FALSE)),IF(F34*102%&gt;100%,100%,F34*102%))</f>
        <v>0.2404216</v>
      </c>
      <c r="J34" s="16">
        <f>'[1]2a. Coverage General Recovery'!J49</f>
        <v>0.2169</v>
      </c>
      <c r="K34" s="49">
        <f>MIN($J34*(1+HLOOKUP($B34,'[1]3. Mitigation Impact on Coverag'!$HM$5:$KE$7,3,FALSE)),100%)</f>
        <v>0.251604</v>
      </c>
      <c r="L34" s="50">
        <f>ROUND(VLOOKUP($B34,'[1]Review Dem +Epi Data'!$B$14:$J$94,7,FALSE)*$F34,-2)</f>
        <v>1600</v>
      </c>
      <c r="M34" s="50">
        <f>ROUND(VLOOKUP($B34,'[1]Review Dem +Epi Data'!$B$14:$J$94,8,FALSE)*$G34,-2)</f>
        <v>1400</v>
      </c>
      <c r="N34" s="50">
        <f>ROUND(VLOOKUP($B34,'[1]Review Dem +Epi Data'!$B$14:$J$94,9,FALSE)*$H34,-2)</f>
        <v>1400</v>
      </c>
      <c r="O34" s="50">
        <f>ROUND(VLOOKUP($B34,'[1]Review Dem +Epi Data'!$B$14:$J$94,9,FALSE)*$I34,-2)</f>
        <v>1600</v>
      </c>
      <c r="P34" s="50">
        <f>ROUND(VLOOKUP($B34,'[1]Review Dem +Epi Data'!$B$14:$J$94,9,FALSE)*$J34,-2)</f>
        <v>1500</v>
      </c>
      <c r="Q34" s="50">
        <f>ROUND(VLOOKUP($B34,'[1]Review Dem +Epi Data'!$B$14:$J$94,9,FALSE)*$K34,-2)</f>
        <v>1700</v>
      </c>
    </row>
    <row r="35" s="1" customFormat="1" spans="1:17">
      <c r="A35" s="12" t="str">
        <f>IF(VLOOKUP(B35,'[1]1. Select Services'!$A$6:$E$77,5,FALSE)="x","x","")</f>
        <v>x</v>
      </c>
      <c r="B35" s="25">
        <v>31</v>
      </c>
      <c r="C35" s="25">
        <v>40</v>
      </c>
      <c r="D35" s="28"/>
      <c r="E35" s="27" t="s">
        <v>48</v>
      </c>
      <c r="F35" s="16">
        <f>VLOOKUP(B35,'[1]Spectrum Baseline Data'!$AB$3:$AG$94,6,FALSE)/100</f>
        <v>0.013</v>
      </c>
      <c r="G35" s="16" cm="1">
        <f t="array" ref="G35">IF(Package=1,$F35*(1-'[1]2. COVID Impact on Coverage'!$E$9),$F35*(1-VLOOKUP(B35,'[1]2. COVID Impact on Coverage'!$B$19:$I$92,8,FALSE)))</f>
        <v>0.01118</v>
      </c>
      <c r="H35" s="16">
        <f t="shared" si="1"/>
        <v>0.01118</v>
      </c>
      <c r="I35" s="49">
        <f>MIN($H35*(1+HLOOKUP($B35,'[1]3. Mitigation Impact on Coverag'!$HM$5:$KE$7,3,FALSE)),IF(F35*102%&gt;100%,100%,F35*102%))</f>
        <v>0.0129688</v>
      </c>
      <c r="J35" s="16">
        <f>'[1]2a. Coverage General Recovery'!J50</f>
        <v>0.0117</v>
      </c>
      <c r="K35" s="49">
        <f>MIN($J35*(1+HLOOKUP($B35,'[1]3. Mitigation Impact on Coverag'!$HM$5:$KE$7,3,FALSE)),100%)</f>
        <v>0.013572</v>
      </c>
      <c r="L35" s="50">
        <f>ROUND(VLOOKUP($B35,'[1]Review Dem +Epi Data'!$B$14:$J$94,7,FALSE)*$F35,-2)</f>
        <v>400</v>
      </c>
      <c r="M35" s="50">
        <f>ROUND(VLOOKUP($B35,'[1]Review Dem +Epi Data'!$B$14:$J$94,8,FALSE)*$G35,-2)</f>
        <v>400</v>
      </c>
      <c r="N35" s="50">
        <f>ROUND(VLOOKUP($B35,'[1]Review Dem +Epi Data'!$B$14:$J$94,9,FALSE)*$H35,-2)</f>
        <v>400</v>
      </c>
      <c r="O35" s="50">
        <f>ROUND(VLOOKUP($B35,'[1]Review Dem +Epi Data'!$B$14:$J$94,9,FALSE)*$I35,-2)</f>
        <v>400</v>
      </c>
      <c r="P35" s="50">
        <f>ROUND(VLOOKUP($B35,'[1]Review Dem +Epi Data'!$B$14:$J$94,9,FALSE)*$J35,-2)</f>
        <v>400</v>
      </c>
      <c r="Q35" s="50">
        <f>ROUND(VLOOKUP($B35,'[1]Review Dem +Epi Data'!$B$14:$J$94,9,FALSE)*$K35,-2)</f>
        <v>500</v>
      </c>
    </row>
    <row r="36" s="1" customFormat="1" spans="1:17">
      <c r="A36" s="12" t="str">
        <f>IF(VLOOKUP(B36,'[1]1. Select Services'!$A$6:$E$77,5,FALSE)="x","x","")</f>
        <v/>
      </c>
      <c r="B36" s="25">
        <v>32</v>
      </c>
      <c r="C36" s="25">
        <v>41</v>
      </c>
      <c r="D36" s="28"/>
      <c r="E36" s="27" t="s">
        <v>49</v>
      </c>
      <c r="F36" s="16">
        <f>VLOOKUP(B36,'[1]Spectrum Baseline Data'!$AB$3:$AG$94,6,FALSE)/100</f>
        <v>0</v>
      </c>
      <c r="G36" s="16" cm="1">
        <f t="array" ref="G36">IF(Package=1,$F36*(1-'[1]2. COVID Impact on Coverage'!$E$9),$F36*(1-VLOOKUP(B36,'[1]2. COVID Impact on Coverage'!$B$19:$I$92,8,FALSE)))</f>
        <v>0</v>
      </c>
      <c r="H36" s="16">
        <f t="shared" si="1"/>
        <v>0</v>
      </c>
      <c r="I36" s="49">
        <f>MIN($H36*(1+HLOOKUP($B36,'[1]3. Mitigation Impact on Coverag'!$HM$5:$KE$7,3,FALSE)),IF(F36*102%&gt;100%,100%,F36*102%))</f>
        <v>0</v>
      </c>
      <c r="J36" s="16">
        <f>'[1]2a. Coverage General Recovery'!J51</f>
        <v>0</v>
      </c>
      <c r="K36" s="49">
        <f>MIN($J36*(1+HLOOKUP($B36,'[1]3. Mitigation Impact on Coverag'!$HM$5:$KE$7,3,FALSE)),100%)</f>
        <v>0</v>
      </c>
      <c r="L36" s="50">
        <f>ROUND(VLOOKUP($B36,'[1]Review Dem +Epi Data'!$B$14:$J$94,7,FALSE)*$F36,-2)</f>
        <v>0</v>
      </c>
      <c r="M36" s="50">
        <f>ROUND(VLOOKUP($B36,'[1]Review Dem +Epi Data'!$B$14:$J$94,8,FALSE)*$G36,-2)</f>
        <v>0</v>
      </c>
      <c r="N36" s="50">
        <f>ROUND(VLOOKUP($B36,'[1]Review Dem +Epi Data'!$B$14:$J$94,9,FALSE)*$H36,-2)</f>
        <v>0</v>
      </c>
      <c r="O36" s="50">
        <f>ROUND(VLOOKUP($B36,'[1]Review Dem +Epi Data'!$B$14:$J$94,9,FALSE)*$I36,-2)</f>
        <v>0</v>
      </c>
      <c r="P36" s="50">
        <f>ROUND(VLOOKUP($B36,'[1]Review Dem +Epi Data'!$B$14:$J$94,9,FALSE)*$J36,-2)</f>
        <v>0</v>
      </c>
      <c r="Q36" s="50">
        <f>ROUND(VLOOKUP($B36,'[1]Review Dem +Epi Data'!$B$14:$J$94,9,FALSE)*$K36,-2)</f>
        <v>0</v>
      </c>
    </row>
    <row r="37" s="1" customFormat="1" spans="1:17">
      <c r="A37" s="12" t="str">
        <f>IF(VLOOKUP(B37,'[1]1. Select Services'!$A$6:$E$77,5,FALSE)="x","x","")</f>
        <v/>
      </c>
      <c r="B37" s="25">
        <v>33</v>
      </c>
      <c r="C37" s="25">
        <v>65</v>
      </c>
      <c r="D37" s="28"/>
      <c r="E37" s="27" t="s">
        <v>50</v>
      </c>
      <c r="F37" s="16">
        <f>VLOOKUP(B37,'[1]Spectrum Baseline Data'!$AB$3:$AG$94,6,FALSE)/100</f>
        <v>0</v>
      </c>
      <c r="G37" s="16" cm="1">
        <f t="array" ref="G37">IF(Package=1,$F37*(1-'[1]2. COVID Impact on Coverage'!$E$9),$F37*(1-VLOOKUP(B37,'[1]2. COVID Impact on Coverage'!$B$19:$I$92,8,FALSE)))</f>
        <v>0</v>
      </c>
      <c r="H37" s="16">
        <f t="shared" si="1"/>
        <v>0</v>
      </c>
      <c r="I37" s="49">
        <f>MIN($H37*(1+HLOOKUP($B37,'[1]3. Mitigation Impact on Coverag'!$HM$5:$KE$7,3,FALSE)),IF(F37*102%&gt;100%,100%,F37*102%))</f>
        <v>0</v>
      </c>
      <c r="J37" s="16">
        <f>'[1]2a. Coverage General Recovery'!J52</f>
        <v>0</v>
      </c>
      <c r="K37" s="49">
        <f>MIN($J37*(1+HLOOKUP($B37,'[1]3. Mitigation Impact on Coverag'!$HM$5:$KE$7,3,FALSE)),100%)</f>
        <v>0</v>
      </c>
      <c r="L37" s="50">
        <f>ROUND(VLOOKUP($B37,'[1]Review Dem +Epi Data'!$B$14:$J$94,7,FALSE)*$F37,-2)</f>
        <v>0</v>
      </c>
      <c r="M37" s="50">
        <f>ROUND(VLOOKUP($B37,'[1]Review Dem +Epi Data'!$B$14:$J$94,8,FALSE)*$G37,-2)</f>
        <v>0</v>
      </c>
      <c r="N37" s="50">
        <f>ROUND(VLOOKUP($B37,'[1]Review Dem +Epi Data'!$B$14:$J$94,9,FALSE)*$H37,-2)</f>
        <v>0</v>
      </c>
      <c r="O37" s="50">
        <f>ROUND(VLOOKUP($B37,'[1]Review Dem +Epi Data'!$B$14:$J$94,9,FALSE)*$I37,-2)</f>
        <v>0</v>
      </c>
      <c r="P37" s="50">
        <f>ROUND(VLOOKUP($B37,'[1]Review Dem +Epi Data'!$B$14:$J$94,9,FALSE)*$J37,-2)</f>
        <v>0</v>
      </c>
      <c r="Q37" s="50">
        <f>ROUND(VLOOKUP($B37,'[1]Review Dem +Epi Data'!$B$14:$J$94,9,FALSE)*$K37,-2)</f>
        <v>0</v>
      </c>
    </row>
    <row r="38" s="1" customFormat="1" spans="1:17">
      <c r="A38" s="12" t="str">
        <f>IF(VLOOKUP(B38,'[1]1. Select Services'!$A$6:$E$77,5,FALSE)="x","x","")</f>
        <v>x</v>
      </c>
      <c r="B38" s="25">
        <v>34</v>
      </c>
      <c r="C38" s="25">
        <v>10</v>
      </c>
      <c r="D38" s="28"/>
      <c r="E38" s="27" t="s">
        <v>51</v>
      </c>
      <c r="F38" s="16">
        <f>VLOOKUP(B38,'[1]Spectrum Baseline Data'!$AB$3:$AG$94,6,FALSE)/100</f>
        <v>0.022</v>
      </c>
      <c r="G38" s="16" cm="1">
        <f t="array" ref="G38">IF(Package=1,$F38*(1-'[1]2. COVID Impact on Coverage'!$E$9),$F38*(1-VLOOKUP(B38,'[1]2. COVID Impact on Coverage'!$B$19:$I$92,8,FALSE)))</f>
        <v>0.01892</v>
      </c>
      <c r="H38" s="16">
        <f t="shared" si="1"/>
        <v>0.01892</v>
      </c>
      <c r="I38" s="49">
        <f>MIN($H38*(1+HLOOKUP($B38,'[1]3. Mitigation Impact on Coverag'!$HM$5:$KE$7,3,FALSE)),IF(F38*102%&gt;100%,100%,F38*102%))</f>
        <v>0.0219472</v>
      </c>
      <c r="J38" s="16">
        <f>'[1]2a. Coverage General Recovery'!J53</f>
        <v>0.0198</v>
      </c>
      <c r="K38" s="49">
        <f>MIN($J38*(1+HLOOKUP($B38,'[1]3. Mitigation Impact on Coverag'!$HM$5:$KE$7,3,FALSE)),100%)</f>
        <v>0.022968</v>
      </c>
      <c r="L38" s="50">
        <f>ROUND(VLOOKUP($B38,'[1]Review Dem +Epi Data'!$B$14:$J$94,7,FALSE)*$F38,-2)</f>
        <v>5400</v>
      </c>
      <c r="M38" s="50">
        <f>ROUND(VLOOKUP($B38,'[1]Review Dem +Epi Data'!$B$14:$J$94,8,FALSE)*$G38,-2)</f>
        <v>4700</v>
      </c>
      <c r="N38" s="50">
        <f>ROUND(VLOOKUP($B38,'[1]Review Dem +Epi Data'!$B$14:$J$94,9,FALSE)*$H38,-2)</f>
        <v>4700</v>
      </c>
      <c r="O38" s="50">
        <f>ROUND(VLOOKUP($B38,'[1]Review Dem +Epi Data'!$B$14:$J$94,9,FALSE)*$I38,-2)</f>
        <v>5400</v>
      </c>
      <c r="P38" s="50">
        <f>ROUND(VLOOKUP($B38,'[1]Review Dem +Epi Data'!$B$14:$J$94,9,FALSE)*$J38,-2)</f>
        <v>4900</v>
      </c>
      <c r="Q38" s="50">
        <f>ROUND(VLOOKUP($B38,'[1]Review Dem +Epi Data'!$B$14:$J$94,9,FALSE)*$K38,-2)</f>
        <v>5700</v>
      </c>
    </row>
    <row r="39" s="1" customFormat="1" spans="1:17">
      <c r="A39" s="12" t="str">
        <f>IF(VLOOKUP(B39,'[1]1. Select Services'!$A$6:$E$77,5,FALSE)="x","x","")</f>
        <v/>
      </c>
      <c r="B39" s="25">
        <v>35</v>
      </c>
      <c r="C39" s="25">
        <v>11</v>
      </c>
      <c r="D39" s="28"/>
      <c r="E39" s="27" t="s">
        <v>52</v>
      </c>
      <c r="F39" s="16">
        <f>VLOOKUP(B39,'[1]Spectrum Baseline Data'!$AB$3:$AG$94,6,FALSE)/100</f>
        <v>0</v>
      </c>
      <c r="G39" s="16" cm="1">
        <f t="array" ref="G39">IF(Package=1,$F39*(1-'[1]2. COVID Impact on Coverage'!$E$9),$F39*(1-VLOOKUP(B39,'[1]2. COVID Impact on Coverage'!$B$19:$I$92,8,FALSE)))</f>
        <v>0</v>
      </c>
      <c r="H39" s="16">
        <f t="shared" si="1"/>
        <v>0</v>
      </c>
      <c r="I39" s="49">
        <f>MIN($H39*(1+HLOOKUP($B39,'[1]3. Mitigation Impact on Coverag'!$HM$5:$KE$7,3,FALSE)),IF(F39*102%&gt;100%,100%,F39*102%))</f>
        <v>0</v>
      </c>
      <c r="J39" s="16">
        <f>'[1]2a. Coverage General Recovery'!J54</f>
        <v>0</v>
      </c>
      <c r="K39" s="49">
        <f>MIN($J39*(1+HLOOKUP($B39,'[1]3. Mitigation Impact on Coverag'!$HM$5:$KE$7,3,FALSE)),100%)</f>
        <v>0</v>
      </c>
      <c r="L39" s="50">
        <f>ROUND(VLOOKUP($B39,'[1]Review Dem +Epi Data'!$B$14:$J$94,7,FALSE)*$F39,-2)</f>
        <v>0</v>
      </c>
      <c r="M39" s="50">
        <f>ROUND(VLOOKUP($B39,'[1]Review Dem +Epi Data'!$B$14:$J$94,8,FALSE)*$G39,-2)</f>
        <v>0</v>
      </c>
      <c r="N39" s="50">
        <f>ROUND(VLOOKUP($B39,'[1]Review Dem +Epi Data'!$B$14:$J$94,9,FALSE)*$H39,-2)</f>
        <v>0</v>
      </c>
      <c r="O39" s="50">
        <f>ROUND(VLOOKUP($B39,'[1]Review Dem +Epi Data'!$B$14:$J$94,9,FALSE)*$I39,-2)</f>
        <v>0</v>
      </c>
      <c r="P39" s="50">
        <f>ROUND(VLOOKUP($B39,'[1]Review Dem +Epi Data'!$B$14:$J$94,9,FALSE)*$J39,-2)</f>
        <v>0</v>
      </c>
      <c r="Q39" s="50">
        <f>ROUND(VLOOKUP($B39,'[1]Review Dem +Epi Data'!$B$14:$J$94,9,FALSE)*$K39,-2)</f>
        <v>0</v>
      </c>
    </row>
    <row r="40" s="1" customFormat="1" spans="1:17">
      <c r="A40" s="12" t="str">
        <f>IF(VLOOKUP(B40,'[1]1. Select Services'!$A$6:$E$77,5,FALSE)="x","x","")</f>
        <v>x</v>
      </c>
      <c r="B40" s="25">
        <v>36</v>
      </c>
      <c r="C40" s="25">
        <v>42</v>
      </c>
      <c r="D40" s="28"/>
      <c r="E40" s="27" t="s">
        <v>53</v>
      </c>
      <c r="F40" s="16">
        <f>VLOOKUP(B40,'[1]Spectrum Baseline Data'!$AB$3:$AG$94,6,FALSE)/100</f>
        <v>0.063</v>
      </c>
      <c r="G40" s="16" cm="1">
        <f t="array" ref="G40">IF(Package=1,$F40*(1-'[1]2. COVID Impact on Coverage'!$E$9),$F40*(1-VLOOKUP(B40,'[1]2. COVID Impact on Coverage'!$B$19:$I$92,8,FALSE)))</f>
        <v>0.05418</v>
      </c>
      <c r="H40" s="16">
        <f t="shared" si="1"/>
        <v>0.05418</v>
      </c>
      <c r="I40" s="49">
        <f>MIN($H40*(1+HLOOKUP($B40,'[1]3. Mitigation Impact on Coverag'!$HM$5:$KE$7,3,FALSE)),IF(F40*102%&gt;100%,100%,F40*102%))</f>
        <v>0.0628488</v>
      </c>
      <c r="J40" s="16">
        <f>'[1]2a. Coverage General Recovery'!J55</f>
        <v>0.0567</v>
      </c>
      <c r="K40" s="49">
        <f>MIN($J40*(1+HLOOKUP($B40,'[1]3. Mitigation Impact on Coverag'!$HM$5:$KE$7,3,FALSE)),100%)</f>
        <v>0.065772</v>
      </c>
      <c r="L40" s="50">
        <f>ROUND(VLOOKUP($B40,'[1]Review Dem +Epi Data'!$B$14:$J$94,7,FALSE)*$F40,-2)</f>
        <v>4300</v>
      </c>
      <c r="M40" s="50">
        <f>ROUND(VLOOKUP($B40,'[1]Review Dem +Epi Data'!$B$14:$J$94,8,FALSE)*$G40,-2)</f>
        <v>3700</v>
      </c>
      <c r="N40" s="50">
        <f>ROUND(VLOOKUP($B40,'[1]Review Dem +Epi Data'!$B$14:$J$94,9,FALSE)*$H40,-2)</f>
        <v>3700</v>
      </c>
      <c r="O40" s="50">
        <f>ROUND(VLOOKUP($B40,'[1]Review Dem +Epi Data'!$B$14:$J$94,9,FALSE)*$I40,-2)</f>
        <v>4200</v>
      </c>
      <c r="P40" s="50">
        <f>ROUND(VLOOKUP($B40,'[1]Review Dem +Epi Data'!$B$14:$J$94,9,FALSE)*$J40,-2)</f>
        <v>3800</v>
      </c>
      <c r="Q40" s="50">
        <f>ROUND(VLOOKUP($B40,'[1]Review Dem +Epi Data'!$B$14:$J$94,9,FALSE)*$K40,-2)</f>
        <v>4400</v>
      </c>
    </row>
    <row r="41" s="1" customFormat="1" spans="1:17">
      <c r="A41" s="12" t="str">
        <f>IF(VLOOKUP(B41,'[1]1. Select Services'!$A$6:$E$77,5,FALSE)="x","x","")</f>
        <v/>
      </c>
      <c r="B41" s="25">
        <v>37</v>
      </c>
      <c r="C41" s="25">
        <v>43</v>
      </c>
      <c r="D41" s="28"/>
      <c r="E41" s="27" t="s">
        <v>54</v>
      </c>
      <c r="F41" s="16">
        <f>VLOOKUP(B41,'[1]Spectrum Baseline Data'!$AB$3:$AG$94,6,FALSE)/100</f>
        <v>0</v>
      </c>
      <c r="G41" s="16" cm="1">
        <f t="array" ref="G41">IF(Package=1,$F41*(1-'[1]2. COVID Impact on Coverage'!$E$10),$F41*(1-VLOOKUP(B41,'[1]2. COVID Impact on Coverage'!$B$19:$I$92,8,FALSE)))</f>
        <v>0</v>
      </c>
      <c r="H41" s="16">
        <f t="shared" si="1"/>
        <v>0</v>
      </c>
      <c r="I41" s="49">
        <f>MIN($H41*(1+HLOOKUP($B41,'[1]3. Mitigation Impact on Coverag'!$HM$5:$KE$7,3,FALSE)),IF(F41*102%&gt;100%,100%,F41*102%))</f>
        <v>0</v>
      </c>
      <c r="J41" s="16">
        <f>'[1]2a. Coverage General Recovery'!J56</f>
        <v>0</v>
      </c>
      <c r="K41" s="49">
        <f>MIN($J41*(1+HLOOKUP($B41,'[1]3. Mitigation Impact on Coverag'!$HM$5:$KE$7,3,FALSE)),100%)</f>
        <v>0</v>
      </c>
      <c r="L41" s="50">
        <f>ROUND(VLOOKUP($B41,'[1]Review Dem +Epi Data'!$B$14:$J$94,7,FALSE)*$F41,-2)</f>
        <v>0</v>
      </c>
      <c r="M41" s="50">
        <f>ROUND(VLOOKUP($B41,'[1]Review Dem +Epi Data'!$B$14:$J$94,8,FALSE)*$G41,-2)</f>
        <v>0</v>
      </c>
      <c r="N41" s="50">
        <f>ROUND(VLOOKUP($B41,'[1]Review Dem +Epi Data'!$B$14:$J$94,9,FALSE)*$H41,-2)</f>
        <v>0</v>
      </c>
      <c r="O41" s="50">
        <f>ROUND(VLOOKUP($B41,'[1]Review Dem +Epi Data'!$B$14:$J$94,9,FALSE)*$I41,-2)</f>
        <v>0</v>
      </c>
      <c r="P41" s="50">
        <f>ROUND(VLOOKUP($B41,'[1]Review Dem +Epi Data'!$B$14:$J$94,9,FALSE)*$J41,-2)</f>
        <v>0</v>
      </c>
      <c r="Q41" s="50">
        <f>ROUND(VLOOKUP($B41,'[1]Review Dem +Epi Data'!$B$14:$J$94,9,FALSE)*$K41,-2)</f>
        <v>0</v>
      </c>
    </row>
    <row r="42" s="1" customFormat="1" spans="1:17">
      <c r="A42" s="12" t="str">
        <f>IF(VLOOKUP(B42,'[1]1. Select Services'!$A$6:$E$77,5,FALSE)="x","x","")</f>
        <v/>
      </c>
      <c r="B42" s="25">
        <v>38</v>
      </c>
      <c r="C42" s="25">
        <v>12</v>
      </c>
      <c r="D42" s="29"/>
      <c r="E42" s="27" t="s">
        <v>55</v>
      </c>
      <c r="F42" s="16">
        <f>VLOOKUP(B42,'[1]Spectrum Baseline Data'!$AB$3:$AG$94,6,FALSE)/100</f>
        <v>0</v>
      </c>
      <c r="G42" s="16" cm="1">
        <f t="array" ref="G42">IF(Package=1,$F42*(1-'[1]2. COVID Impact on Coverage'!$E$10),$F42*(1-VLOOKUP(B42,'[1]2. COVID Impact on Coverage'!$B$19:$I$92,8,FALSE)))</f>
        <v>0</v>
      </c>
      <c r="H42" s="16">
        <f t="shared" si="1"/>
        <v>0</v>
      </c>
      <c r="I42" s="49">
        <f>MIN($H42*(1+HLOOKUP($B42,'[1]3. Mitigation Impact on Coverag'!$HM$5:$KE$7,3,FALSE)),IF(F42*102%&gt;100%,100%,F42*102%))</f>
        <v>0</v>
      </c>
      <c r="J42" s="16">
        <f>'[1]2a. Coverage General Recovery'!J57</f>
        <v>0</v>
      </c>
      <c r="K42" s="49">
        <f>MIN($J42*(1+HLOOKUP($B42,'[1]3. Mitigation Impact on Coverag'!$HM$5:$KE$7,3,FALSE)),100%)</f>
        <v>0</v>
      </c>
      <c r="L42" s="50">
        <f>ROUND(VLOOKUP($B42,'[1]Review Dem +Epi Data'!$B$14:$J$94,7,FALSE)*$F42,-2)</f>
        <v>0</v>
      </c>
      <c r="M42" s="50">
        <f>ROUND(VLOOKUP($B42,'[1]Review Dem +Epi Data'!$B$14:$J$94,8,FALSE)*$G42,-2)</f>
        <v>0</v>
      </c>
      <c r="N42" s="50">
        <f>ROUND(VLOOKUP($B42,'[1]Review Dem +Epi Data'!$B$14:$J$94,9,FALSE)*$H42,-2)</f>
        <v>0</v>
      </c>
      <c r="O42" s="50">
        <f>ROUND(VLOOKUP($B42,'[1]Review Dem +Epi Data'!$B$14:$J$94,9,FALSE)*$I42,-2)</f>
        <v>0</v>
      </c>
      <c r="P42" s="50">
        <f>ROUND(VLOOKUP($B42,'[1]Review Dem +Epi Data'!$B$14:$J$94,9,FALSE)*$J42,-2)</f>
        <v>0</v>
      </c>
      <c r="Q42" s="50">
        <f>ROUND(VLOOKUP($B42,'[1]Review Dem +Epi Data'!$B$14:$J$94,9,FALSE)*$K42,-2)</f>
        <v>0</v>
      </c>
    </row>
    <row r="43" s="1" customFormat="1" spans="1:17">
      <c r="A43" s="12" t="str">
        <f>IF(VLOOKUP(B43,'[1]1. Select Services'!$A$6:$E$77,5,FALSE)="x","x","")</f>
        <v>x</v>
      </c>
      <c r="B43" s="30">
        <v>39</v>
      </c>
      <c r="C43" s="31">
        <v>29</v>
      </c>
      <c r="D43" s="32" t="s">
        <v>56</v>
      </c>
      <c r="E43" s="33" t="s">
        <v>57</v>
      </c>
      <c r="F43" s="16">
        <f>VLOOKUP(B43,'[1]Spectrum Baseline Data'!$AB$3:$AG$94,6,FALSE)/100</f>
        <v>0.666</v>
      </c>
      <c r="G43" s="16" cm="1">
        <f t="array" ref="G43">IF(Package=1,$F43*(1-'[1]2. COVID Impact on Coverage'!$E$10),$F43*(1-VLOOKUP(B43,'[1]2. COVID Impact on Coverage'!$B$19:$I$92,8,FALSE)))</f>
        <v>0.55944</v>
      </c>
      <c r="H43" s="16">
        <f t="shared" si="1"/>
        <v>0.55944</v>
      </c>
      <c r="I43" s="49">
        <f>MIN($H43*(1+HLOOKUP($B43,'[1]3. Mitigation Impact on Coverag'!$HM$5:$KE$7,3,FALSE)),IF(F43*102%&gt;100%,100%,F43*102%))</f>
        <v>0.6489504</v>
      </c>
      <c r="J43" s="16">
        <f>'[1]2a. Coverage General Recovery'!J58</f>
        <v>0.5994</v>
      </c>
      <c r="K43" s="49">
        <f>MIN($J43*(1+HLOOKUP($B43,'[1]3. Mitigation Impact on Coverag'!$HM$5:$KE$7,3,FALSE)),100%)</f>
        <v>0.695304</v>
      </c>
      <c r="L43" s="50">
        <f>ROUND(VLOOKUP($B43,'[1]Review Dem +Epi Data'!$B$14:$J$94,7,FALSE)*$F43,-2)</f>
        <v>454000</v>
      </c>
      <c r="M43" s="50">
        <f>ROUND(VLOOKUP($B43,'[1]Review Dem +Epi Data'!$B$14:$J$94,8,FALSE)*$G43,-2)</f>
        <v>378900</v>
      </c>
      <c r="N43" s="50">
        <f>ROUND(VLOOKUP($B43,'[1]Review Dem +Epi Data'!$B$14:$J$94,9,FALSE)*$H43,-2)</f>
        <v>377100</v>
      </c>
      <c r="O43" s="50">
        <f>ROUND(VLOOKUP($B43,'[1]Review Dem +Epi Data'!$B$14:$J$94,9,FALSE)*$I43,-2)</f>
        <v>437400</v>
      </c>
      <c r="P43" s="50">
        <f>ROUND(VLOOKUP($B43,'[1]Review Dem +Epi Data'!$B$14:$J$94,9,FALSE)*$J43,-2)</f>
        <v>404000</v>
      </c>
      <c r="Q43" s="50">
        <f>ROUND(VLOOKUP($B43,'[1]Review Dem +Epi Data'!$B$14:$J$94,9,FALSE)*$K43,-2)</f>
        <v>468700</v>
      </c>
    </row>
    <row r="44" s="1" customFormat="1" spans="1:17">
      <c r="A44" s="12"/>
      <c r="B44" s="30">
        <v>40</v>
      </c>
      <c r="C44" s="31">
        <v>30</v>
      </c>
      <c r="D44" s="34"/>
      <c r="E44" s="33" t="s">
        <v>58</v>
      </c>
      <c r="F44" s="16">
        <f>VLOOKUP(B44,'[1]Spectrum Baseline Data'!$AB$3:$AG$94,6,FALSE)/100</f>
        <v>0.719</v>
      </c>
      <c r="G44" s="16" cm="1">
        <f t="array" ref="G44">IF(Package=1,$F44*(1-'[1]2. COVID Impact on Coverage'!$E$10),$F44*(1-VLOOKUP(B44,'[1]2. COVID Impact on Coverage'!$B$19:$I$92,8,FALSE)))</f>
        <v>0.60396</v>
      </c>
      <c r="H44" s="16">
        <f t="shared" si="1"/>
        <v>0.60396</v>
      </c>
      <c r="I44" s="49">
        <f>MIN($H44*(1+HLOOKUP($B44,'[1]3. Mitigation Impact on Coverag'!$HM$5:$KE$7,3,FALSE)),IF(F44*102%&gt;100%,100%,F44*102%))</f>
        <v>0.7005936</v>
      </c>
      <c r="J44" s="16">
        <f>'[1]2a. Coverage General Recovery'!J59</f>
        <v>0.6471</v>
      </c>
      <c r="K44" s="49">
        <f>MIN($J44*(1+HLOOKUP($B44,'[1]3. Mitigation Impact on Coverag'!$HM$5:$KE$7,3,FALSE)),100%)</f>
        <v>0.750636</v>
      </c>
      <c r="L44" s="50">
        <f>ROUND(VLOOKUP($B44,'[1]Review Dem +Epi Data'!$B$14:$J$94,7,FALSE)*$F44,-2)</f>
        <v>32700</v>
      </c>
      <c r="M44" s="50">
        <f>ROUND(VLOOKUP($B44,'[1]Review Dem +Epi Data'!$B$14:$J$94,8,FALSE)*$G44,-2)</f>
        <v>27300</v>
      </c>
      <c r="N44" s="50">
        <f>ROUND(VLOOKUP($B44,'[1]Review Dem +Epi Data'!$B$14:$J$94,9,FALSE)*$H44,-2)</f>
        <v>27200</v>
      </c>
      <c r="O44" s="50">
        <f>ROUND(VLOOKUP($B44,'[1]Review Dem +Epi Data'!$B$14:$J$94,9,FALSE)*$I44,-2)</f>
        <v>31500</v>
      </c>
      <c r="P44" s="50">
        <f>ROUND(VLOOKUP($B44,'[1]Review Dem +Epi Data'!$B$14:$J$94,9,FALSE)*$J44,-2)</f>
        <v>29100</v>
      </c>
      <c r="Q44" s="50">
        <f>ROUND(VLOOKUP($B44,'[1]Review Dem +Epi Data'!$B$14:$J$94,9,FALSE)*$K44,-2)</f>
        <v>33700</v>
      </c>
    </row>
    <row r="45" s="1" customFormat="1" spans="1:17">
      <c r="A45" s="12" t="str">
        <f>IF(VLOOKUP(B45,'[1]1. Select Services'!$A$6:$E$77,5,FALSE)="x","x","")</f>
        <v>x</v>
      </c>
      <c r="B45" s="30">
        <v>41</v>
      </c>
      <c r="C45" s="31">
        <v>31</v>
      </c>
      <c r="D45" s="34"/>
      <c r="E45" s="33" t="s">
        <v>59</v>
      </c>
      <c r="F45" s="16">
        <f>VLOOKUP(B45,'[1]Spectrum Baseline Data'!$AB$3:$AG$94,6,FALSE)/100</f>
        <v>0.694</v>
      </c>
      <c r="G45" s="16" cm="1">
        <f t="array" ref="G45">IF(Package=1,$F45*(1-'[1]2. COVID Impact on Coverage'!$E$10),$F45*(1-VLOOKUP(B45,'[1]2. COVID Impact on Coverage'!$B$19:$I$92,8,FALSE)))</f>
        <v>0.58296</v>
      </c>
      <c r="H45" s="16">
        <f t="shared" si="1"/>
        <v>0.58296</v>
      </c>
      <c r="I45" s="49">
        <f>MIN($H45*(1+HLOOKUP($B45,'[1]3. Mitigation Impact on Coverag'!$HM$5:$KE$7,3,FALSE)),IF(F45*102%&gt;100%,100%,F45*102%))</f>
        <v>0.6762336</v>
      </c>
      <c r="J45" s="16">
        <f>'[1]2a. Coverage General Recovery'!J60</f>
        <v>0.6246</v>
      </c>
      <c r="K45" s="49">
        <f>MIN($J45*(1+HLOOKUP($B45,'[1]3. Mitigation Impact on Coverag'!$HM$5:$KE$7,3,FALSE)),100%)</f>
        <v>0.724536</v>
      </c>
      <c r="L45" s="50">
        <f>ROUND(VLOOKUP($B45,'[1]Review Dem +Epi Data'!$B$14:$J$94,7,FALSE)*$F45,-2)</f>
        <v>473100</v>
      </c>
      <c r="M45" s="50">
        <f>ROUND(VLOOKUP($B45,'[1]Review Dem +Epi Data'!$B$14:$J$94,8,FALSE)*$G45,-2)</f>
        <v>394800</v>
      </c>
      <c r="N45" s="50">
        <f>ROUND(VLOOKUP($B45,'[1]Review Dem +Epi Data'!$B$14:$J$94,9,FALSE)*$H45,-2)</f>
        <v>392900</v>
      </c>
      <c r="O45" s="50">
        <f>ROUND(VLOOKUP($B45,'[1]Review Dem +Epi Data'!$B$14:$J$94,9,FALSE)*$I45,-2)</f>
        <v>455800</v>
      </c>
      <c r="P45" s="50">
        <f>ROUND(VLOOKUP($B45,'[1]Review Dem +Epi Data'!$B$14:$J$94,9,FALSE)*$J45,-2)</f>
        <v>421000</v>
      </c>
      <c r="Q45" s="50">
        <f>ROUND(VLOOKUP($B45,'[1]Review Dem +Epi Data'!$B$14:$J$94,9,FALSE)*$K45,-2)</f>
        <v>488400</v>
      </c>
    </row>
    <row r="46" s="1" customFormat="1" spans="1:17">
      <c r="A46" s="12" t="str">
        <f>IF(VLOOKUP(B46,'[1]1. Select Services'!$A$6:$E$77,5,FALSE)="x","x","")</f>
        <v>x</v>
      </c>
      <c r="B46" s="30">
        <v>42</v>
      </c>
      <c r="C46" s="31">
        <v>37</v>
      </c>
      <c r="D46" s="34"/>
      <c r="E46" s="33" t="s">
        <v>60</v>
      </c>
      <c r="F46" s="16">
        <f>VLOOKUP(B46,'[1]Spectrum Baseline Data'!$AB$3:$AG$94,6,FALSE)/100</f>
        <v>0.4</v>
      </c>
      <c r="G46" s="16" cm="1">
        <f t="array" ref="G46">IF(Package=1,$F46*(1-'[1]2. COVID Impact on Coverage'!$E$10),$F46*(1-VLOOKUP(B46,'[1]2. COVID Impact on Coverage'!$B$19:$I$92,8,FALSE)))</f>
        <v>0.336</v>
      </c>
      <c r="H46" s="16">
        <f t="shared" si="1"/>
        <v>0.336</v>
      </c>
      <c r="I46" s="49">
        <f>MIN($H46*(1+HLOOKUP($B46,'[1]3. Mitigation Impact on Coverag'!$HM$5:$KE$7,3,FALSE)),IF(F46*102%&gt;100%,100%,F46*102%))</f>
        <v>0.38976</v>
      </c>
      <c r="J46" s="16">
        <f>'[1]2a. Coverage General Recovery'!J61</f>
        <v>0.36</v>
      </c>
      <c r="K46" s="49">
        <f>MIN($J46*(1+HLOOKUP($B46,'[1]3. Mitigation Impact on Coverag'!$HM$5:$KE$7,3,FALSE)),100%)</f>
        <v>0.4176</v>
      </c>
      <c r="L46" s="50">
        <f>ROUND(VLOOKUP($B46,'[1]Review Dem +Epi Data'!$B$14:$J$94,7,FALSE)*$F46,-2)</f>
        <v>13600</v>
      </c>
      <c r="M46" s="50">
        <f>ROUND(VLOOKUP($B46,'[1]Review Dem +Epi Data'!$B$14:$J$94,8,FALSE)*$G46,-2)</f>
        <v>11400</v>
      </c>
      <c r="N46" s="50">
        <f>ROUND(VLOOKUP($B46,'[1]Review Dem +Epi Data'!$B$14:$J$94,9,FALSE)*$H46,-2)</f>
        <v>11300</v>
      </c>
      <c r="O46" s="50">
        <f>ROUND(VLOOKUP($B46,'[1]Review Dem +Epi Data'!$B$14:$J$94,9,FALSE)*$I46,-2)</f>
        <v>13100</v>
      </c>
      <c r="P46" s="50">
        <f>ROUND(VLOOKUP($B46,'[1]Review Dem +Epi Data'!$B$14:$J$94,9,FALSE)*$J46,-2)</f>
        <v>12100</v>
      </c>
      <c r="Q46" s="50">
        <f>ROUND(VLOOKUP($B46,'[1]Review Dem +Epi Data'!$B$14:$J$94,9,FALSE)*$K46,-2)</f>
        <v>14100</v>
      </c>
    </row>
    <row r="47" s="1" customFormat="1" spans="1:17">
      <c r="A47" s="12"/>
      <c r="B47" s="30"/>
      <c r="C47" s="35"/>
      <c r="D47" s="34"/>
      <c r="E47" s="35" t="s">
        <v>61</v>
      </c>
      <c r="F47" s="16"/>
      <c r="G47" s="16"/>
      <c r="H47" s="16"/>
      <c r="I47" s="49"/>
      <c r="J47" s="16"/>
      <c r="K47" s="49"/>
      <c r="L47" s="50"/>
      <c r="M47" s="50"/>
      <c r="N47" s="50"/>
      <c r="O47" s="50"/>
      <c r="P47" s="50"/>
      <c r="Q47" s="50"/>
    </row>
    <row r="48" s="1" customFormat="1" spans="1:17">
      <c r="A48" s="12" t="str">
        <f>IF(VLOOKUP(B48,'[1]1. Select Services'!$A$6:$E$77,5,FALSE)="x","x","")</f>
        <v/>
      </c>
      <c r="B48" s="30">
        <v>43</v>
      </c>
      <c r="C48" s="30">
        <v>66</v>
      </c>
      <c r="D48" s="34"/>
      <c r="E48" s="36" t="s">
        <v>62</v>
      </c>
      <c r="F48" s="16">
        <f>VLOOKUP(B48,'[1]Spectrum Baseline Data'!$AB$3:$AG$94,6,FALSE)/100</f>
        <v>0</v>
      </c>
      <c r="G48" s="16" cm="1">
        <f t="array" ref="G48">IF(Package=1,$F48*(1-'[1]2. COVID Impact on Coverage'!$E$10),$F48*(1-VLOOKUP(B48,'[1]2. COVID Impact on Coverage'!$B$19:$I$92,8,FALSE)))</f>
        <v>0</v>
      </c>
      <c r="H48" s="16">
        <f t="shared" ref="H48:H58" si="2">G48</f>
        <v>0</v>
      </c>
      <c r="I48" s="49">
        <f>MIN($H48*(1+HLOOKUP($B48,'[1]3. Mitigation Impact on Coverag'!$HM$5:$KE$7,3,FALSE)),IF(F48*102%&gt;100%,100%,F48*102%))</f>
        <v>0</v>
      </c>
      <c r="J48" s="16">
        <f>'[1]2a. Coverage General Recovery'!J63</f>
        <v>0</v>
      </c>
      <c r="K48" s="49">
        <f>MIN($J48*(1+HLOOKUP($B48,'[1]3. Mitigation Impact on Coverag'!$HM$5:$KE$7,3,FALSE)),100%)</f>
        <v>0</v>
      </c>
      <c r="L48" s="50">
        <f>ROUND(VLOOKUP($B48,'[1]Review Dem +Epi Data'!$B$14:$J$94,7,FALSE)*$F48,-2)</f>
        <v>0</v>
      </c>
      <c r="M48" s="50">
        <f>ROUND(VLOOKUP($B48,'[1]Review Dem +Epi Data'!$B$14:$J$94,8,FALSE)*$G48,-2)</f>
        <v>0</v>
      </c>
      <c r="N48" s="50">
        <f>ROUND(VLOOKUP($B48,'[1]Review Dem +Epi Data'!$B$14:$J$94,9,FALSE)*$H48,-2)</f>
        <v>0</v>
      </c>
      <c r="O48" s="50">
        <f>ROUND(VLOOKUP($B48,'[1]Review Dem +Epi Data'!$B$14:$J$94,9,FALSE)*$I48,-2)</f>
        <v>0</v>
      </c>
      <c r="P48" s="50">
        <f>ROUND(VLOOKUP($B48,'[1]Review Dem +Epi Data'!$B$14:$J$94,9,FALSE)*$J48,-2)</f>
        <v>0</v>
      </c>
      <c r="Q48" s="50">
        <f>ROUND(VLOOKUP($B48,'[1]Review Dem +Epi Data'!$B$14:$J$94,9,FALSE)*$K48,-2)</f>
        <v>0</v>
      </c>
    </row>
    <row r="49" s="1" customFormat="1" spans="1:17">
      <c r="A49" s="12" t="str">
        <f>IF(VLOOKUP(B49,'[1]1. Select Services'!$A$6:$E$77,5,FALSE)="x","x","")</f>
        <v/>
      </c>
      <c r="B49" s="30">
        <v>44</v>
      </c>
      <c r="C49" s="30">
        <v>67</v>
      </c>
      <c r="D49" s="34"/>
      <c r="E49" s="36" t="s">
        <v>63</v>
      </c>
      <c r="F49" s="16">
        <f>VLOOKUP(B49,'[1]Spectrum Baseline Data'!$AB$3:$AG$94,6,FALSE)/100</f>
        <v>0</v>
      </c>
      <c r="G49" s="16" cm="1">
        <f t="array" ref="G49">IF(Package=1,$F49*(1-'[1]2. COVID Impact on Coverage'!$E$10),$F49*(1-VLOOKUP(B49,'[1]2. COVID Impact on Coverage'!$B$19:$I$92,8,FALSE)))</f>
        <v>0</v>
      </c>
      <c r="H49" s="16">
        <f t="shared" si="2"/>
        <v>0</v>
      </c>
      <c r="I49" s="49">
        <f>MIN($H49*(1+HLOOKUP($B49,'[1]3. Mitigation Impact on Coverag'!$HM$5:$KE$7,3,FALSE)),IF(F49*102%&gt;100%,100%,F49*102%))</f>
        <v>0</v>
      </c>
      <c r="J49" s="16">
        <f>'[1]2a. Coverage General Recovery'!J64</f>
        <v>0</v>
      </c>
      <c r="K49" s="49">
        <f>MIN($J49*(1+HLOOKUP($B49,'[1]3. Mitigation Impact on Coverag'!$HM$5:$KE$7,3,FALSE)),100%)</f>
        <v>0</v>
      </c>
      <c r="L49" s="50">
        <f>ROUND(VLOOKUP($B49,'[1]Review Dem +Epi Data'!$B$14:$J$94,7,FALSE)*$F49,-2)</f>
        <v>0</v>
      </c>
      <c r="M49" s="50">
        <f>ROUND(VLOOKUP($B49,'[1]Review Dem +Epi Data'!$B$14:$J$94,8,FALSE)*$G49,-2)</f>
        <v>0</v>
      </c>
      <c r="N49" s="50">
        <f>ROUND(VLOOKUP($B49,'[1]Review Dem +Epi Data'!$B$14:$J$94,9,FALSE)*$H49,-2)</f>
        <v>0</v>
      </c>
      <c r="O49" s="50">
        <f>ROUND(VLOOKUP($B49,'[1]Review Dem +Epi Data'!$B$14:$J$94,9,FALSE)*$I49,-2)</f>
        <v>0</v>
      </c>
      <c r="P49" s="50">
        <f>ROUND(VLOOKUP($B49,'[1]Review Dem +Epi Data'!$B$14:$J$94,9,FALSE)*$J49,-2)</f>
        <v>0</v>
      </c>
      <c r="Q49" s="50">
        <f>ROUND(VLOOKUP($B49,'[1]Review Dem +Epi Data'!$B$14:$J$94,9,FALSE)*$K49,-2)</f>
        <v>0</v>
      </c>
    </row>
    <row r="50" s="1" customFormat="1" spans="1:17">
      <c r="A50" s="12"/>
      <c r="B50" s="30"/>
      <c r="C50" s="35"/>
      <c r="D50" s="34"/>
      <c r="E50" s="35" t="s">
        <v>64</v>
      </c>
      <c r="F50" s="16"/>
      <c r="G50" s="16"/>
      <c r="H50" s="16"/>
      <c r="I50" s="49"/>
      <c r="J50" s="16"/>
      <c r="K50" s="49"/>
      <c r="L50" s="50"/>
      <c r="M50" s="50"/>
      <c r="N50" s="50"/>
      <c r="O50" s="50"/>
      <c r="P50" s="50"/>
      <c r="Q50" s="50"/>
    </row>
    <row r="51" s="1" customFormat="1" spans="1:17">
      <c r="A51" s="12" t="str">
        <f>IF(VLOOKUP(B51,'[1]1. Select Services'!$A$6:$E$77,5,FALSE)="x","x","")</f>
        <v/>
      </c>
      <c r="B51" s="30">
        <v>45</v>
      </c>
      <c r="C51" s="30">
        <v>68</v>
      </c>
      <c r="D51" s="34"/>
      <c r="E51" s="36" t="s">
        <v>65</v>
      </c>
      <c r="F51" s="16">
        <f>VLOOKUP(B51,'[1]Spectrum Baseline Data'!$AB$3:$AG$94,6,FALSE)/100</f>
        <v>0</v>
      </c>
      <c r="G51" s="16" cm="1">
        <f t="array" ref="G51">IF(Package=1,$F51*(1-'[1]2. COVID Impact on Coverage'!$E$10),$F51*(1-VLOOKUP(B51,'[1]2. COVID Impact on Coverage'!$B$19:$I$92,8,FALSE)))</f>
        <v>0</v>
      </c>
      <c r="H51" s="16">
        <f t="shared" si="2"/>
        <v>0</v>
      </c>
      <c r="I51" s="49">
        <f>MIN($H51*(1+HLOOKUP($B51,'[1]3. Mitigation Impact on Coverag'!$HM$5:$KE$7,3,FALSE)),IF(F51*102%&gt;100%,100%,F51*102%))</f>
        <v>0</v>
      </c>
      <c r="J51" s="16">
        <f>'[1]2a. Coverage General Recovery'!J66</f>
        <v>0</v>
      </c>
      <c r="K51" s="49">
        <f>MIN($J51*(1+HLOOKUP($B51,'[1]3. Mitigation Impact on Coverag'!$HM$5:$KE$7,3,FALSE)),100%)</f>
        <v>0</v>
      </c>
      <c r="L51" s="50">
        <f>ROUND(VLOOKUP($B51,'[1]Review Dem +Epi Data'!$B$14:$J$94,7,FALSE)*$F51,-2)</f>
        <v>0</v>
      </c>
      <c r="M51" s="50">
        <f>ROUND(VLOOKUP($B51,'[1]Review Dem +Epi Data'!$B$14:$J$94,8,FALSE)*$G51,-2)</f>
        <v>0</v>
      </c>
      <c r="N51" s="50">
        <f>ROUND(VLOOKUP($B51,'[1]Review Dem +Epi Data'!$B$14:$J$94,9,FALSE)*$H51,-2)</f>
        <v>0</v>
      </c>
      <c r="O51" s="50">
        <f>ROUND(VLOOKUP($B51,'[1]Review Dem +Epi Data'!$B$14:$J$94,9,FALSE)*$I51,-2)</f>
        <v>0</v>
      </c>
      <c r="P51" s="50">
        <f>ROUND(VLOOKUP($B51,'[1]Review Dem +Epi Data'!$B$14:$J$94,9,FALSE)*$J51,-2)</f>
        <v>0</v>
      </c>
      <c r="Q51" s="50">
        <f>ROUND(VLOOKUP($B51,'[1]Review Dem +Epi Data'!$B$14:$J$94,9,FALSE)*$K51,-2)</f>
        <v>0</v>
      </c>
    </row>
    <row r="52" s="1" customFormat="1" spans="1:17">
      <c r="A52" s="12" t="str">
        <f>IF(VLOOKUP(B52,'[1]1. Select Services'!$A$6:$E$77,5,FALSE)="x","x","")</f>
        <v>x</v>
      </c>
      <c r="B52" s="30">
        <v>46</v>
      </c>
      <c r="C52" s="30">
        <v>69</v>
      </c>
      <c r="D52" s="34"/>
      <c r="E52" s="36" t="s">
        <v>66</v>
      </c>
      <c r="F52" s="16">
        <f>VLOOKUP(B52,'[1]Spectrum Baseline Data'!$AB$3:$AG$94,6,FALSE)/100</f>
        <v>0.727</v>
      </c>
      <c r="G52" s="16" cm="1">
        <f t="array" ref="G52">IF(Package=1,$F52*(1-'[1]2. COVID Impact on Coverage'!$E$10),$F52*(1-VLOOKUP(B52,'[1]2. COVID Impact on Coverage'!$B$19:$I$92,8,FALSE)))</f>
        <v>0.61068</v>
      </c>
      <c r="H52" s="16">
        <f t="shared" si="2"/>
        <v>0.61068</v>
      </c>
      <c r="I52" s="49">
        <f>MIN($H52*(1+HLOOKUP($B52,'[1]3. Mitigation Impact on Coverag'!$HM$5:$KE$7,3,FALSE)),IF(F52*102%&gt;100%,100%,F52*102%))</f>
        <v>0.7083888</v>
      </c>
      <c r="J52" s="16">
        <f>'[1]2a. Coverage General Recovery'!J67</f>
        <v>0.6543</v>
      </c>
      <c r="K52" s="49">
        <f>MIN($J52*(1+HLOOKUP($B52,'[1]3. Mitigation Impact on Coverag'!$HM$5:$KE$7,3,FALSE)),100%)</f>
        <v>0.758988</v>
      </c>
      <c r="L52" s="50">
        <f>ROUND(VLOOKUP($B52,'[1]Review Dem +Epi Data'!$B$14:$J$94,7,FALSE)*$F52,-2)</f>
        <v>96100</v>
      </c>
      <c r="M52" s="50">
        <f>ROUND(VLOOKUP($B52,'[1]Review Dem +Epi Data'!$B$14:$J$94,8,FALSE)*$G52,-2)</f>
        <v>80200</v>
      </c>
      <c r="N52" s="50">
        <f>ROUND(VLOOKUP($B52,'[1]Review Dem +Epi Data'!$B$14:$J$94,9,FALSE)*$H52,-2)</f>
        <v>79900</v>
      </c>
      <c r="O52" s="50">
        <f>ROUND(VLOOKUP($B52,'[1]Review Dem +Epi Data'!$B$14:$J$94,9,FALSE)*$I52,-2)</f>
        <v>92600</v>
      </c>
      <c r="P52" s="50">
        <f>ROUND(VLOOKUP($B52,'[1]Review Dem +Epi Data'!$B$14:$J$94,9,FALSE)*$J52,-2)</f>
        <v>85600</v>
      </c>
      <c r="Q52" s="50">
        <f>ROUND(VLOOKUP($B52,'[1]Review Dem +Epi Data'!$B$14:$J$94,9,FALSE)*$K52,-2)</f>
        <v>99200</v>
      </c>
    </row>
    <row r="53" s="1" customFormat="1" spans="1:17">
      <c r="A53" s="12" t="str">
        <f>IF(VLOOKUP(B53,'[1]1. Select Services'!$A$6:$E$77,5,FALSE)="x","x","")</f>
        <v/>
      </c>
      <c r="B53" s="30">
        <v>47</v>
      </c>
      <c r="C53" s="30">
        <v>70</v>
      </c>
      <c r="D53" s="37"/>
      <c r="E53" s="36" t="s">
        <v>67</v>
      </c>
      <c r="F53" s="16">
        <f>VLOOKUP(B53,'[1]Spectrum Baseline Data'!$AB$3:$AG$94,6,FALSE)/100</f>
        <v>0</v>
      </c>
      <c r="G53" s="16" cm="1">
        <f t="array" ref="G53">IF(Package=1,$F53*(1-'[1]2. COVID Impact on Coverage'!$E$10),$F53*(1-VLOOKUP(B53,'[1]2. COVID Impact on Coverage'!$B$19:$I$92,8,FALSE)))</f>
        <v>0</v>
      </c>
      <c r="H53" s="16">
        <f t="shared" si="2"/>
        <v>0</v>
      </c>
      <c r="I53" s="49">
        <f>MIN($H53*(1+HLOOKUP($B53,'[1]3. Mitigation Impact on Coverag'!$HM$5:$KE$7,3,FALSE)),IF(F53*102%&gt;100%,100%,F53*102%))</f>
        <v>0</v>
      </c>
      <c r="J53" s="16">
        <f>'[1]2a. Coverage General Recovery'!J68</f>
        <v>0</v>
      </c>
      <c r="K53" s="49">
        <f>MIN($J53*(1+HLOOKUP($B53,'[1]3. Mitigation Impact on Coverag'!$HM$5:$KE$7,3,FALSE)),100%)</f>
        <v>0</v>
      </c>
      <c r="L53" s="50">
        <f>ROUND(VLOOKUP($B53,'[1]Review Dem +Epi Data'!$B$14:$J$94,7,FALSE)*$F53,-2)</f>
        <v>0</v>
      </c>
      <c r="M53" s="50">
        <f>ROUND(VLOOKUP($B53,'[1]Review Dem +Epi Data'!$B$14:$J$94,8,FALSE)*$G53,-2)</f>
        <v>0</v>
      </c>
      <c r="N53" s="50">
        <f>ROUND(VLOOKUP($B53,'[1]Review Dem +Epi Data'!$B$14:$J$94,9,FALSE)*$H53,-2)</f>
        <v>0</v>
      </c>
      <c r="O53" s="50">
        <f>ROUND(VLOOKUP($B53,'[1]Review Dem +Epi Data'!$B$14:$J$94,9,FALSE)*$I53,-2)</f>
        <v>0</v>
      </c>
      <c r="P53" s="50">
        <f>ROUND(VLOOKUP($B53,'[1]Review Dem +Epi Data'!$B$14:$J$94,9,FALSE)*$J53,-2)</f>
        <v>0</v>
      </c>
      <c r="Q53" s="50">
        <f>ROUND(VLOOKUP($B53,'[1]Review Dem +Epi Data'!$B$14:$J$94,9,FALSE)*$K53,-2)</f>
        <v>0</v>
      </c>
    </row>
    <row r="54" s="1" customFormat="1" spans="1:17">
      <c r="A54" s="12" t="str">
        <f>IF(VLOOKUP(B54,'[1]1. Select Services'!$A$6:$E$77,5,FALSE)="x","x","")</f>
        <v/>
      </c>
      <c r="B54" s="38">
        <v>48</v>
      </c>
      <c r="C54" s="38">
        <v>44</v>
      </c>
      <c r="D54" s="39" t="s">
        <v>68</v>
      </c>
      <c r="E54" s="38" t="s">
        <v>69</v>
      </c>
      <c r="F54" s="16">
        <f>VLOOKUP(B54,'[1]Spectrum Baseline Data'!$AB$3:$AG$94,6,FALSE)/100</f>
        <v>0.48</v>
      </c>
      <c r="G54" s="16">
        <f>IF(Package=1,$F54*(1-'[1]2. COVID Impact on Coverage'!$E$11),$F54*(1-VLOOKUP(48,'[1]2. COVID Impact on Coverage'!$B$19:$I$92,8,FALSE)))</f>
        <v>0.48</v>
      </c>
      <c r="H54" s="16">
        <f t="shared" si="2"/>
        <v>0.48</v>
      </c>
      <c r="I54" s="49">
        <f>MIN($H54*(1+HLOOKUP($B54,'[1]3. Mitigation Impact on Coverag'!$HM$5:$KE$7,3,FALSE)),IF(F54*102%&gt;100%,100%,F54*102%))</f>
        <v>0.4896</v>
      </c>
      <c r="J54" s="16">
        <f>'[1]2a. Coverage General Recovery'!J69</f>
        <v>0.432</v>
      </c>
      <c r="K54" s="49">
        <f>MIN($J54*(1+HLOOKUP($B54,'[1]3. Mitigation Impact on Coverag'!$HM$5:$KE$7,3,FALSE)),100%)</f>
        <v>0.50112</v>
      </c>
      <c r="L54" s="50">
        <f>ROUND(VLOOKUP(48,'[1]Review Dem +Epi Data'!$B$14:$J$94,7,FALSE)*$F54,-2)</f>
        <v>327200</v>
      </c>
      <c r="M54" s="50">
        <f>ROUND(VLOOKUP(48,'[1]Review Dem +Epi Data'!$B$14:$J$94,8,FALSE)*$G54,-2)</f>
        <v>325100</v>
      </c>
      <c r="N54" s="50">
        <f>ROUND(VLOOKUP($B54,'[1]Review Dem +Epi Data'!$B$14:$J$94,9,FALSE)*$H54,-2)</f>
        <v>323500</v>
      </c>
      <c r="O54" s="50">
        <f>ROUND(VLOOKUP(48,'[1]Review Dem +Epi Data'!$B$14:$J$94,9,FALSE)*$I54,-2)</f>
        <v>330000</v>
      </c>
      <c r="P54" s="50">
        <f>ROUND(VLOOKUP(48,'[1]Review Dem +Epi Data'!$B$14:$J$94,9,FALSE)*$J54,-2)</f>
        <v>291200</v>
      </c>
      <c r="Q54" s="50">
        <f>ROUND(VLOOKUP(48,'[1]Review Dem +Epi Data'!$B$14:$J$94,9,FALSE)*$K54,-2)</f>
        <v>337800</v>
      </c>
    </row>
    <row r="55" s="1" customFormat="1" spans="1:17">
      <c r="A55" s="12" t="str">
        <f>IF(VLOOKUP(B55,'[1]1. Select Services'!$A$6:$E$77,5,FALSE)="x","x","")</f>
        <v/>
      </c>
      <c r="B55" s="40">
        <v>49</v>
      </c>
      <c r="C55" s="40">
        <v>45</v>
      </c>
      <c r="D55" s="41"/>
      <c r="E55" s="40" t="s">
        <v>70</v>
      </c>
      <c r="F55" s="16">
        <f>VLOOKUP(B55,'[1]Spectrum Baseline Data'!$AB$3:$AG$94,6,FALSE)/100</f>
        <v>0.223</v>
      </c>
      <c r="G55" s="16">
        <f>IF(Package=1,$F55*(1-'[1]2. COVID Impact on Coverage'!$E$11),$F55*(1-VLOOKUP(B55,'[1]2. COVID Impact on Coverage'!$B$19:$I$92,8,FALSE)))</f>
        <v>0.223</v>
      </c>
      <c r="H55" s="16">
        <f t="shared" si="2"/>
        <v>0.223</v>
      </c>
      <c r="I55" s="49">
        <f>MIN($H55*(1+HLOOKUP($B55,'[1]3. Mitigation Impact on Coverag'!$HM$5:$KE$7,3,FALSE)),IF(F55*102%&gt;100%,100%,F55*102%))</f>
        <v>0.22746</v>
      </c>
      <c r="J55" s="16">
        <f>'[1]2a. Coverage General Recovery'!J70</f>
        <v>0.2007</v>
      </c>
      <c r="K55" s="49">
        <f>MIN($J55*(1+HLOOKUP($B55,'[1]3. Mitigation Impact on Coverag'!$HM$5:$KE$7,3,FALSE)),100%)</f>
        <v>0.232812</v>
      </c>
      <c r="L55" s="50">
        <f>ROUND(VLOOKUP($B55,'[1]Review Dem +Epi Data'!$B$14:$J$94,7,FALSE)*$F55,-2)</f>
        <v>152000</v>
      </c>
      <c r="M55" s="50">
        <f>ROUND(VLOOKUP($B55,'[1]Review Dem +Epi Data'!$B$14:$J$94,8,FALSE)*$G55,-2)</f>
        <v>151000</v>
      </c>
      <c r="N55" s="50">
        <f>ROUND(VLOOKUP($B55,'[1]Review Dem +Epi Data'!$B$14:$J$94,9,FALSE)*$H55,-2)</f>
        <v>150300</v>
      </c>
      <c r="O55" s="50">
        <f>ROUND(VLOOKUP($B55,'[1]Review Dem +Epi Data'!$B$14:$J$94,9,FALSE)*$I55,-2)</f>
        <v>153300</v>
      </c>
      <c r="P55" s="50">
        <f>ROUND(VLOOKUP($B55,'[1]Review Dem +Epi Data'!$B$14:$J$94,9,FALSE)*$J55,-2)</f>
        <v>135300</v>
      </c>
      <c r="Q55" s="50">
        <f>ROUND(VLOOKUP($B55,'[1]Review Dem +Epi Data'!$B$14:$J$94,9,FALSE)*$K55,-2)</f>
        <v>156900</v>
      </c>
    </row>
    <row r="56" s="1" customFormat="1" spans="1:17">
      <c r="A56" s="12"/>
      <c r="B56" s="40">
        <v>50</v>
      </c>
      <c r="C56" s="40">
        <v>46</v>
      </c>
      <c r="D56" s="42"/>
      <c r="E56" s="40" t="s">
        <v>71</v>
      </c>
      <c r="F56" s="16">
        <f>VLOOKUP(B56,'[1]Spectrum Baseline Data'!$AB$3:$AG$94,6,FALSE)/100</f>
        <v>0.223</v>
      </c>
      <c r="G56" s="16" cm="1">
        <f t="array" ref="G56">IF(Package=1,$F56*(1-'[1]2. COVID Impact on Coverage'!$E$10),$F56*(1-VLOOKUP(B56,'[1]2. COVID Impact on Coverage'!$B$19:$I$92,8,FALSE)))</f>
        <v>0.223</v>
      </c>
      <c r="H56" s="16">
        <f t="shared" si="2"/>
        <v>0.223</v>
      </c>
      <c r="I56" s="49">
        <f>MIN($H56*(1+HLOOKUP($B56,'[1]3. Mitigation Impact on Coverag'!$HM$5:$KE$7,3,FALSE)),IF(F56*102%&gt;100%,100%,F56*102%))</f>
        <v>0.22746</v>
      </c>
      <c r="J56" s="16">
        <f>'[1]2a. Coverage General Recovery'!J71</f>
        <v>0.2007</v>
      </c>
      <c r="K56" s="49">
        <f>MIN($J56*(1+HLOOKUP($B56,'[1]3. Mitigation Impact on Coverag'!$HM$5:$KE$7,3,FALSE)),100%)</f>
        <v>0.232812</v>
      </c>
      <c r="L56" s="50">
        <f>ROUND(VLOOKUP($B56,'[1]Review Dem +Epi Data'!$B$14:$J$94,7,FALSE)*$F56,-2)</f>
        <v>76000</v>
      </c>
      <c r="M56" s="50">
        <f>ROUND(VLOOKUP($B56,'[1]Review Dem +Epi Data'!$B$14:$J$94,8,FALSE)*$G56,-2)</f>
        <v>75500</v>
      </c>
      <c r="N56" s="50">
        <f>ROUND(VLOOKUP($B56,'[1]Review Dem +Epi Data'!$B$14:$J$94,9,FALSE)*$H56,-2)</f>
        <v>75200</v>
      </c>
      <c r="O56" s="50">
        <f>ROUND(VLOOKUP($B56,'[1]Review Dem +Epi Data'!$B$14:$J$94,9,FALSE)*$I56,-2)</f>
        <v>76700</v>
      </c>
      <c r="P56" s="50">
        <f>ROUND(VLOOKUP($B56,'[1]Review Dem +Epi Data'!$B$14:$J$94,9,FALSE)*$J56,-2)</f>
        <v>67600</v>
      </c>
      <c r="Q56" s="50">
        <f>ROUND(VLOOKUP($B56,'[1]Review Dem +Epi Data'!$B$14:$J$94,9,FALSE)*$K56,-2)</f>
        <v>78500</v>
      </c>
    </row>
    <row r="57" s="1" customFormat="1" spans="1:17">
      <c r="A57" s="12" t="str">
        <f>IF(VLOOKUP(B57,'[1]1. Select Services'!$A$6:$E$77,5,FALSE)="x","x","")</f>
        <v>x</v>
      </c>
      <c r="B57" s="43">
        <v>51</v>
      </c>
      <c r="C57" s="43">
        <v>55</v>
      </c>
      <c r="D57" s="44" t="s">
        <v>72</v>
      </c>
      <c r="E57" s="43" t="s">
        <v>73</v>
      </c>
      <c r="F57" s="16">
        <f>VLOOKUP(B57,'[1]Spectrum Baseline Data'!$AB$3:$AG$94,6,FALSE)/100</f>
        <v>0.99</v>
      </c>
      <c r="G57" s="16">
        <f>IF(Package=1,$F57*(1-'[1]2. COVID Impact on Coverage'!$E$12),$F57*(1-VLOOKUP(B57,'[1]2. COVID Impact on Coverage'!$B$19:$I$92,8,FALSE)))</f>
        <v>0.8217</v>
      </c>
      <c r="H57" s="16">
        <f t="shared" si="2"/>
        <v>0.8217</v>
      </c>
      <c r="I57" s="49">
        <f>MIN($H57*(1+HLOOKUP($B57,'[1]3. Mitigation Impact on Coverag'!$HM$5:$KE$7,3,FALSE)),IF(F57*102%&gt;100%,100%,F57*102%))</f>
        <v>0.953172</v>
      </c>
      <c r="J57" s="16">
        <f>'[1]2a. Coverage General Recovery'!J72</f>
        <v>0.891</v>
      </c>
      <c r="K57" s="49">
        <f>MIN($J57*(1+HLOOKUP($B57,'[1]3. Mitigation Impact on Coverag'!$HM$5:$KE$7,3,FALSE)),100%)</f>
        <v>1</v>
      </c>
      <c r="L57" s="50">
        <f>ROUND(VLOOKUP($B57,'[1]Review Dem +Epi Data'!$B$14:$J$94,7,FALSE)*$F57,-2)</f>
        <v>674800</v>
      </c>
      <c r="M57" s="50">
        <f>ROUND(VLOOKUP($B57,'[1]Review Dem +Epi Data'!$B$14:$J$94,8,FALSE)*$G57,-2)</f>
        <v>556500</v>
      </c>
      <c r="N57" s="50">
        <f>ROUND(VLOOKUP($B57,'[1]Review Dem +Epi Data'!$B$14:$J$94,9,FALSE)*$H57,-2)</f>
        <v>553800</v>
      </c>
      <c r="O57" s="50">
        <f>ROUND(VLOOKUP($B57,'[1]Review Dem +Epi Data'!$B$14:$J$94,9,FALSE)*$I57,-2)</f>
        <v>642500</v>
      </c>
      <c r="P57" s="50">
        <f>ROUND(VLOOKUP($B57,'[1]Review Dem +Epi Data'!$B$14:$J$94,9,FALSE)*$J57,-2)</f>
        <v>600600</v>
      </c>
      <c r="Q57" s="50">
        <f>ROUND(VLOOKUP($B57,'[1]Review Dem +Epi Data'!$B$14:$J$94,9,FALSE)*$K57,-2)</f>
        <v>674000</v>
      </c>
    </row>
    <row r="58" s="1" customFormat="1" spans="1:17">
      <c r="A58" s="12" t="str">
        <f>IF(VLOOKUP(B58,'[1]1. Select Services'!$A$6:$E$77,5,FALSE)="x","x","")</f>
        <v>x</v>
      </c>
      <c r="B58" s="43">
        <v>52</v>
      </c>
      <c r="C58" s="43">
        <v>56</v>
      </c>
      <c r="D58" s="45"/>
      <c r="E58" s="43" t="s">
        <v>74</v>
      </c>
      <c r="F58" s="16">
        <f>VLOOKUP(B58,'[1]Spectrum Baseline Data'!$AB$3:$AG$94,6,FALSE)/100</f>
        <v>0.99</v>
      </c>
      <c r="G58" s="16">
        <f>IF(Package=1,$F58*(1-'[1]2. COVID Impact on Coverage'!$E$12),$F58*(1-VLOOKUP(B58,'[1]2. COVID Impact on Coverage'!$B$19:$I$92,8,FALSE)))</f>
        <v>0.8217</v>
      </c>
      <c r="H58" s="16">
        <f t="shared" si="2"/>
        <v>0.8217</v>
      </c>
      <c r="I58" s="49">
        <f>MIN($H58*(1+HLOOKUP($B58,'[1]3. Mitigation Impact on Coverag'!$HM$5:$KE$7,3,FALSE)),IF(F58*102%&gt;100%,100%,F58*102%))</f>
        <v>0.953172</v>
      </c>
      <c r="J58" s="16">
        <f>'[1]2a. Coverage General Recovery'!J73</f>
        <v>0.891</v>
      </c>
      <c r="K58" s="49">
        <f>MIN($J58*(1+HLOOKUP($B58,'[1]3. Mitigation Impact on Coverag'!$HM$5:$KE$7,3,FALSE)),100%)</f>
        <v>1</v>
      </c>
      <c r="L58" s="50">
        <f>ROUND(VLOOKUP($B58,'[1]Review Dem +Epi Data'!$B$14:$J$94,7,FALSE)*$F58,-2)</f>
        <v>674800</v>
      </c>
      <c r="M58" s="50">
        <f>ROUND(VLOOKUP($B58,'[1]Review Dem +Epi Data'!$B$14:$J$94,8,FALSE)*$G58,-2)</f>
        <v>556500</v>
      </c>
      <c r="N58" s="50">
        <f>ROUND(VLOOKUP($B58,'[1]Review Dem +Epi Data'!$B$14:$J$94,9,FALSE)*$H58,-2)</f>
        <v>553800</v>
      </c>
      <c r="O58" s="50">
        <f>ROUND(VLOOKUP($B58,'[1]Review Dem +Epi Data'!$B$14:$J$94,9,FALSE)*$I58,-2)</f>
        <v>642500</v>
      </c>
      <c r="P58" s="50">
        <f>ROUND(VLOOKUP($B58,'[1]Review Dem +Epi Data'!$B$14:$J$94,9,FALSE)*$J58,-2)</f>
        <v>600600</v>
      </c>
      <c r="Q58" s="50">
        <f>ROUND(VLOOKUP($B58,'[1]Review Dem +Epi Data'!$B$14:$J$94,9,FALSE)*$K58,-2)</f>
        <v>674000</v>
      </c>
    </row>
    <row r="59" s="1" customFormat="1" spans="1:17">
      <c r="A59" s="12"/>
      <c r="B59" s="43"/>
      <c r="C59" s="43"/>
      <c r="D59" s="45"/>
      <c r="E59" s="46" t="s">
        <v>75</v>
      </c>
      <c r="F59" s="16"/>
      <c r="G59" s="16"/>
      <c r="H59" s="16"/>
      <c r="I59" s="49"/>
      <c r="J59" s="16"/>
      <c r="K59" s="49"/>
      <c r="L59" s="50"/>
      <c r="M59" s="50"/>
      <c r="N59" s="50"/>
      <c r="O59" s="50"/>
      <c r="P59" s="50"/>
      <c r="Q59" s="50"/>
    </row>
    <row r="60" s="1" customFormat="1" spans="1:17">
      <c r="A60" s="12" t="str">
        <f>IF(VLOOKUP(B60,'[1]1. Select Services'!$A$6:$E$77,5,FALSE)="x","x","")</f>
        <v>x</v>
      </c>
      <c r="B60" s="43">
        <v>53</v>
      </c>
      <c r="C60" s="43">
        <v>57</v>
      </c>
      <c r="D60" s="45"/>
      <c r="E60" s="47" t="s">
        <v>76</v>
      </c>
      <c r="F60" s="16">
        <f>VLOOKUP(B60,'[1]Spectrum Baseline Data'!$AB$3:$AG$94,6,FALSE)/100</f>
        <v>0.99</v>
      </c>
      <c r="G60" s="16">
        <f>IF(Package=1,$F60*(1-'[1]2. COVID Impact on Coverage'!$E$12),$F60*(1-VLOOKUP(B60,'[1]2. COVID Impact on Coverage'!$B$19:$I$92,8,FALSE)))</f>
        <v>0.8217</v>
      </c>
      <c r="H60" s="16">
        <f t="shared" ref="H60:H78" si="3">G60</f>
        <v>0.8217</v>
      </c>
      <c r="I60" s="49">
        <f>MIN($H60*(1+HLOOKUP($B60,'[1]3. Mitigation Impact on Coverag'!$HM$5:$KE$7,3,FALSE)),IF(F60*102%&gt;100%,100%,F60*102%))</f>
        <v>0.953172</v>
      </c>
      <c r="J60" s="16">
        <f>'[1]2a. Coverage General Recovery'!J75</f>
        <v>0.891</v>
      </c>
      <c r="K60" s="49">
        <f>MIN($J60*(1+HLOOKUP($B60,'[1]3. Mitigation Impact on Coverag'!$HM$5:$KE$7,3,FALSE)),100%)</f>
        <v>1</v>
      </c>
      <c r="L60" s="52">
        <f>ROUND(VLOOKUP($B60,'[1]Review Dem +Epi Data'!$B$14:$J$94,7,FALSE)*$F60,-2)</f>
        <v>674800</v>
      </c>
      <c r="M60" s="52">
        <f>ROUND(VLOOKUP($B60,'[1]Review Dem +Epi Data'!$B$14:$J$94,8,FALSE)*$G60,-2)</f>
        <v>556500</v>
      </c>
      <c r="N60" s="50">
        <f>ROUND(VLOOKUP($B60,'[1]Review Dem +Epi Data'!$B$14:$J$94,9,FALSE)*$H60,-2)</f>
        <v>553800</v>
      </c>
      <c r="O60" s="52">
        <f>ROUND(VLOOKUP($B60,'[1]Review Dem +Epi Data'!$B$14:$J$94,9,FALSE)*$I60,-2)</f>
        <v>642500</v>
      </c>
      <c r="P60" s="52">
        <f>ROUND(VLOOKUP($B60,'[1]Review Dem +Epi Data'!$B$14:$J$94,9,FALSE)*$J60,-2)</f>
        <v>600600</v>
      </c>
      <c r="Q60" s="52">
        <f>ROUND(VLOOKUP($B60,'[1]Review Dem +Epi Data'!$B$14:$J$94,9,FALSE)*$K60,-2)</f>
        <v>674000</v>
      </c>
    </row>
    <row r="61" s="1" customFormat="1" spans="1:17">
      <c r="A61" s="12" t="str">
        <f>IF(VLOOKUP(B61,'[1]1. Select Services'!$A$6:$E$77,5,FALSE)="x","x","")</f>
        <v>x</v>
      </c>
      <c r="B61" s="43">
        <v>54</v>
      </c>
      <c r="C61" s="43">
        <v>58</v>
      </c>
      <c r="D61" s="45"/>
      <c r="E61" s="47" t="s">
        <v>77</v>
      </c>
      <c r="F61" s="16">
        <f>VLOOKUP(B61,'[1]Spectrum Baseline Data'!$AB$3:$AG$94,6,FALSE)/100</f>
        <v>0.99</v>
      </c>
      <c r="G61" s="16">
        <f>IF(Package=1,$F61*(1-'[1]2. COVID Impact on Coverage'!$E$12),$F61*(1-VLOOKUP(B61,'[1]2. COVID Impact on Coverage'!$B$19:$I$92,8,FALSE)))</f>
        <v>0.8217</v>
      </c>
      <c r="H61" s="16">
        <f t="shared" si="3"/>
        <v>0.8217</v>
      </c>
      <c r="I61" s="49">
        <f>MIN($H61*(1+HLOOKUP($B61,'[1]3. Mitigation Impact on Coverag'!$HM$5:$KE$7,3,FALSE)),IF(F61*102%&gt;100%,100%,F61*102%))</f>
        <v>0.953172</v>
      </c>
      <c r="J61" s="16">
        <f>'[1]2a. Coverage General Recovery'!J76</f>
        <v>0.891</v>
      </c>
      <c r="K61" s="49">
        <f>MIN($J61*(1+HLOOKUP($B61,'[1]3. Mitigation Impact on Coverag'!$HM$5:$KE$7,3,FALSE)),100%)</f>
        <v>1</v>
      </c>
      <c r="L61" s="52">
        <f>ROUND(VLOOKUP($B61,'[1]Review Dem +Epi Data'!$B$14:$J$94,7,FALSE)*$F61,-2)</f>
        <v>674800</v>
      </c>
      <c r="M61" s="52">
        <f>ROUND(VLOOKUP($B61,'[1]Review Dem +Epi Data'!$B$14:$J$94,8,FALSE)*$G61,-2)</f>
        <v>556500</v>
      </c>
      <c r="N61" s="50">
        <f>ROUND(VLOOKUP($B61,'[1]Review Dem +Epi Data'!$B$14:$J$94,9,FALSE)*$H61,-2)</f>
        <v>553800</v>
      </c>
      <c r="O61" s="52">
        <f>ROUND(VLOOKUP($B61,'[1]Review Dem +Epi Data'!$B$14:$J$94,9,FALSE)*$I61,-2)</f>
        <v>642500</v>
      </c>
      <c r="P61" s="52">
        <f>ROUND(VLOOKUP($B61,'[1]Review Dem +Epi Data'!$B$14:$J$94,9,FALSE)*$J61,-2)</f>
        <v>600600</v>
      </c>
      <c r="Q61" s="52">
        <f>ROUND(VLOOKUP($B61,'[1]Review Dem +Epi Data'!$B$14:$J$94,9,FALSE)*$K61,-2)</f>
        <v>674000</v>
      </c>
    </row>
    <row r="62" s="1" customFormat="1" spans="1:17">
      <c r="A62" s="12" t="str">
        <f>IF(VLOOKUP(B62,'[1]1. Select Services'!$A$6:$E$77,5,FALSE)="x","x","")</f>
        <v>x</v>
      </c>
      <c r="B62" s="43">
        <v>55</v>
      </c>
      <c r="C62" s="43">
        <v>59</v>
      </c>
      <c r="D62" s="45"/>
      <c r="E62" s="47" t="s">
        <v>78</v>
      </c>
      <c r="F62" s="16">
        <f>VLOOKUP(B62,'[1]Spectrum Baseline Data'!$AB$3:$AG$94,6,FALSE)/100</f>
        <v>0.99</v>
      </c>
      <c r="G62" s="16">
        <f>IF(Package=1,$F62*(1-'[1]2. COVID Impact on Coverage'!$E$12),$F62*(1-VLOOKUP(B62,'[1]2. COVID Impact on Coverage'!$B$19:$I$92,8,FALSE)))</f>
        <v>0.8217</v>
      </c>
      <c r="H62" s="16">
        <f t="shared" si="3"/>
        <v>0.8217</v>
      </c>
      <c r="I62" s="49">
        <f>MIN($H62*(1+HLOOKUP($B62,'[1]3. Mitigation Impact on Coverag'!$HM$5:$KE$7,3,FALSE)),IF(F62*102%&gt;100%,100%,F62*102%))</f>
        <v>0.953172</v>
      </c>
      <c r="J62" s="16">
        <f>'[1]2a. Coverage General Recovery'!J77</f>
        <v>0.891</v>
      </c>
      <c r="K62" s="49">
        <f>MIN($J62*(1+HLOOKUP($B62,'[1]3. Mitigation Impact on Coverag'!$HM$5:$KE$7,3,FALSE)),100%)</f>
        <v>1</v>
      </c>
      <c r="L62" s="52">
        <f>ROUND(VLOOKUP($B62,'[1]Review Dem +Epi Data'!$B$14:$J$94,7,FALSE)*$F62,-2)</f>
        <v>674800</v>
      </c>
      <c r="M62" s="52">
        <f>ROUND(VLOOKUP($B62,'[1]Review Dem +Epi Data'!$B$14:$J$94,8,FALSE)*$G62,-2)</f>
        <v>556500</v>
      </c>
      <c r="N62" s="50">
        <f>ROUND(VLOOKUP($B62,'[1]Review Dem +Epi Data'!$B$14:$J$94,9,FALSE)*$H62,-2)</f>
        <v>553800</v>
      </c>
      <c r="O62" s="52">
        <f>ROUND(VLOOKUP($B62,'[1]Review Dem +Epi Data'!$B$14:$J$94,9,FALSE)*$I62,-2)</f>
        <v>642500</v>
      </c>
      <c r="P62" s="52">
        <f>ROUND(VLOOKUP($B62,'[1]Review Dem +Epi Data'!$B$14:$J$94,9,FALSE)*$J62,-2)</f>
        <v>600600</v>
      </c>
      <c r="Q62" s="52">
        <f>ROUND(VLOOKUP($B62,'[1]Review Dem +Epi Data'!$B$14:$J$94,9,FALSE)*$K62,-2)</f>
        <v>674000</v>
      </c>
    </row>
    <row r="63" s="1" customFormat="1" spans="1:17">
      <c r="A63" s="12" t="str">
        <f>IF(VLOOKUP(B63,'[1]1. Select Services'!$A$6:$E$77,5,FALSE)="x","x","")</f>
        <v>x</v>
      </c>
      <c r="B63" s="43">
        <v>56</v>
      </c>
      <c r="C63" s="43">
        <v>60</v>
      </c>
      <c r="D63" s="45"/>
      <c r="E63" s="43" t="s">
        <v>79</v>
      </c>
      <c r="F63" s="16">
        <f>VLOOKUP(B63,'[1]Spectrum Baseline Data'!$AB$3:$AG$94,6,FALSE)/100</f>
        <v>0.99</v>
      </c>
      <c r="G63" s="16">
        <f>IF(Package=1,$F63*(1-'[1]2. COVID Impact on Coverage'!$E$12),$F63*(1-VLOOKUP(B63,'[1]2. COVID Impact on Coverage'!$B$19:$I$92,8,FALSE)))</f>
        <v>0.8217</v>
      </c>
      <c r="H63" s="16">
        <f t="shared" si="3"/>
        <v>0.8217</v>
      </c>
      <c r="I63" s="49">
        <f>MIN($H63*(1+HLOOKUP($B63,'[1]3. Mitigation Impact on Coverag'!$HM$5:$KE$7,3,FALSE)),IF(F63*102%&gt;100%,100%,F63*102%))</f>
        <v>0.953172</v>
      </c>
      <c r="J63" s="16">
        <f>'[1]2a. Coverage General Recovery'!J78</f>
        <v>0.891</v>
      </c>
      <c r="K63" s="49">
        <f>MIN($J63*(1+HLOOKUP($B63,'[1]3. Mitigation Impact on Coverag'!$HM$5:$KE$7,3,FALSE)),100%)</f>
        <v>1</v>
      </c>
      <c r="L63" s="52">
        <f>ROUND(VLOOKUP($B63,'[1]Review Dem +Epi Data'!$B$14:$J$94,7,FALSE)*$F63,-2)</f>
        <v>674800</v>
      </c>
      <c r="M63" s="52">
        <f>ROUND(VLOOKUP($B63,'[1]Review Dem +Epi Data'!$B$14:$J$94,8,FALSE)*$G63,-2)</f>
        <v>556500</v>
      </c>
      <c r="N63" s="50">
        <f>ROUND(VLOOKUP($B63,'[1]Review Dem +Epi Data'!$B$14:$J$94,9,FALSE)*$H63,-2)</f>
        <v>553800</v>
      </c>
      <c r="O63" s="52">
        <f>ROUND(VLOOKUP($B63,'[1]Review Dem +Epi Data'!$B$14:$J$94,9,FALSE)*$I63,-2)</f>
        <v>642500</v>
      </c>
      <c r="P63" s="52">
        <f>ROUND(VLOOKUP($B63,'[1]Review Dem +Epi Data'!$B$14:$J$94,9,FALSE)*$J63,-2)</f>
        <v>600600</v>
      </c>
      <c r="Q63" s="52">
        <f>ROUND(VLOOKUP($B63,'[1]Review Dem +Epi Data'!$B$14:$J$94,9,FALSE)*$K63,-2)</f>
        <v>674000</v>
      </c>
    </row>
    <row r="64" s="1" customFormat="1" spans="1:17">
      <c r="A64" s="12" t="str">
        <f>IF(VLOOKUP(B64,'[1]1. Select Services'!$A$6:$E$77,5,FALSE)="x","x","")</f>
        <v>x</v>
      </c>
      <c r="B64" s="43">
        <v>57</v>
      </c>
      <c r="C64" s="43">
        <v>61</v>
      </c>
      <c r="D64" s="45"/>
      <c r="E64" s="43" t="s">
        <v>80</v>
      </c>
      <c r="F64" s="16">
        <f>VLOOKUP(B64,'[1]Spectrum Baseline Data'!$AB$3:$AG$94,6,FALSE)/100</f>
        <v>0.99</v>
      </c>
      <c r="G64" s="16">
        <f>IF(Package=1,$F64*(1-'[1]2. COVID Impact on Coverage'!$E$12),$F64*(1-VLOOKUP(B64,'[1]2. COVID Impact on Coverage'!$B$19:$I$92,8,FALSE)))</f>
        <v>0.8217</v>
      </c>
      <c r="H64" s="16">
        <f t="shared" si="3"/>
        <v>0.8217</v>
      </c>
      <c r="I64" s="49">
        <f>MIN($H64*(1+HLOOKUP($B64,'[1]3. Mitigation Impact on Coverag'!$HM$5:$KE$7,3,FALSE)),IF(F64*102%&gt;100%,100%,F64*102%))</f>
        <v>0.953172</v>
      </c>
      <c r="J64" s="16">
        <f>'[1]2a. Coverage General Recovery'!J79</f>
        <v>0.891</v>
      </c>
      <c r="K64" s="49">
        <f>MIN($J64*(1+HLOOKUP($B64,'[1]3. Mitigation Impact on Coverag'!$HM$5:$KE$7,3,FALSE)),100%)</f>
        <v>1</v>
      </c>
      <c r="L64" s="52">
        <f>ROUND(VLOOKUP($B64,'[1]Review Dem +Epi Data'!$B$14:$J$94,7,FALSE)*$F64,-2)</f>
        <v>674800</v>
      </c>
      <c r="M64" s="52">
        <f>ROUND(VLOOKUP($B64,'[1]Review Dem +Epi Data'!$B$14:$J$94,8,FALSE)*$G64,-2)</f>
        <v>556500</v>
      </c>
      <c r="N64" s="50">
        <f>ROUND(VLOOKUP($B64,'[1]Review Dem +Epi Data'!$B$14:$J$94,9,FALSE)*$H64,-2)</f>
        <v>553800</v>
      </c>
      <c r="O64" s="52">
        <f>ROUND(VLOOKUP($B64,'[1]Review Dem +Epi Data'!$B$14:$J$94,9,FALSE)*$I64,-2)</f>
        <v>642500</v>
      </c>
      <c r="P64" s="52">
        <f>ROUND(VLOOKUP($B64,'[1]Review Dem +Epi Data'!$B$14:$J$94,9,FALSE)*$J64,-2)</f>
        <v>600600</v>
      </c>
      <c r="Q64" s="52">
        <f>ROUND(VLOOKUP($B64,'[1]Review Dem +Epi Data'!$B$14:$J$94,9,FALSE)*$K64,-2)</f>
        <v>674000</v>
      </c>
    </row>
    <row r="65" s="1" customFormat="1" spans="1:17">
      <c r="A65" s="12" t="str">
        <f>IF(VLOOKUP(B65,'[1]1. Select Services'!$A$6:$E$77,5,FALSE)="x","x","")</f>
        <v/>
      </c>
      <c r="B65" s="43">
        <v>58</v>
      </c>
      <c r="C65" s="43">
        <v>62</v>
      </c>
      <c r="D65" s="45"/>
      <c r="E65" s="43" t="s">
        <v>81</v>
      </c>
      <c r="F65" s="16">
        <f>VLOOKUP(B65,'[1]Spectrum Baseline Data'!$AB$3:$AG$94,6,FALSE)/100</f>
        <v>0</v>
      </c>
      <c r="G65" s="16">
        <f>IF(Package=1,$F65*(1-'[1]2. COVID Impact on Coverage'!$E$12),$F65*(1-VLOOKUP(B65,'[1]2. COVID Impact on Coverage'!$B$19:$I$92,8,FALSE)))</f>
        <v>0</v>
      </c>
      <c r="H65" s="16">
        <f t="shared" si="3"/>
        <v>0</v>
      </c>
      <c r="I65" s="49">
        <f>MIN($H65*(1+HLOOKUP($B65,'[1]3. Mitigation Impact on Coverag'!$HM$5:$KE$7,3,FALSE)),IF(F65*102%&gt;100%,100%,F65*102%))</f>
        <v>0</v>
      </c>
      <c r="J65" s="16">
        <f>'[1]2a. Coverage General Recovery'!J80</f>
        <v>0</v>
      </c>
      <c r="K65" s="49">
        <f>MIN($J65*(1+HLOOKUP($B65,'[1]3. Mitigation Impact on Coverag'!$HM$5:$KE$7,3,FALSE)),100%)</f>
        <v>0</v>
      </c>
      <c r="L65" s="52">
        <f>ROUND(VLOOKUP($B65,'[1]Review Dem +Epi Data'!$B$14:$J$94,7,FALSE)*$F65,-2)</f>
        <v>0</v>
      </c>
      <c r="M65" s="52">
        <f>ROUND(VLOOKUP($B65,'[1]Review Dem +Epi Data'!$B$14:$J$94,8,FALSE)*$G65,-2)</f>
        <v>0</v>
      </c>
      <c r="N65" s="50">
        <f>ROUND(VLOOKUP($B65,'[1]Review Dem +Epi Data'!$B$14:$J$94,9,FALSE)*$H65,-2)</f>
        <v>0</v>
      </c>
      <c r="O65" s="52">
        <f>ROUND(VLOOKUP($B65,'[1]Review Dem +Epi Data'!$B$14:$J$94,9,FALSE)*$I65,-2)</f>
        <v>0</v>
      </c>
      <c r="P65" s="52">
        <f>ROUND(VLOOKUP($B65,'[1]Review Dem +Epi Data'!$B$14:$J$94,9,FALSE)*$J65,-2)</f>
        <v>0</v>
      </c>
      <c r="Q65" s="52">
        <f>ROUND(VLOOKUP($B65,'[1]Review Dem +Epi Data'!$B$14:$J$94,9,FALSE)*$K65,-2)</f>
        <v>0</v>
      </c>
    </row>
    <row r="66" s="1" customFormat="1" spans="1:17">
      <c r="A66" s="12" t="str">
        <f>IF(VLOOKUP(B66,'[1]1. Select Services'!$A$6:$E$77,5,FALSE)="x","x","")</f>
        <v/>
      </c>
      <c r="B66" s="43">
        <v>59</v>
      </c>
      <c r="C66" s="43">
        <v>63</v>
      </c>
      <c r="D66" s="45"/>
      <c r="E66" s="43" t="s">
        <v>82</v>
      </c>
      <c r="F66" s="16">
        <f>VLOOKUP(B66,'[1]Spectrum Baseline Data'!$AB$3:$AG$94,6,FALSE)/100</f>
        <v>0</v>
      </c>
      <c r="G66" s="16">
        <f>IF(Package=1,$F66*(1-'[1]2. COVID Impact on Coverage'!$E$12),$F66*(1-VLOOKUP(B66,'[1]2. COVID Impact on Coverage'!$B$19:$I$92,8,FALSE)))</f>
        <v>0</v>
      </c>
      <c r="H66" s="16">
        <f t="shared" si="3"/>
        <v>0</v>
      </c>
      <c r="I66" s="49">
        <f>MIN($H66*(1+HLOOKUP($B66,'[1]3. Mitigation Impact on Coverag'!$HM$5:$KE$7,3,FALSE)),IF(F66*102%&gt;100%,100%,F66*102%))</f>
        <v>0</v>
      </c>
      <c r="J66" s="16">
        <f>'[1]2a. Coverage General Recovery'!J81</f>
        <v>0</v>
      </c>
      <c r="K66" s="49">
        <f>MIN($J66*(1+HLOOKUP($B66,'[1]3. Mitigation Impact on Coverag'!$HM$5:$KE$7,3,FALSE)),100%)</f>
        <v>0</v>
      </c>
      <c r="L66" s="52">
        <f>ROUND(VLOOKUP($B66,'[1]Review Dem +Epi Data'!$B$14:$J$94,7,FALSE)*$F66,-2)</f>
        <v>0</v>
      </c>
      <c r="M66" s="52">
        <f>ROUND(VLOOKUP($B66,'[1]Review Dem +Epi Data'!$B$14:$J$94,8,FALSE)*$G66,-2)</f>
        <v>0</v>
      </c>
      <c r="N66" s="50">
        <f>ROUND(VLOOKUP($B66,'[1]Review Dem +Epi Data'!$B$14:$J$94,9,FALSE)*$H66,-2)</f>
        <v>0</v>
      </c>
      <c r="O66" s="52">
        <f>ROUND(VLOOKUP($B66,'[1]Review Dem +Epi Data'!$B$14:$J$94,9,FALSE)*$I66,-2)</f>
        <v>0</v>
      </c>
      <c r="P66" s="52">
        <f>ROUND(VLOOKUP($B66,'[1]Review Dem +Epi Data'!$B$14:$J$94,9,FALSE)*$J66,-2)</f>
        <v>0</v>
      </c>
      <c r="Q66" s="52">
        <f>ROUND(VLOOKUP($B66,'[1]Review Dem +Epi Data'!$B$14:$J$94,9,FALSE)*$K66,-2)</f>
        <v>0</v>
      </c>
    </row>
    <row r="67" s="1" customFormat="1" spans="1:17">
      <c r="A67" s="12" t="str">
        <f>IF(VLOOKUP(B67,'[1]1. Select Services'!$A$6:$E$77,5,FALSE)="x","x","")</f>
        <v>x</v>
      </c>
      <c r="B67" s="43">
        <v>60</v>
      </c>
      <c r="C67" s="43">
        <v>64</v>
      </c>
      <c r="D67" s="53"/>
      <c r="E67" s="43" t="s">
        <v>83</v>
      </c>
      <c r="F67" s="16">
        <f>VLOOKUP(B67,'[1]Spectrum Baseline Data'!$AB$3:$AG$94,6,FALSE)/100</f>
        <v>0.99</v>
      </c>
      <c r="G67" s="16">
        <f>IF(Package=1,$F67*(1-'[1]2. COVID Impact on Coverage'!$E$12),$F67*(1-VLOOKUP(B67,'[1]2. COVID Impact on Coverage'!$B$19:$I$92,8,FALSE)))</f>
        <v>0.8217</v>
      </c>
      <c r="H67" s="16">
        <f t="shared" si="3"/>
        <v>0.8217</v>
      </c>
      <c r="I67" s="49">
        <f>MIN($H67*(1+HLOOKUP($B67,'[1]3. Mitigation Impact on Coverag'!$HM$5:$KE$7,3,FALSE)),IF(F67*102%&gt;100%,100%,F67*102%))</f>
        <v>0.953172</v>
      </c>
      <c r="J67" s="16">
        <f>'[1]2a. Coverage General Recovery'!J82</f>
        <v>0.891</v>
      </c>
      <c r="K67" s="49">
        <f>MIN($J67*(1+HLOOKUP($B67,'[1]3. Mitigation Impact on Coverag'!$HM$5:$KE$7,3,FALSE)),100%)</f>
        <v>1</v>
      </c>
      <c r="L67" s="52">
        <f>ROUND(VLOOKUP($B67,'[1]Review Dem +Epi Data'!$B$14:$J$94,7,FALSE)*$F67,-2)</f>
        <v>674800</v>
      </c>
      <c r="M67" s="52">
        <f>ROUND(VLOOKUP($B67,'[1]Review Dem +Epi Data'!$B$14:$J$94,8,FALSE)*$G67,-2)</f>
        <v>556500</v>
      </c>
      <c r="N67" s="50">
        <f>ROUND(VLOOKUP($B67,'[1]Review Dem +Epi Data'!$B$14:$J$94,9,FALSE)*$H67,-2)</f>
        <v>553800</v>
      </c>
      <c r="O67" s="52">
        <f>ROUND(VLOOKUP($B67,'[1]Review Dem +Epi Data'!$B$14:$J$94,9,FALSE)*$I67,-2)</f>
        <v>642500</v>
      </c>
      <c r="P67" s="52">
        <f>ROUND(VLOOKUP($B67,'[1]Review Dem +Epi Data'!$B$14:$J$94,9,FALSE)*$J67,-2)</f>
        <v>600600</v>
      </c>
      <c r="Q67" s="52">
        <f>ROUND(VLOOKUP($B67,'[1]Review Dem +Epi Data'!$B$14:$J$94,9,FALSE)*$K67,-2)</f>
        <v>674000</v>
      </c>
    </row>
    <row r="68" s="1" customFormat="1" spans="1:17">
      <c r="A68" s="12" t="str">
        <f>IF(VLOOKUP(B68,'[1]1. Select Services'!$A$6:$E$77,5,FALSE)="x","x","")</f>
        <v>x</v>
      </c>
      <c r="B68" s="54">
        <v>61</v>
      </c>
      <c r="C68" s="54">
        <v>47</v>
      </c>
      <c r="D68" s="55" t="s">
        <v>84</v>
      </c>
      <c r="E68" s="56" t="s">
        <v>85</v>
      </c>
      <c r="F68" s="16">
        <f>VLOOKUP(B68,'[1]Spectrum Baseline Data'!$AB$3:$AG$94,6,FALSE)/100</f>
        <v>0.99</v>
      </c>
      <c r="G68" s="16">
        <f>IF(Package=1,$F68*(1-'[1]2. COVID Impact on Coverage'!$E$13),$F68*(1-VLOOKUP(B68,'[1]2. COVID Impact on Coverage'!$B$19:$I$92,8,FALSE)))</f>
        <v>0.8217</v>
      </c>
      <c r="H68" s="16">
        <f t="shared" si="3"/>
        <v>0.8217</v>
      </c>
      <c r="I68" s="49">
        <f>MIN($H68*(1+HLOOKUP($B68,'[1]3. Mitigation Impact on Coverag'!$HM$5:$KE$7,3,FALSE)),IF(F68*102%&gt;100%,100%,F68*102%))</f>
        <v>0.953172</v>
      </c>
      <c r="J68" s="16">
        <f>'[1]2a. Coverage General Recovery'!J83</f>
        <v>0.891</v>
      </c>
      <c r="K68" s="49">
        <f>MIN($J68*(1+HLOOKUP($B68,'[1]3. Mitigation Impact on Coverag'!$HM$5:$KE$7,3,FALSE)),100%)</f>
        <v>1</v>
      </c>
      <c r="L68" s="52">
        <f>ROUND(VLOOKUP($B68,'[1]Review Dem +Epi Data'!$B$14:$J$94,7,FALSE)*$F68,-2)</f>
        <v>238400</v>
      </c>
      <c r="M68" s="52">
        <f>ROUND(VLOOKUP($B68,'[1]Review Dem +Epi Data'!$B$14:$J$94,8,FALSE)*$G68,-2)</f>
        <v>196500</v>
      </c>
      <c r="N68" s="50">
        <f>ROUND(VLOOKUP($B68,'[1]Review Dem +Epi Data'!$B$14:$J$94,9,FALSE)*$H68,-2)</f>
        <v>195600</v>
      </c>
      <c r="O68" s="52">
        <f>ROUND(VLOOKUP($B68,'[1]Review Dem +Epi Data'!$B$14:$J$94,9,FALSE)*$I68,-2)</f>
        <v>226900</v>
      </c>
      <c r="P68" s="52">
        <f>ROUND(VLOOKUP($B68,'[1]Review Dem +Epi Data'!$B$14:$J$94,9,FALSE)*$J68,-2)</f>
        <v>212100</v>
      </c>
      <c r="Q68" s="52">
        <f>ROUND(VLOOKUP($B68,'[1]Review Dem +Epi Data'!$B$14:$J$94,9,FALSE)*$K68,-2)</f>
        <v>238100</v>
      </c>
    </row>
    <row r="69" s="1" customFormat="1" spans="1:17">
      <c r="A69" s="12" t="str">
        <f>IF(VLOOKUP(B69,'[1]1. Select Services'!$A$6:$E$77,5,FALSE)="x","x","")</f>
        <v/>
      </c>
      <c r="B69" s="54">
        <v>62</v>
      </c>
      <c r="C69" s="54">
        <v>48</v>
      </c>
      <c r="D69" s="57"/>
      <c r="E69" s="56" t="s">
        <v>86</v>
      </c>
      <c r="F69" s="16">
        <f>VLOOKUP(B69,'[1]Spectrum Baseline Data'!$AB$3:$AG$94,6,FALSE)/100</f>
        <v>0</v>
      </c>
      <c r="G69" s="16" cm="1">
        <f t="array" ref="G69">IF(Package=1,$F69*(1-'[1]2. COVID Impact on Coverage'!$E$10),$F69*(1-VLOOKUP(B69,'[1]2. COVID Impact on Coverage'!$B$19:$I$92,8,FALSE)))</f>
        <v>0</v>
      </c>
      <c r="H69" s="16">
        <f t="shared" si="3"/>
        <v>0</v>
      </c>
      <c r="I69" s="49">
        <f>MIN($H69*(1+HLOOKUP($B69,'[1]3. Mitigation Impact on Coverag'!$HM$5:$KE$7,3,FALSE)),IF(F69*102%&gt;100%,100%,F69*102%))</f>
        <v>0</v>
      </c>
      <c r="J69" s="16">
        <f>'[1]2a. Coverage General Recovery'!J84</f>
        <v>0</v>
      </c>
      <c r="K69" s="49">
        <f>MIN($J69*(1+HLOOKUP($B69,'[1]3. Mitigation Impact on Coverag'!$HM$5:$KE$7,3,FALSE)),100%)</f>
        <v>0</v>
      </c>
      <c r="L69" s="52">
        <f>ROUND(VLOOKUP($B69,'[1]Review Dem +Epi Data'!$B$14:$J$94,7,FALSE)*$F69,-2)</f>
        <v>0</v>
      </c>
      <c r="M69" s="52">
        <f>ROUND(VLOOKUP($B69,'[1]Review Dem +Epi Data'!$B$14:$J$94,8,FALSE)*$G69,-2)</f>
        <v>0</v>
      </c>
      <c r="N69" s="50">
        <f>ROUND(VLOOKUP($B69,'[1]Review Dem +Epi Data'!$B$14:$J$94,9,FALSE)*$H69,-2)</f>
        <v>0</v>
      </c>
      <c r="O69" s="52">
        <f>ROUND(VLOOKUP($B69,'[1]Review Dem +Epi Data'!$B$14:$J$94,9,FALSE)*$I69,-2)</f>
        <v>0</v>
      </c>
      <c r="P69" s="52">
        <f>ROUND(VLOOKUP($B69,'[1]Review Dem +Epi Data'!$B$14:$J$94,9,FALSE)*$J69,-2)</f>
        <v>0</v>
      </c>
      <c r="Q69" s="52">
        <f>ROUND(VLOOKUP($B69,'[1]Review Dem +Epi Data'!$B$14:$J$94,9,FALSE)*$K69,-2)</f>
        <v>0</v>
      </c>
    </row>
    <row r="70" s="1" customFormat="1" spans="1:17">
      <c r="A70" s="12" t="str">
        <f>IF(VLOOKUP(B70,'[1]1. Select Services'!$A$6:$E$77,5,FALSE)="x","x","")</f>
        <v>x</v>
      </c>
      <c r="B70" s="54">
        <v>63</v>
      </c>
      <c r="C70" s="54">
        <v>71</v>
      </c>
      <c r="D70" s="57"/>
      <c r="E70" s="56" t="s">
        <v>87</v>
      </c>
      <c r="F70" s="16">
        <f>VLOOKUP(B70,'[1]Spectrum Baseline Data'!$AB$3:$AG$94,6,FALSE)/100</f>
        <v>0.229</v>
      </c>
      <c r="G70" s="16" cm="1">
        <f t="array" ref="G70">IF(Package=1,$F70*(1-'[1]2. COVID Impact on Coverage'!$E$10),$F70*(1-VLOOKUP(B70,'[1]2. COVID Impact on Coverage'!$B$19:$I$92,8,FALSE)))</f>
        <v>0.19007</v>
      </c>
      <c r="H70" s="16">
        <f t="shared" si="3"/>
        <v>0.19007</v>
      </c>
      <c r="I70" s="49">
        <f>MIN($H70*(1+HLOOKUP($B70,'[1]3. Mitigation Impact on Coverag'!$HM$5:$KE$7,3,FALSE)),IF(F70*102%&gt;100%,100%,F70*102%))</f>
        <v>0.2204812</v>
      </c>
      <c r="J70" s="16">
        <f>'[1]2a. Coverage General Recovery'!J85</f>
        <v>0.2061</v>
      </c>
      <c r="K70" s="49">
        <f>MIN($J70*(1+HLOOKUP($B70,'[1]3. Mitigation Impact on Coverag'!$HM$5:$KE$7,3,FALSE)),100%)</f>
        <v>0.239076</v>
      </c>
      <c r="L70" s="52">
        <f>ROUND(VLOOKUP($B70,'[1]Review Dem +Epi Data'!$B$14:$J$94,7,FALSE)*$F70,-2)</f>
        <v>358900</v>
      </c>
      <c r="M70" s="52">
        <f>ROUND(VLOOKUP($B70,'[1]Review Dem +Epi Data'!$B$14:$J$94,8,FALSE)*$G70,-2)</f>
        <v>297900</v>
      </c>
      <c r="N70" s="50">
        <f>ROUND(VLOOKUP($B70,'[1]Review Dem +Epi Data'!$B$14:$J$94,9,FALSE)*$H70,-2)</f>
        <v>297900</v>
      </c>
      <c r="O70" s="52">
        <f>ROUND(VLOOKUP($B70,'[1]Review Dem +Epi Data'!$B$14:$J$94,9,FALSE)*$I70,-2)</f>
        <v>345500</v>
      </c>
      <c r="P70" s="52">
        <f>ROUND(VLOOKUP($B70,'[1]Review Dem +Epi Data'!$B$14:$J$94,9,FALSE)*$J70,-2)</f>
        <v>323000</v>
      </c>
      <c r="Q70" s="52">
        <f>ROUND(VLOOKUP($B70,'[1]Review Dem +Epi Data'!$B$14:$J$94,9,FALSE)*$K70,-2)</f>
        <v>374700</v>
      </c>
    </row>
    <row r="71" s="1" customFormat="1" spans="1:17">
      <c r="A71" s="12" t="str">
        <f>IF(VLOOKUP(B71,'[1]1. Select Services'!$A$6:$E$77,5,FALSE)="x","x","")</f>
        <v/>
      </c>
      <c r="B71" s="54">
        <v>64</v>
      </c>
      <c r="C71" s="54">
        <v>72</v>
      </c>
      <c r="D71" s="57"/>
      <c r="E71" s="56" t="s">
        <v>88</v>
      </c>
      <c r="F71" s="16">
        <f>VLOOKUP(B71,'[1]Spectrum Baseline Data'!$AB$3:$AG$94,6,FALSE)/100</f>
        <v>0</v>
      </c>
      <c r="G71" s="16" cm="1">
        <f t="array" ref="G71">IF(Package=1,$F71*(1-'[1]2. COVID Impact on Coverage'!$E$10),$F71*(1-VLOOKUP(B71,'[1]2. COVID Impact on Coverage'!$B$19:$I$92,8,FALSE)))</f>
        <v>0</v>
      </c>
      <c r="H71" s="16">
        <f t="shared" si="3"/>
        <v>0</v>
      </c>
      <c r="I71" s="49">
        <f>MIN($H71*(1+HLOOKUP($B71,'[1]3. Mitigation Impact on Coverag'!$HM$5:$KE$7,3,FALSE)),IF(F71*102%&gt;100%,100%,F71*102%))</f>
        <v>0</v>
      </c>
      <c r="J71" s="16">
        <f>'[1]2a. Coverage General Recovery'!J86</f>
        <v>0</v>
      </c>
      <c r="K71" s="49">
        <f>MIN($J71*(1+HLOOKUP($B71,'[1]3. Mitigation Impact on Coverag'!$HM$5:$KE$7,3,FALSE)),100%)</f>
        <v>0</v>
      </c>
      <c r="L71" s="52">
        <f>ROUND(VLOOKUP($B71,'[1]Review Dem +Epi Data'!$B$14:$J$94,7,FALSE)*$F71,-2)</f>
        <v>0</v>
      </c>
      <c r="M71" s="52">
        <f>ROUND(VLOOKUP($B71,'[1]Review Dem +Epi Data'!$B$14:$J$94,8,FALSE)*$G71,-2)</f>
        <v>0</v>
      </c>
      <c r="N71" s="50">
        <f>ROUND(VLOOKUP($B71,'[1]Review Dem +Epi Data'!$B$14:$J$94,9,FALSE)*$H71,-2)</f>
        <v>0</v>
      </c>
      <c r="O71" s="52">
        <f>ROUND(VLOOKUP($B71,'[1]Review Dem +Epi Data'!$B$14:$J$94,9,FALSE)*$I71,-2)</f>
        <v>0</v>
      </c>
      <c r="P71" s="52">
        <f>ROUND(VLOOKUP($B71,'[1]Review Dem +Epi Data'!$B$14:$J$94,9,FALSE)*$J71,-2)</f>
        <v>0</v>
      </c>
      <c r="Q71" s="52">
        <f>ROUND(VLOOKUP($B71,'[1]Review Dem +Epi Data'!$B$14:$J$94,9,FALSE)*$K71,-2)</f>
        <v>0</v>
      </c>
    </row>
    <row r="72" s="1" customFormat="1" spans="1:17">
      <c r="A72" s="12" t="str">
        <f>IF(VLOOKUP(B72,'[1]1. Select Services'!$A$6:$E$77,5,FALSE)="x","x","")</f>
        <v/>
      </c>
      <c r="B72" s="54">
        <v>65</v>
      </c>
      <c r="C72" s="54">
        <v>73</v>
      </c>
      <c r="D72" s="57"/>
      <c r="E72" s="56" t="s">
        <v>89</v>
      </c>
      <c r="F72" s="16">
        <f>VLOOKUP(B72,'[1]Spectrum Baseline Data'!$AB$3:$AG$94,6,FALSE)/100</f>
        <v>0</v>
      </c>
      <c r="G72" s="16" cm="1">
        <f t="array" ref="G72">IF(Package=1,$F72*(1-'[1]2. COVID Impact on Coverage'!$E$10),$F72*(1-VLOOKUP(B72,'[1]2. COVID Impact on Coverage'!$B$19:$I$92,8,FALSE)))</f>
        <v>0</v>
      </c>
      <c r="H72" s="16">
        <f t="shared" si="3"/>
        <v>0</v>
      </c>
      <c r="I72" s="49">
        <f>MIN($H72*(1+HLOOKUP($B72,'[1]3. Mitigation Impact on Coverag'!$HM$5:$KE$7,3,FALSE)),IF(F72*102%&gt;100%,100%,F72*102%))</f>
        <v>0</v>
      </c>
      <c r="J72" s="16">
        <f>'[1]2a. Coverage General Recovery'!J87</f>
        <v>0</v>
      </c>
      <c r="K72" s="49">
        <f>MIN($J72*(1+HLOOKUP($B72,'[1]3. Mitigation Impact on Coverag'!$HM$5:$KE$7,3,FALSE)),100%)</f>
        <v>0</v>
      </c>
      <c r="L72" s="52">
        <f>ROUND(VLOOKUP($B72,'[1]Review Dem +Epi Data'!$B$14:$J$94,7,FALSE)*$F72,-2)</f>
        <v>0</v>
      </c>
      <c r="M72" s="52">
        <f>ROUND(VLOOKUP($B72,'[1]Review Dem +Epi Data'!$B$14:$J$94,8,FALSE)*$G72,-2)</f>
        <v>0</v>
      </c>
      <c r="N72" s="50">
        <f>ROUND(VLOOKUP($B72,'[1]Review Dem +Epi Data'!$B$14:$J$94,9,FALSE)*$H72,-2)</f>
        <v>0</v>
      </c>
      <c r="O72" s="52">
        <f>ROUND(VLOOKUP($B72,'[1]Review Dem +Epi Data'!$B$14:$J$94,9,FALSE)*$I72,-2)</f>
        <v>0</v>
      </c>
      <c r="P72" s="52">
        <f>ROUND(VLOOKUP($B72,'[1]Review Dem +Epi Data'!$B$14:$J$94,9,FALSE)*$J72,-2)</f>
        <v>0</v>
      </c>
      <c r="Q72" s="52">
        <f>ROUND(VLOOKUP($B72,'[1]Review Dem +Epi Data'!$B$14:$J$94,9,FALSE)*$K72,-2)</f>
        <v>0</v>
      </c>
    </row>
    <row r="73" s="1" customFormat="1" spans="1:17">
      <c r="A73" s="12" t="str">
        <f>IF(VLOOKUP(B73,'[1]1. Select Services'!$A$6:$E$77,5,FALSE)="x","x","")</f>
        <v/>
      </c>
      <c r="B73" s="54">
        <v>66</v>
      </c>
      <c r="C73" s="54">
        <v>74</v>
      </c>
      <c r="D73" s="57"/>
      <c r="E73" s="56" t="s">
        <v>90</v>
      </c>
      <c r="F73" s="16">
        <f>VLOOKUP(B73,'[1]Spectrum Baseline Data'!$AB$3:$AG$94,6,FALSE)/100</f>
        <v>0</v>
      </c>
      <c r="G73" s="16" cm="1">
        <f t="array" ref="G73">IF(Package=1,$F73*(1-'[1]2. COVID Impact on Coverage'!$E$10),$F73*(1-VLOOKUP(B73,'[1]2. COVID Impact on Coverage'!$B$19:$I$92,8,FALSE)))</f>
        <v>0</v>
      </c>
      <c r="H73" s="16">
        <f t="shared" si="3"/>
        <v>0</v>
      </c>
      <c r="I73" s="49">
        <f>MIN($H73*(1+HLOOKUP($B73,'[1]3. Mitigation Impact on Coverag'!$HM$5:$KE$7,3,FALSE)),IF(F73*102%&gt;100%,100%,F73*102%))</f>
        <v>0</v>
      </c>
      <c r="J73" s="16">
        <f>'[1]2a. Coverage General Recovery'!J88</f>
        <v>0</v>
      </c>
      <c r="K73" s="49">
        <f>MIN($J73*(1+HLOOKUP($B73,'[1]3. Mitigation Impact on Coverag'!$HM$5:$KE$7,3,FALSE)),100%)</f>
        <v>0</v>
      </c>
      <c r="L73" s="52">
        <f>ROUND(VLOOKUP($B73,'[1]Review Dem +Epi Data'!$B$14:$J$94,7,FALSE)*$F73,-2)</f>
        <v>0</v>
      </c>
      <c r="M73" s="52">
        <f>ROUND(VLOOKUP($B73,'[1]Review Dem +Epi Data'!$B$14:$J$94,8,FALSE)*$G73,-2)</f>
        <v>0</v>
      </c>
      <c r="N73" s="50">
        <f>ROUND(VLOOKUP($B73,'[1]Review Dem +Epi Data'!$B$14:$J$94,9,FALSE)*$H73,-2)</f>
        <v>0</v>
      </c>
      <c r="O73" s="52">
        <f>ROUND(VLOOKUP($B73,'[1]Review Dem +Epi Data'!$B$14:$J$94,9,FALSE)*$I73,-2)</f>
        <v>0</v>
      </c>
      <c r="P73" s="52">
        <f>ROUND(VLOOKUP($B73,'[1]Review Dem +Epi Data'!$B$14:$J$94,9,FALSE)*$J73,-2)</f>
        <v>0</v>
      </c>
      <c r="Q73" s="52">
        <f>ROUND(VLOOKUP($B73,'[1]Review Dem +Epi Data'!$B$14:$J$94,9,FALSE)*$K73,-2)</f>
        <v>0</v>
      </c>
    </row>
    <row r="74" s="1" customFormat="1" spans="1:17">
      <c r="A74" s="12" t="str">
        <f>IF(VLOOKUP(B74,'[1]1. Select Services'!$A$6:$E$77,5,FALSE)="x","x","")</f>
        <v>x</v>
      </c>
      <c r="B74" s="54">
        <v>67</v>
      </c>
      <c r="C74" s="54">
        <v>75</v>
      </c>
      <c r="D74" s="57"/>
      <c r="E74" s="56" t="s">
        <v>91</v>
      </c>
      <c r="F74" s="16">
        <f>VLOOKUP(B74,'[1]Spectrum Baseline Data'!$AB$3:$AG$94,6,FALSE)/100</f>
        <v>0.99</v>
      </c>
      <c r="G74" s="16" cm="1">
        <f t="array" ref="G74">IF(Package=1,$F74*(1-'[1]2. COVID Impact on Coverage'!$E$10),$F74*(1-VLOOKUP(B74,'[1]2. COVID Impact on Coverage'!$B$19:$I$92,8,FALSE)))</f>
        <v>0.8217</v>
      </c>
      <c r="H74" s="16">
        <f t="shared" si="3"/>
        <v>0.8217</v>
      </c>
      <c r="I74" s="49">
        <f>MIN($H74*(1+HLOOKUP($B74,'[1]3. Mitigation Impact on Coverag'!$HM$5:$KE$7,3,FALSE)),IF(F74*102%&gt;100%,100%,F74*102%))</f>
        <v>0.953172</v>
      </c>
      <c r="J74" s="16">
        <f>'[1]2a. Coverage General Recovery'!J89</f>
        <v>0.891</v>
      </c>
      <c r="K74" s="49">
        <f>MIN($J74*(1+HLOOKUP($B74,'[1]3. Mitigation Impact on Coverag'!$HM$5:$KE$7,3,FALSE)),100%)</f>
        <v>1</v>
      </c>
      <c r="L74" s="52">
        <f>ROUND(VLOOKUP($B74,'[1]Review Dem +Epi Data'!$B$14:$J$94,7,FALSE)*$F74,-2)</f>
        <v>100</v>
      </c>
      <c r="M74" s="52">
        <f>ROUND(VLOOKUP($B74,'[1]Review Dem +Epi Data'!$B$14:$J$94,8,FALSE)*$G74,-2)</f>
        <v>100</v>
      </c>
      <c r="N74" s="50">
        <f>ROUND(VLOOKUP($B74,'[1]Review Dem +Epi Data'!$B$14:$J$94,9,FALSE)*$H74,-2)</f>
        <v>100</v>
      </c>
      <c r="O74" s="52">
        <f>ROUND(VLOOKUP($B74,'[1]Review Dem +Epi Data'!$B$14:$J$94,9,FALSE)*$I74,-2)</f>
        <v>100</v>
      </c>
      <c r="P74" s="52">
        <f>ROUND(VLOOKUP($B74,'[1]Review Dem +Epi Data'!$B$14:$J$94,9,FALSE)*$J74,-2)</f>
        <v>100</v>
      </c>
      <c r="Q74" s="52">
        <f>ROUND(VLOOKUP($B74,'[1]Review Dem +Epi Data'!$B$14:$J$94,9,FALSE)*$K74,-2)</f>
        <v>100</v>
      </c>
    </row>
    <row r="75" s="1" customFormat="1" spans="1:17">
      <c r="A75" s="12" t="str">
        <f>IF(VLOOKUP(B75,'[1]1. Select Services'!$A$6:$E$77,5,FALSE)="x","x","")</f>
        <v/>
      </c>
      <c r="B75" s="54">
        <v>68</v>
      </c>
      <c r="C75" s="54">
        <v>76</v>
      </c>
      <c r="D75" s="57"/>
      <c r="E75" s="56" t="s">
        <v>92</v>
      </c>
      <c r="F75" s="16">
        <f>VLOOKUP(B75,'[1]Spectrum Baseline Data'!$AB$3:$AG$94,6,FALSE)/100</f>
        <v>0</v>
      </c>
      <c r="G75" s="16" cm="1">
        <f t="array" ref="G75">IF(Package=1,$F75*(1-'[1]2. COVID Impact on Coverage'!$E$10),$F75*(1-VLOOKUP(B75,'[1]2. COVID Impact on Coverage'!$B$19:$I$92,8,FALSE)))</f>
        <v>0</v>
      </c>
      <c r="H75" s="16">
        <f t="shared" si="3"/>
        <v>0</v>
      </c>
      <c r="I75" s="49">
        <f>MIN($H75*(1+HLOOKUP($B75,'[1]3. Mitigation Impact on Coverag'!$HM$5:$KE$7,3,FALSE)),IF(F75*102%&gt;100%,100%,F75*102%))</f>
        <v>0</v>
      </c>
      <c r="J75" s="16">
        <f>'[1]2a. Coverage General Recovery'!J90</f>
        <v>0</v>
      </c>
      <c r="K75" s="49">
        <f>MIN($J75*(1+HLOOKUP($B75,'[1]3. Mitigation Impact on Coverag'!$HM$5:$KE$7,3,FALSE)),100%)</f>
        <v>0</v>
      </c>
      <c r="L75" s="52">
        <f>ROUND(VLOOKUP($B75,'[1]Review Dem +Epi Data'!$B$14:$J$94,7,FALSE)*$F75,-2)</f>
        <v>0</v>
      </c>
      <c r="M75" s="52">
        <f>ROUND(VLOOKUP($B75,'[1]Review Dem +Epi Data'!$B$14:$J$94,8,FALSE)*$G75,-2)</f>
        <v>0</v>
      </c>
      <c r="N75" s="50">
        <f>ROUND(VLOOKUP($B75,'[1]Review Dem +Epi Data'!$B$14:$J$94,9,FALSE)*$H75,-2)</f>
        <v>0</v>
      </c>
      <c r="O75" s="52">
        <f>ROUND(VLOOKUP($B75,'[1]Review Dem +Epi Data'!$B$14:$J$94,9,FALSE)*$I75,-2)</f>
        <v>0</v>
      </c>
      <c r="P75" s="52">
        <f>ROUND(VLOOKUP($B75,'[1]Review Dem +Epi Data'!$B$14:$J$94,9,FALSE)*$J75,-2)</f>
        <v>0</v>
      </c>
      <c r="Q75" s="52">
        <f>ROUND(VLOOKUP($B75,'[1]Review Dem +Epi Data'!$B$14:$J$94,9,FALSE)*$K75,-2)</f>
        <v>0</v>
      </c>
    </row>
    <row r="76" s="1" customFormat="1" spans="1:17">
      <c r="A76" s="12" t="str">
        <f>IF(VLOOKUP(B76,'[1]1. Select Services'!$A$6:$E$77,5,FALSE)="x","x","")</f>
        <v/>
      </c>
      <c r="B76" s="58">
        <v>69</v>
      </c>
      <c r="C76" s="58">
        <v>77</v>
      </c>
      <c r="D76" s="59" t="s">
        <v>93</v>
      </c>
      <c r="E76" s="58" t="s">
        <v>94</v>
      </c>
      <c r="F76" s="16">
        <f>VLOOKUP(B76,'[1]Spectrum Baseline Data'!$AB$3:$AG$94,6,FALSE)/100</f>
        <v>0</v>
      </c>
      <c r="G76" s="16">
        <f>IF(Package=1,$F76*(1-'[1]2. COVID Impact on Coverage'!$E$14),$F76*(1-VLOOKUP(B76,'[1]2. COVID Impact on Coverage'!$B$19:$I$92,8,FALSE)))</f>
        <v>0</v>
      </c>
      <c r="H76" s="16">
        <f t="shared" si="3"/>
        <v>0</v>
      </c>
      <c r="I76" s="49">
        <f>MIN($H76*(1+HLOOKUP($B76,'[1]3. Mitigation Impact on Coverag'!$HM$5:$KE$7,3,FALSE)),IF(F76*102%&gt;100%,100%,F76*102%))</f>
        <v>0</v>
      </c>
      <c r="J76" s="16">
        <f>'[1]2a. Coverage General Recovery'!J91</f>
        <v>0</v>
      </c>
      <c r="K76" s="49">
        <f>MIN($J76*(1+HLOOKUP($B76,'[1]3. Mitigation Impact on Coverag'!$HM$5:$KE$7,3,FALSE)),100%)</f>
        <v>0</v>
      </c>
      <c r="L76" s="52">
        <f>ROUND(VLOOKUP($B76,'[1]Review Dem +Epi Data'!$B$14:$J$94,7,FALSE)*$F76,-2)</f>
        <v>0</v>
      </c>
      <c r="M76" s="52">
        <f>ROUND(VLOOKUP($B76,'[1]Review Dem +Epi Data'!$B$14:$J$94,8,FALSE)*$G76,-2)</f>
        <v>0</v>
      </c>
      <c r="N76" s="50">
        <f>ROUND(VLOOKUP($B76,'[1]Review Dem +Epi Data'!$B$14:$J$94,9,FALSE)*$H76,-2)</f>
        <v>0</v>
      </c>
      <c r="O76" s="52">
        <f>ROUND(VLOOKUP($B76,'[1]Review Dem +Epi Data'!$B$14:$J$94,9,FALSE)*$I76,-2)</f>
        <v>0</v>
      </c>
      <c r="P76" s="52">
        <f>ROUND(VLOOKUP($B76,'[1]Review Dem +Epi Data'!$B$14:$J$94,9,FALSE)*$J76,-2)</f>
        <v>0</v>
      </c>
      <c r="Q76" s="52">
        <f>ROUND(VLOOKUP($B76,'[1]Review Dem +Epi Data'!$B$14:$J$94,9,FALSE)*$K76,-2)</f>
        <v>0</v>
      </c>
    </row>
    <row r="77" s="1" customFormat="1" spans="1:17">
      <c r="A77" s="12" t="str">
        <f>IF(VLOOKUP(B77,'[1]1. Select Services'!$A$6:$E$77,5,FALSE)="x","x","")</f>
        <v/>
      </c>
      <c r="B77" s="58">
        <v>70</v>
      </c>
      <c r="C77" s="58">
        <v>78</v>
      </c>
      <c r="D77" s="59"/>
      <c r="E77" s="58" t="s">
        <v>95</v>
      </c>
      <c r="F77" s="16">
        <f>VLOOKUP(B77,'[1]Spectrum Baseline Data'!$AB$3:$AG$94,6,FALSE)/100</f>
        <v>0</v>
      </c>
      <c r="G77" s="16">
        <f>IF(Package=1,$F77*(1-'[1]2. COVID Impact on Coverage'!$E$14),$F77*(1-VLOOKUP(B77,'[1]2. COVID Impact on Coverage'!$B$19:$I$92,8,FALSE)))</f>
        <v>0</v>
      </c>
      <c r="H77" s="16">
        <f t="shared" si="3"/>
        <v>0</v>
      </c>
      <c r="I77" s="49">
        <f>MIN($H77*(1+HLOOKUP($B77,'[1]3. Mitigation Impact on Coverag'!$HM$5:$KE$7,3,FALSE)),IF(F77*102%&gt;100%,100%,F77*102%))</f>
        <v>0</v>
      </c>
      <c r="J77" s="16">
        <f>'[1]2a. Coverage General Recovery'!J92</f>
        <v>0</v>
      </c>
      <c r="K77" s="49">
        <f>MIN($J77*(1+HLOOKUP($B77,'[1]3. Mitigation Impact on Coverag'!$HM$5:$KE$7,3,FALSE)),100%)</f>
        <v>0</v>
      </c>
      <c r="L77" s="52">
        <f>ROUND(VLOOKUP($B77,'[1]Review Dem +Epi Data'!$B$14:$J$94,7,FALSE)*$F77,-2)</f>
        <v>0</v>
      </c>
      <c r="M77" s="52">
        <f>ROUND(VLOOKUP($B77,'[1]Review Dem +Epi Data'!$B$14:$J$94,8,FALSE)*$G77,-2)</f>
        <v>0</v>
      </c>
      <c r="N77" s="50">
        <f>ROUND(VLOOKUP($B77,'[1]Review Dem +Epi Data'!$B$14:$J$94,9,FALSE)*$H77,-2)</f>
        <v>0</v>
      </c>
      <c r="O77" s="52">
        <f>ROUND(VLOOKUP($B77,'[1]Review Dem +Epi Data'!$B$14:$J$94,9,FALSE)*$I77,-2)</f>
        <v>0</v>
      </c>
      <c r="P77" s="52">
        <f>ROUND(VLOOKUP($B77,'[1]Review Dem +Epi Data'!$B$14:$J$94,9,FALSE)*$J77,-2)</f>
        <v>0</v>
      </c>
      <c r="Q77" s="52">
        <f>ROUND(VLOOKUP($B77,'[1]Review Dem +Epi Data'!$B$14:$J$94,9,FALSE)*$K77,-2)</f>
        <v>0</v>
      </c>
    </row>
    <row r="78" s="1" customFormat="1" spans="1:17">
      <c r="A78" s="12" t="str">
        <f>IF(VLOOKUP(B78,'[1]1. Select Services'!$A$6:$E$77,5,FALSE)="x","x","")</f>
        <v/>
      </c>
      <c r="B78" s="60">
        <v>71</v>
      </c>
      <c r="C78" s="61">
        <v>54</v>
      </c>
      <c r="D78" s="62" t="s">
        <v>96</v>
      </c>
      <c r="E78" s="61" t="s">
        <v>97</v>
      </c>
      <c r="F78" s="16">
        <f>VLOOKUP(B78,'[1]Spectrum Baseline Data'!$AB$3:$AG$94,6,FALSE)/100</f>
        <v>0</v>
      </c>
      <c r="G78" s="16">
        <f>IF(Package=1,$F78*(1-'[1]2. COVID Impact on Coverage'!$E$15),$F78*(1-VLOOKUP(B78,'[1]2. COVID Impact on Coverage'!$B$19:$I$92,8,FALSE)))</f>
        <v>0</v>
      </c>
      <c r="H78" s="16">
        <f t="shared" si="3"/>
        <v>0</v>
      </c>
      <c r="I78" s="49">
        <f>MIN($H78*(1+HLOOKUP($B78,'[1]3. Mitigation Impact on Coverag'!$HM$5:$KE$7,3,FALSE)),IF(F78*102%&gt;100%,100%,F78*102%))</f>
        <v>0</v>
      </c>
      <c r="J78" s="16">
        <f>'[1]2a. Coverage General Recovery'!J93</f>
        <v>0</v>
      </c>
      <c r="K78" s="49">
        <f>MIN($J78*(1+HLOOKUP($B78,'[1]3. Mitigation Impact on Coverag'!$HM$5:$KE$7,3,FALSE)),100%)</f>
        <v>0</v>
      </c>
      <c r="L78" s="52">
        <f>ROUND(VLOOKUP($B78,'[1]Review Dem +Epi Data'!$B$14:$J$94,7,FALSE)*$F78,-2)</f>
        <v>0</v>
      </c>
      <c r="M78" s="52">
        <f>ROUND(VLOOKUP($B78,'[1]Review Dem +Epi Data'!$B$14:$J$94,8,FALSE)*$G78,-2)</f>
        <v>0</v>
      </c>
      <c r="N78" s="50">
        <f>ROUND(VLOOKUP($B78,'[1]Review Dem +Epi Data'!$B$14:$J$94,9,FALSE)*$H78,-2)</f>
        <v>0</v>
      </c>
      <c r="O78" s="52">
        <f>ROUND(VLOOKUP($B78,'[1]Review Dem +Epi Data'!$B$14:$J$94,9,FALSE)*$I78,-2)</f>
        <v>0</v>
      </c>
      <c r="P78" s="52">
        <f>ROUND(VLOOKUP($B78,'[1]Review Dem +Epi Data'!$B$14:$J$94,9,FALSE)*$J78,-2)</f>
        <v>0</v>
      </c>
      <c r="Q78" s="52">
        <f>ROUND(VLOOKUP($B78,'[1]Review Dem +Epi Data'!$B$14:$J$94,9,FALSE)*$K78,-2)</f>
        <v>0</v>
      </c>
    </row>
  </sheetData>
  <mergeCells count="9">
    <mergeCell ref="F2:K2"/>
    <mergeCell ref="L2:Q2"/>
    <mergeCell ref="D4:D12"/>
    <mergeCell ref="D13:D25"/>
    <mergeCell ref="D26:D42"/>
    <mergeCell ref="D43:D53"/>
    <mergeCell ref="D54:D56"/>
    <mergeCell ref="D68:D75"/>
    <mergeCell ref="D76:D77"/>
  </mergeCells>
  <conditionalFormatting sqref="I4:I78">
    <cfRule type="expression" dxfId="0" priority="3">
      <formula>$I5&gt;102%*$F5</formula>
    </cfRule>
  </conditionalFormatting>
  <pageMargins left="0.75" right="0.75" top="1" bottom="1" header="0.5" footer="0.5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2024-11-19T07:29:00Z</dcterms:created>
  <dcterms:modified xsi:type="dcterms:W3CDTF">2024-12-26T10:15:27Z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F69F638E8ECA4F8BB136296A2A733835_11</vt:lpwstr>
  </property>
  <property fmtid="{D5CDD505-2E9C-101B-9397-08002B2CF9AE}" pid="3" name="KSOProductBuildVer">
    <vt:lpwstr>2052-12.1.0.19302</vt:lpwstr>
  </property>
</Properties>
</file>