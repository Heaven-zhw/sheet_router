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<sst xmlns="http://schemas.openxmlformats.org/spreadsheetml/2006/main" count="27" uniqueCount="24">
  <si>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Expt-1</t>
  </si>
  <si>
    <t>Expt-2</t>
  </si>
  <si>
    <t>spleen wt (mg)</t>
  </si>
  <si>
    <t>Replicate1</t>
  </si>
  <si>
    <t>Replicate2</t>
  </si>
  <si>
    <t>Replicate3</t>
  </si>
  <si>
    <t>Mean</t>
  </si>
  <si>
    <t>SD</t>
  </si>
  <si>
    <t>Set1</t>
  </si>
  <si>
    <t>Uninf mice (no DC trf)</t>
  </si>
  <si>
    <t>Set2</t>
  </si>
  <si>
    <t>Inf mice (no DC trnf)</t>
  </si>
  <si>
    <t>Set3</t>
  </si>
  <si>
    <t>Inf mice ( DC + PBS)</t>
  </si>
  <si>
    <t>Set4</t>
  </si>
  <si>
    <t>Inf mice (DC + SAG)</t>
  </si>
  <si>
    <t>Set5</t>
  </si>
  <si>
    <t>Inf mice  [DC (Ctrl siRNA) + SAG]</t>
  </si>
  <si>
    <t>Set6</t>
  </si>
  <si>
    <t>Inf mice [DC (Runx1+3 siRNA) + SAG]</t>
  </si>
  <si>
    <t>Set7</t>
  </si>
  <si>
    <t>Inf mice [DC (Runx1+3 siRNA + Vec) + SAG]</t>
  </si>
  <si>
    <t>Set8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</si>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</sst>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2" fillId="0" borderId="0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/>
    <xf numFmtId="0" fontId="3" fillId="0" borderId="5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8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G18" sqref="G18"/>
    </sheetView>
  </sheetViews>
  <sheetFormatPr defaultColWidth="8.72727272727273" defaultRowHeight="14"/>
  <cols>
    <col min="1" max="1" width="5.54545454545455" customWidth="1"/>
    <col min="2" max="2" width="47.8181818181818" customWidth="1"/>
    <col min="3" max="5" width="12.8181818181818" customWidth="1"/>
    <col min="7" max="11" width="12.8181818181818" customWidth="1"/>
  </cols>
  <sheetData>
    <row r="1" ht="17.5" spans="1:11">
      <c r="A1" s="1"/>
      <c r="B1" s="2"/>
      <c r="C1" s="3" t="s">
        <v>0</v>
      </c>
      <c r="D1" s="4"/>
      <c r="E1" s="5"/>
      <c r="F1" s="2"/>
      <c r="G1" s="3" t="s">
        <v>1</v>
      </c>
      <c r="H1" s="4"/>
      <c r="I1" s="5"/>
      <c r="J1" s="2"/>
      <c r="K1" s="24"/>
    </row>
    <row r="2" ht="15" spans="1:11">
      <c r="A2" s="6"/>
      <c r="B2" s="7" t="s">
        <v>2</v>
      </c>
      <c r="C2" s="8" t="s">
        <v>3</v>
      </c>
      <c r="D2" s="9" t="s">
        <v>4</v>
      </c>
      <c r="E2" s="10" t="s">
        <v>5</v>
      </c>
      <c r="F2" s="11"/>
      <c r="G2" s="8" t="s">
        <v>3</v>
      </c>
      <c r="H2" s="9" t="s">
        <v>4</v>
      </c>
      <c r="I2" s="10" t="s">
        <v>5</v>
      </c>
      <c r="J2" s="9" t="s">
        <v>6</v>
      </c>
      <c r="K2" s="25" t="s">
        <v>7</v>
      </c>
    </row>
    <row r="3" spans="1:11">
      <c r="A3" s="1" t="s">
        <v>8</v>
      </c>
      <c r="B3" s="2" t="s">
        <v>9</v>
      </c>
      <c r="C3" s="12">
        <v>95</v>
      </c>
      <c r="D3" s="13">
        <v>103</v>
      </c>
      <c r="E3" s="14">
        <v>116.6</v>
      </c>
      <c r="F3" s="2"/>
      <c r="G3" s="12">
        <v>115.8</v>
      </c>
      <c r="H3" s="13">
        <v>104.3</v>
      </c>
      <c r="I3" s="14">
        <v>107.7</v>
      </c>
      <c r="J3" s="2">
        <f t="shared" ref="J3:J10" si="0">AVERAGE(C3:I3)</f>
        <v>107.066666666667</v>
      </c>
      <c r="K3" s="24">
        <f t="shared" ref="K3:K10" si="1">STDEV(C3:I3)</f>
        <v>8.21405299877391</v>
      </c>
    </row>
    <row r="4" spans="1:11">
      <c r="A4" s="6" t="s">
        <v>10</v>
      </c>
      <c r="B4" s="11" t="s">
        <v>11</v>
      </c>
      <c r="C4" s="15">
        <v>246</v>
      </c>
      <c r="D4" s="16">
        <v>294</v>
      </c>
      <c r="E4" s="17">
        <v>330.2</v>
      </c>
      <c r="F4" s="11"/>
      <c r="G4" s="15">
        <v>336.4</v>
      </c>
      <c r="H4" s="16">
        <v>354.8</v>
      </c>
      <c r="I4" s="17">
        <v>470.5</v>
      </c>
      <c r="J4" s="11">
        <f t="shared" si="0"/>
        <v>338.65</v>
      </c>
      <c r="K4" s="26">
        <f t="shared" si="1"/>
        <v>75.2321141534651</v>
      </c>
    </row>
    <row r="5" spans="1:11">
      <c r="A5" s="6" t="s">
        <v>12</v>
      </c>
      <c r="B5" s="11" t="s">
        <v>13</v>
      </c>
      <c r="C5" s="15">
        <v>220</v>
      </c>
      <c r="D5" s="16">
        <v>278</v>
      </c>
      <c r="E5" s="17">
        <v>345.4</v>
      </c>
      <c r="F5" s="11"/>
      <c r="G5" s="15">
        <v>360</v>
      </c>
      <c r="H5" s="16">
        <v>399.4</v>
      </c>
      <c r="I5" s="17">
        <v>451.2</v>
      </c>
      <c r="J5" s="11">
        <f t="shared" si="0"/>
        <v>342.333333333333</v>
      </c>
      <c r="K5" s="26">
        <f t="shared" si="1"/>
        <v>83.1075126969076</v>
      </c>
    </row>
    <row r="6" spans="1:11">
      <c r="A6" s="6" t="s">
        <v>14</v>
      </c>
      <c r="B6" s="11" t="s">
        <v>15</v>
      </c>
      <c r="C6" s="15">
        <v>232</v>
      </c>
      <c r="D6" s="16">
        <v>213</v>
      </c>
      <c r="E6" s="17">
        <v>164.8</v>
      </c>
      <c r="F6" s="11"/>
      <c r="G6" s="15">
        <v>187.7</v>
      </c>
      <c r="H6" s="16">
        <v>192</v>
      </c>
      <c r="I6" s="17">
        <v>281.7</v>
      </c>
      <c r="J6" s="11">
        <f t="shared" si="0"/>
        <v>211.866666666667</v>
      </c>
      <c r="K6" s="26">
        <f t="shared" si="1"/>
        <v>41.1759962437664</v>
      </c>
    </row>
    <row r="7" spans="1:11">
      <c r="A7" s="6" t="s">
        <v>16</v>
      </c>
      <c r="B7" s="11" t="s">
        <v>17</v>
      </c>
      <c r="C7" s="15">
        <v>203</v>
      </c>
      <c r="D7" s="16">
        <v>219</v>
      </c>
      <c r="E7" s="17">
        <v>202.9</v>
      </c>
      <c r="F7" s="11"/>
      <c r="G7" s="15">
        <v>158.7</v>
      </c>
      <c r="H7" s="16">
        <v>128</v>
      </c>
      <c r="I7" s="17">
        <v>265.1</v>
      </c>
      <c r="J7" s="11">
        <f t="shared" si="0"/>
        <v>196.116666666667</v>
      </c>
      <c r="K7" s="26">
        <f t="shared" si="1"/>
        <v>47.7820642779973</v>
      </c>
    </row>
    <row r="8" spans="1:11">
      <c r="A8" s="6" t="s">
        <v>18</v>
      </c>
      <c r="B8" s="11" t="s">
        <v>19</v>
      </c>
      <c r="C8" s="15">
        <v>231</v>
      </c>
      <c r="D8" s="16">
        <v>247</v>
      </c>
      <c r="E8" s="17">
        <v>356.5</v>
      </c>
      <c r="F8" s="11"/>
      <c r="G8" s="15">
        <v>370.2</v>
      </c>
      <c r="H8" s="16">
        <v>393.8</v>
      </c>
      <c r="I8" s="27">
        <v>465.8</v>
      </c>
      <c r="J8" s="11">
        <f t="shared" si="0"/>
        <v>344.05</v>
      </c>
      <c r="K8" s="26">
        <f t="shared" si="1"/>
        <v>89.8175428298949</v>
      </c>
    </row>
    <row r="9" spans="1:11">
      <c r="A9" s="6" t="s">
        <v>20</v>
      </c>
      <c r="B9" s="11" t="s">
        <v>21</v>
      </c>
      <c r="C9" s="15">
        <v>276</v>
      </c>
      <c r="D9" s="18">
        <v>398.7</v>
      </c>
      <c r="E9" s="17">
        <v>380.5</v>
      </c>
      <c r="F9" s="11"/>
      <c r="G9" s="15">
        <v>335.2</v>
      </c>
      <c r="H9" s="16">
        <v>392</v>
      </c>
      <c r="I9" s="17">
        <v>419.32</v>
      </c>
      <c r="J9" s="11">
        <f t="shared" si="0"/>
        <v>366.953333333333</v>
      </c>
      <c r="K9" s="26">
        <f t="shared" si="1"/>
        <v>52.6151106305657</v>
      </c>
    </row>
    <row r="10" spans="1:11">
      <c r="A10" s="19" t="s">
        <v>22</v>
      </c>
      <c r="B10" s="20" t="s">
        <v>23</v>
      </c>
      <c r="C10" s="21">
        <v>160</v>
      </c>
      <c r="D10" s="22">
        <v>178</v>
      </c>
      <c r="E10" s="23">
        <v>198.2</v>
      </c>
      <c r="F10" s="20"/>
      <c r="G10" s="21">
        <v>208.9</v>
      </c>
      <c r="H10" s="22">
        <v>124</v>
      </c>
      <c r="I10" s="23">
        <v>156</v>
      </c>
      <c r="J10" s="20">
        <f t="shared" si="0"/>
        <v>170.85</v>
      </c>
      <c r="K10" s="28">
        <f t="shared" si="1"/>
        <v>30.9196216018243</v>
      </c>
    </row>
  </sheetData>
  <mergeCells count="2">
    <mergeCell ref="C1:E1"/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2025-01-13T08:52:59Z</dcterms:created>
  <dcterms:modified xsi:type="dcterms:W3CDTF">2025-01-13T08:53:46Z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C4A6C487CCF74E77BEA38145B5A144E9_11</vt:lpwstr>
  </property>
  <property fmtid="{D5CDD505-2E9C-101B-9397-08002B2CF9AE}" pid="3" name="KSOProductBuildVer">
    <vt:lpwstr>2052-12.1.0.19302</vt:lpwstr>
  </property>
</Properties>
</file>