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160" windowHeight="12700"/>
  </bookViews>
  <sheets>
    <sheet name="Figure 3, panel A" sheetId="1" r:id="rId1"/>
  </sheets>
  <calcPr calcId="144525"/>
</workbook>
</file>

<file path=xl/sharedStrings.xml><?xml version="1.0" encoding="utf-8"?>
<sst xmlns="http://schemas.openxmlformats.org/spreadsheetml/2006/main" count="65" uniqueCount="17">
  <si>
    <t>Organism</t>
  </si>
  <si>
    <t>Material</t>
  </si>
  <si>
    <t>Sampler</t>
  </si>
  <si>
    <t>Log10 Recovery (Inoculation Control)</t>
  </si>
  <si>
    <t>Log10 Recovery (Test Sample)</t>
  </si>
  <si>
    <t>Delta Log Recovery</t>
  </si>
  <si>
    <t>Mean Delta Log Recovery</t>
  </si>
  <si>
    <t>Standard Deviation Log Recovery</t>
  </si>
  <si>
    <t>Escherichia coli</t>
  </si>
  <si>
    <t>ABS Plastic</t>
  </si>
  <si>
    <t>3M</t>
  </si>
  <si>
    <t>LabPlas</t>
  </si>
  <si>
    <t>Solar Cult</t>
  </si>
  <si>
    <t>Glass</t>
  </si>
  <si>
    <t>Stainless Steel</t>
  </si>
  <si>
    <t>Serratia marcescens</t>
  </si>
  <si>
    <t>Yersinia ruckeri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</si>
</sst>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000000"/>
      <name val="Calibri"/>
      <charset val="134"/>
    </font>
    <font>
      <i/>
      <sz val="11"/>
      <color theme="1"/>
      <name val="Calibri"/>
      <charset val="134"/>
    </font>
    <font>
      <sz val="11"/>
      <color theme="1"/>
      <name val="Calibri"/>
      <charset val="134"/>
    </font>
    <font>
      <sz val="11"/>
      <color rgb="FF00000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indent="3"/>
    </xf>
    <xf numFmtId="0" fontId="3" fillId="0" borderId="1" xfId="0" applyFont="1" applyFill="1" applyBorder="1" applyAlignment="1">
      <alignment horizontal="center"/>
    </xf>
    <xf numFmtId="0" fontId="0" fillId="0" borderId="1" xfId="0" applyFill="1" applyBorder="1"/>
    <xf numFmtId="0" fontId="4" fillId="0" borderId="1" xfId="0" applyFont="1" applyBorder="1"/>
    <xf numFmtId="0" fontId="3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topLeftCell="A11" workbookViewId="0">
      <selection activeCell="C33" sqref="C33"/>
    </sheetView>
  </sheetViews>
  <sheetFormatPr defaultColWidth="9.69230769230769" defaultRowHeight="16.8" outlineLevelCol="7"/>
  <cols>
    <col min="1" max="1" width="25.3557692307692" customWidth="1"/>
    <col min="2" max="2" width="22.4134615384615" customWidth="1"/>
    <col min="3" max="3" width="22.0288461538462" style="1" customWidth="1"/>
    <col min="4" max="4" width="18.5961538461538" customWidth="1"/>
    <col min="5" max="5" width="16.8365384615385" customWidth="1"/>
    <col min="6" max="6" width="17.3269230769231" customWidth="1"/>
    <col min="7" max="7" width="14.0961538461538" customWidth="1"/>
    <col min="8" max="8" width="15.9519230769231" customWidth="1"/>
  </cols>
  <sheetData>
    <row r="1" ht="5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 t="s">
        <v>8</v>
      </c>
      <c r="B2" s="4" t="s">
        <v>9</v>
      </c>
      <c r="C2" s="5" t="s">
        <v>10</v>
      </c>
      <c r="D2" s="6">
        <v>7.79135924344441</v>
      </c>
      <c r="E2" s="7">
        <v>4.72762050043944</v>
      </c>
      <c r="F2" s="7">
        <f t="shared" ref="F2:F28" si="0">D2-E2</f>
        <v>3.06373874300498</v>
      </c>
      <c r="G2" s="8">
        <f>AVERAGE(F2:F10)</f>
        <v>2.10395723394277</v>
      </c>
      <c r="H2" s="8" t="e">
        <f>_xlfn.STDEV.P(F2:F10)</f>
        <v>#NAME?</v>
      </c>
    </row>
    <row r="3" spans="1:8">
      <c r="A3" s="3"/>
      <c r="B3" s="4" t="s">
        <v>9</v>
      </c>
      <c r="C3" s="5" t="s">
        <v>11</v>
      </c>
      <c r="D3" s="6">
        <v>7.84371571213937</v>
      </c>
      <c r="E3" s="7">
        <v>5.76358385126203</v>
      </c>
      <c r="F3" s="7">
        <f t="shared" si="0"/>
        <v>2.08013186087733</v>
      </c>
      <c r="G3" s="8"/>
      <c r="H3" s="8"/>
    </row>
    <row r="4" spans="1:8">
      <c r="A4" s="3"/>
      <c r="B4" s="4" t="s">
        <v>9</v>
      </c>
      <c r="C4" s="5" t="s">
        <v>12</v>
      </c>
      <c r="D4" s="6">
        <v>7.75559715111338</v>
      </c>
      <c r="E4" s="7">
        <v>6.25618769408375</v>
      </c>
      <c r="F4" s="7">
        <f t="shared" si="0"/>
        <v>1.49940945702962</v>
      </c>
      <c r="G4" s="8"/>
      <c r="H4" s="8"/>
    </row>
    <row r="5" spans="1:8">
      <c r="A5" s="3"/>
      <c r="B5" s="4" t="s">
        <v>13</v>
      </c>
      <c r="C5" s="5" t="s">
        <v>10</v>
      </c>
      <c r="D5" s="6">
        <v>7.74784981787521</v>
      </c>
      <c r="E5" s="7">
        <v>5.4735844071513</v>
      </c>
      <c r="F5" s="7">
        <f t="shared" si="0"/>
        <v>2.27426541072391</v>
      </c>
      <c r="G5" s="8"/>
      <c r="H5" s="8"/>
    </row>
    <row r="6" spans="1:8">
      <c r="A6" s="3"/>
      <c r="B6" s="4" t="s">
        <v>13</v>
      </c>
      <c r="C6" s="5" t="s">
        <v>11</v>
      </c>
      <c r="D6" s="6">
        <v>7.68089754196551</v>
      </c>
      <c r="E6" s="7">
        <v>6.19206081086993</v>
      </c>
      <c r="F6" s="7">
        <f t="shared" si="0"/>
        <v>1.48883673109559</v>
      </c>
      <c r="G6" s="8"/>
      <c r="H6" s="8"/>
    </row>
    <row r="7" spans="1:8">
      <c r="A7" s="3"/>
      <c r="B7" s="4" t="s">
        <v>13</v>
      </c>
      <c r="C7" s="5" t="s">
        <v>12</v>
      </c>
      <c r="D7" s="6">
        <v>7.7563158187764</v>
      </c>
      <c r="E7" s="7">
        <v>5.75739906580233</v>
      </c>
      <c r="F7" s="7">
        <f t="shared" si="0"/>
        <v>1.99891675297407</v>
      </c>
      <c r="G7" s="8"/>
      <c r="H7" s="8"/>
    </row>
    <row r="8" spans="1:8">
      <c r="A8" s="3"/>
      <c r="B8" s="4" t="s">
        <v>14</v>
      </c>
      <c r="C8" s="5" t="s">
        <v>10</v>
      </c>
      <c r="D8" s="6">
        <v>7.85862252184183</v>
      </c>
      <c r="E8" s="7">
        <v>5.83027358641562</v>
      </c>
      <c r="F8" s="7">
        <f t="shared" si="0"/>
        <v>2.02834893542621</v>
      </c>
      <c r="G8" s="8"/>
      <c r="H8" s="8"/>
    </row>
    <row r="9" spans="1:8">
      <c r="A9" s="3"/>
      <c r="B9" s="4" t="s">
        <v>14</v>
      </c>
      <c r="C9" s="5" t="s">
        <v>11</v>
      </c>
      <c r="D9" s="6">
        <v>7.63083076173145</v>
      </c>
      <c r="E9" s="7">
        <v>4.83587165064615</v>
      </c>
      <c r="F9" s="7">
        <f t="shared" si="0"/>
        <v>2.7949591110853</v>
      </c>
      <c r="G9" s="8"/>
      <c r="H9" s="8"/>
    </row>
    <row r="10" spans="1:8">
      <c r="A10" s="3"/>
      <c r="B10" s="4" t="s">
        <v>14</v>
      </c>
      <c r="C10" s="5" t="s">
        <v>12</v>
      </c>
      <c r="D10" s="6">
        <v>7.77374718453539</v>
      </c>
      <c r="E10" s="7">
        <v>6.06673908126751</v>
      </c>
      <c r="F10" s="7">
        <f t="shared" si="0"/>
        <v>1.70700810326788</v>
      </c>
      <c r="G10" s="8"/>
      <c r="H10" s="8"/>
    </row>
    <row r="11" spans="1:8">
      <c r="A11" s="3" t="s">
        <v>15</v>
      </c>
      <c r="B11" s="4" t="s">
        <v>9</v>
      </c>
      <c r="C11" s="5" t="s">
        <v>12</v>
      </c>
      <c r="D11" s="7">
        <v>7.72793333593787</v>
      </c>
      <c r="E11" s="7">
        <v>6.60760963444225</v>
      </c>
      <c r="F11" s="7">
        <f t="shared" si="0"/>
        <v>1.12032370149562</v>
      </c>
      <c r="G11" s="8">
        <f>AVERAGE(F11:F19)</f>
        <v>2.34514940537306</v>
      </c>
      <c r="H11" s="8" t="e">
        <f>_xlfn.STDEV.P(F11:F19)</f>
        <v>#NAME?</v>
      </c>
    </row>
    <row r="12" spans="1:8">
      <c r="A12" s="3"/>
      <c r="B12" s="4" t="s">
        <v>9</v>
      </c>
      <c r="C12" s="5" t="s">
        <v>10</v>
      </c>
      <c r="D12" s="7">
        <v>7.73413787582101</v>
      </c>
      <c r="E12" s="7">
        <v>5.57518559029351</v>
      </c>
      <c r="F12" s="7">
        <f t="shared" si="0"/>
        <v>2.1589522855275</v>
      </c>
      <c r="G12" s="8"/>
      <c r="H12" s="8"/>
    </row>
    <row r="13" spans="1:8">
      <c r="A13" s="3"/>
      <c r="B13" s="4" t="s">
        <v>9</v>
      </c>
      <c r="C13" s="5" t="s">
        <v>11</v>
      </c>
      <c r="D13" s="7">
        <v>7.0677803416207</v>
      </c>
      <c r="E13" s="7">
        <v>3.38052608682116</v>
      </c>
      <c r="F13" s="7">
        <f t="shared" si="0"/>
        <v>3.68725425479954</v>
      </c>
      <c r="G13" s="8"/>
      <c r="H13" s="8"/>
    </row>
    <row r="14" spans="1:8">
      <c r="A14" s="3"/>
      <c r="B14" s="4" t="s">
        <v>13</v>
      </c>
      <c r="C14" s="5" t="s">
        <v>12</v>
      </c>
      <c r="D14" s="7">
        <v>7.72793333593787</v>
      </c>
      <c r="E14" s="7">
        <v>6.368879770696</v>
      </c>
      <c r="F14" s="7">
        <f t="shared" si="0"/>
        <v>1.35905356524187</v>
      </c>
      <c r="G14" s="8"/>
      <c r="H14" s="8"/>
    </row>
    <row r="15" spans="1:8">
      <c r="A15" s="3"/>
      <c r="B15" s="4" t="s">
        <v>13</v>
      </c>
      <c r="C15" s="5" t="s">
        <v>10</v>
      </c>
      <c r="D15" s="7">
        <v>7.73413787582101</v>
      </c>
      <c r="E15" s="7">
        <v>5.39878879122804</v>
      </c>
      <c r="F15" s="7">
        <f t="shared" si="0"/>
        <v>2.33534908459297</v>
      </c>
      <c r="G15" s="8"/>
      <c r="H15" s="8"/>
    </row>
    <row r="16" spans="1:8">
      <c r="A16" s="3"/>
      <c r="B16" s="4" t="s">
        <v>13</v>
      </c>
      <c r="C16" s="5" t="s">
        <v>11</v>
      </c>
      <c r="D16" s="7">
        <v>7.0677803416207</v>
      </c>
      <c r="E16" s="7">
        <v>4.01551417560811</v>
      </c>
      <c r="F16" s="7">
        <f t="shared" si="0"/>
        <v>3.05226616601258</v>
      </c>
      <c r="G16" s="8"/>
      <c r="H16" s="8"/>
    </row>
    <row r="17" spans="1:8">
      <c r="A17" s="3"/>
      <c r="B17" s="4" t="s">
        <v>14</v>
      </c>
      <c r="C17" s="5" t="s">
        <v>12</v>
      </c>
      <c r="D17" s="7">
        <v>7.72793333593787</v>
      </c>
      <c r="E17" s="7">
        <v>6.15135860463705</v>
      </c>
      <c r="F17" s="7">
        <f t="shared" si="0"/>
        <v>1.57657473130082</v>
      </c>
      <c r="G17" s="8"/>
      <c r="H17" s="8"/>
    </row>
    <row r="18" spans="1:8">
      <c r="A18" s="3"/>
      <c r="B18" s="4" t="s">
        <v>14</v>
      </c>
      <c r="C18" s="5" t="s">
        <v>10</v>
      </c>
      <c r="D18" s="7">
        <v>7.73413787582101</v>
      </c>
      <c r="E18" s="7">
        <v>4.99409766660162</v>
      </c>
      <c r="F18" s="7">
        <f t="shared" si="0"/>
        <v>2.74004020921939</v>
      </c>
      <c r="G18" s="8"/>
      <c r="H18" s="8"/>
    </row>
    <row r="19" spans="1:8">
      <c r="A19" s="3"/>
      <c r="B19" s="4" t="s">
        <v>14</v>
      </c>
      <c r="C19" s="5" t="s">
        <v>11</v>
      </c>
      <c r="D19" s="7">
        <v>7.0677803416207</v>
      </c>
      <c r="E19" s="7">
        <v>3.99124969145348</v>
      </c>
      <c r="F19" s="7">
        <f t="shared" si="0"/>
        <v>3.07653065016721</v>
      </c>
      <c r="G19" s="8"/>
      <c r="H19" s="8"/>
    </row>
    <row r="20" spans="1:8">
      <c r="A20" s="3" t="s">
        <v>16</v>
      </c>
      <c r="B20" s="4" t="s">
        <v>9</v>
      </c>
      <c r="C20" s="5" t="s">
        <v>10</v>
      </c>
      <c r="D20" s="7">
        <v>7.74599901608914</v>
      </c>
      <c r="E20" s="7">
        <v>3.84911098886513</v>
      </c>
      <c r="F20" s="7">
        <f t="shared" si="0"/>
        <v>3.89688802722401</v>
      </c>
      <c r="G20" s="8">
        <f>AVERAGE(F20:F28)</f>
        <v>2.46400257202352</v>
      </c>
      <c r="H20" s="8" t="e">
        <f>_xlfn.STDEV.P(F20:F28)</f>
        <v>#NAME?</v>
      </c>
    </row>
    <row r="21" spans="1:8">
      <c r="A21" s="3"/>
      <c r="B21" s="4" t="s">
        <v>9</v>
      </c>
      <c r="C21" s="5" t="s">
        <v>11</v>
      </c>
      <c r="D21" s="7">
        <v>7.56901864292095</v>
      </c>
      <c r="E21" s="7">
        <v>5.29781794278174</v>
      </c>
      <c r="F21" s="7">
        <f t="shared" si="0"/>
        <v>2.27120070013921</v>
      </c>
      <c r="G21" s="8"/>
      <c r="H21" s="8"/>
    </row>
    <row r="22" spans="1:8">
      <c r="A22" s="3"/>
      <c r="B22" s="4" t="s">
        <v>9</v>
      </c>
      <c r="C22" s="5" t="s">
        <v>12</v>
      </c>
      <c r="D22" s="7">
        <v>7.5142009064726</v>
      </c>
      <c r="E22" s="7">
        <v>6.28429077933615</v>
      </c>
      <c r="F22" s="7">
        <f t="shared" si="0"/>
        <v>1.22991012713645</v>
      </c>
      <c r="G22" s="8"/>
      <c r="H22" s="8"/>
    </row>
    <row r="23" spans="1:8">
      <c r="A23" s="3"/>
      <c r="B23" s="4" t="s">
        <v>13</v>
      </c>
      <c r="C23" s="5" t="s">
        <v>10</v>
      </c>
      <c r="D23" s="7">
        <v>7.74599901608914</v>
      </c>
      <c r="E23" s="7">
        <v>3.80756035333505</v>
      </c>
      <c r="F23" s="7">
        <f t="shared" si="0"/>
        <v>3.93843866275408</v>
      </c>
      <c r="G23" s="8"/>
      <c r="H23" s="8"/>
    </row>
    <row r="24" spans="1:8">
      <c r="A24" s="3"/>
      <c r="B24" s="4" t="s">
        <v>13</v>
      </c>
      <c r="C24" s="5" t="s">
        <v>11</v>
      </c>
      <c r="D24" s="7">
        <v>7.56901864292095</v>
      </c>
      <c r="E24" s="7">
        <v>5.47801619747675</v>
      </c>
      <c r="F24" s="7">
        <f t="shared" si="0"/>
        <v>2.0910024454442</v>
      </c>
      <c r="G24" s="8"/>
      <c r="H24" s="8"/>
    </row>
    <row r="25" spans="1:8">
      <c r="A25" s="3"/>
      <c r="B25" s="4" t="s">
        <v>13</v>
      </c>
      <c r="C25" s="5" t="s">
        <v>12</v>
      </c>
      <c r="D25" s="7">
        <v>7.5142009064726</v>
      </c>
      <c r="E25" s="7">
        <v>6.29876296431081</v>
      </c>
      <c r="F25" s="7">
        <f t="shared" si="0"/>
        <v>1.21543794216179</v>
      </c>
      <c r="G25" s="8"/>
      <c r="H25" s="8"/>
    </row>
    <row r="26" spans="1:8">
      <c r="A26" s="3"/>
      <c r="B26" s="4" t="s">
        <v>14</v>
      </c>
      <c r="C26" s="5" t="s">
        <v>10</v>
      </c>
      <c r="D26" s="7">
        <v>7.74599901608914</v>
      </c>
      <c r="E26" s="7">
        <v>3.72689565997511</v>
      </c>
      <c r="F26" s="7">
        <f t="shared" si="0"/>
        <v>4.01910335611403</v>
      </c>
      <c r="G26" s="8"/>
      <c r="H26" s="8"/>
    </row>
    <row r="27" spans="1:8">
      <c r="A27" s="3"/>
      <c r="B27" s="4" t="s">
        <v>14</v>
      </c>
      <c r="C27" s="5" t="s">
        <v>11</v>
      </c>
      <c r="D27" s="7">
        <v>7.56901864292095</v>
      </c>
      <c r="E27" s="7">
        <v>5.20089823960737</v>
      </c>
      <c r="F27" s="7">
        <f t="shared" si="0"/>
        <v>2.36812040331358</v>
      </c>
      <c r="G27" s="8"/>
      <c r="H27" s="8"/>
    </row>
    <row r="28" spans="1:8">
      <c r="A28" s="3"/>
      <c r="B28" s="4" t="s">
        <v>14</v>
      </c>
      <c r="C28" s="5" t="s">
        <v>12</v>
      </c>
      <c r="D28" s="7">
        <v>7.5142009064726</v>
      </c>
      <c r="E28" s="7">
        <v>6.36827942254825</v>
      </c>
      <c r="F28" s="7">
        <f t="shared" si="0"/>
        <v>1.14592148392435</v>
      </c>
      <c r="G28" s="8"/>
      <c r="H28" s="8"/>
    </row>
  </sheetData>
  <mergeCells count="9">
    <mergeCell ref="A2:A10"/>
    <mergeCell ref="A11:A19"/>
    <mergeCell ref="A20:A28"/>
    <mergeCell ref="G2:G10"/>
    <mergeCell ref="G11:G19"/>
    <mergeCell ref="G20:G28"/>
    <mergeCell ref="H2:H10"/>
    <mergeCell ref="H11:H19"/>
    <mergeCell ref="H20:H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Figure 3, panel 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Vincent</cp:lastModifiedBy>
  <dcterms:created xsi:type="dcterms:W3CDTF">2024-11-19T23:48:00Z</dcterms:created>
  <dcterms:modified xsi:type="dcterms:W3CDTF">2024-11-20T09:43:29Z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139A28EA9DEA6ED5CE423C67F34445B6_41</vt:lpwstr>
  </property>
  <property fmtid="{D5CDD505-2E9C-101B-9397-08002B2CF9AE}" pid="3" name="KSOProductBuildVer">
    <vt:lpwstr>2052-6.2.0.8299</vt:lpwstr>
  </property>
</Properties>
</file>