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A368DC74-E1D6-4E99-B409-4CE1286641F3}" xr6:coauthVersionLast="47" xr6:coauthVersionMax="47" xr10:uidLastSave="{00000000-0000-0000-0000-000000000000}"/>
  <bookViews>
    <workbookView xWindow="-110" yWindow="-110" windowWidth="25820" windowHeight="15500" xr2:uid="{13201DCC-70EE-415F-A38E-1422FCA46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S23" i="1"/>
  <c r="R23" i="1"/>
  <c r="Q23" i="1"/>
  <c r="P23" i="1"/>
  <c r="O23" i="1"/>
  <c r="L23" i="1"/>
  <c r="K23" i="1"/>
  <c r="J23" i="1"/>
  <c r="I23" i="1"/>
  <c r="H23" i="1"/>
  <c r="U22" i="1"/>
  <c r="S21" i="1"/>
  <c r="R21" i="1"/>
  <c r="Q21" i="1"/>
  <c r="P21" i="1"/>
  <c r="O21" i="1"/>
  <c r="L21" i="1"/>
  <c r="K21" i="1"/>
  <c r="J21" i="1"/>
  <c r="I21" i="1"/>
  <c r="H21" i="1"/>
  <c r="U20" i="1"/>
  <c r="U18" i="1"/>
  <c r="U16" i="1"/>
  <c r="U14" i="1"/>
  <c r="F10" i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C7" i="1"/>
  <c r="U23" i="1" l="1"/>
</calcChain>
</file>

<file path=xl/sharedStrings.xml><?xml version="1.0" encoding="utf-8"?>
<sst xmlns="http://schemas.openxmlformats.org/spreadsheetml/2006/main" count="71" uniqueCount="31">
  <si>
    <t>Time and Attendance Sheet</t>
  </si>
  <si>
    <t>Pay Period</t>
  </si>
  <si>
    <t>Department/Program</t>
  </si>
  <si>
    <t>Employee Name</t>
  </si>
  <si>
    <t>Jerlyn Thompson</t>
  </si>
  <si>
    <t>to</t>
  </si>
  <si>
    <t xml:space="preserve"> </t>
  </si>
  <si>
    <t>SA</t>
  </si>
  <si>
    <t xml:space="preserve">SU </t>
  </si>
  <si>
    <t xml:space="preserve">M </t>
  </si>
  <si>
    <t>TU</t>
  </si>
  <si>
    <t>W</t>
  </si>
  <si>
    <t>TH</t>
  </si>
  <si>
    <t>F</t>
  </si>
  <si>
    <t>SU</t>
  </si>
  <si>
    <t>M</t>
  </si>
  <si>
    <t>ADJ</t>
  </si>
  <si>
    <t>TOTAL</t>
  </si>
  <si>
    <t>HRS</t>
  </si>
  <si>
    <t>HOURS</t>
  </si>
  <si>
    <t>Date</t>
  </si>
  <si>
    <t>Overtime Hours</t>
  </si>
  <si>
    <t>Holiday Hours</t>
  </si>
  <si>
    <t>Paid Time Off</t>
  </si>
  <si>
    <t>Leave w/o pay</t>
  </si>
  <si>
    <t>Other Leave Hours (Admin)</t>
  </si>
  <si>
    <t xml:space="preserve">  TOTAL REGULAR HOURS</t>
  </si>
  <si>
    <t xml:space="preserve">  TOTAL OVERTIME HOURS</t>
  </si>
  <si>
    <t>"I acknowledge that all information on this document fully reflects my time and attendance during this pay period."</t>
  </si>
  <si>
    <t>Human resources department</t>
    <phoneticPr fontId="15" type="noConversion"/>
  </si>
  <si>
    <t>Regular Hours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</si>
</sst>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m/d;@"/>
    <numFmt numFmtId="181" formatCode="dd\-mmm\-yy"/>
    <numFmt numFmtId="182" formatCode="dd\-mmm\-yy_)"/>
    <numFmt numFmtId="183" formatCode="0.0"/>
    <numFmt numFmtId="184" formatCode="dd"/>
  </numFmts>
  <fonts count="16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3"/>
      <charset val="134"/>
    </font>
    <font>
      <b/>
      <sz val="1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8"/>
      <color indexed="12"/>
      <name val="Courier"/>
      <family val="3"/>
    </font>
    <font>
      <b/>
      <sz val="20"/>
      <name val="Arial"/>
      <family val="2"/>
    </font>
    <font>
      <b/>
      <sz val="26"/>
      <name val="Arial"/>
      <family val="2"/>
    </font>
    <font>
      <sz val="12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14"/>
      <color indexed="8"/>
      <name val="等线"/>
      <family val="3"/>
      <charset val="134"/>
    </font>
    <font>
      <sz val="20"/>
      <color indexed="8"/>
      <name val="Arial"/>
      <family val="2"/>
    </font>
    <font>
      <sz val="22"/>
      <name val="Arial"/>
      <family val="2"/>
    </font>
    <font>
      <b/>
      <sz val="20"/>
      <color indexed="10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gray125">
        <fgColor rgb="FF000000"/>
        <bgColor rgb="FFFFFFFF"/>
      </patternFill>
    </fill>
    <fill>
      <patternFill patternType="solid">
        <fgColor rgb="FFC0C0C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auto="1"/>
      </right>
      <top/>
      <bottom style="double">
        <color rgb="FF000000"/>
      </bottom>
      <diagonal/>
    </border>
    <border>
      <left style="medium">
        <color auto="1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medium">
        <color auto="1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medium">
        <color auto="1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auto="1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medium">
        <color auto="1"/>
      </right>
      <top style="double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protection locked="0"/>
    </xf>
    <xf numFmtId="0" fontId="3" fillId="0" borderId="4" xfId="0" applyNumberFormat="1" applyFont="1" applyFill="1" applyBorder="1" applyAlignment="1" applyProtection="1">
      <protection locked="0"/>
    </xf>
    <xf numFmtId="0" fontId="3" fillId="0" borderId="5" xfId="0" applyNumberFormat="1" applyFont="1" applyFill="1" applyBorder="1" applyAlignment="1" applyProtection="1">
      <protection locked="0"/>
    </xf>
    <xf numFmtId="0" fontId="4" fillId="0" borderId="8" xfId="0" applyNumberFormat="1" applyFont="1" applyFill="1" applyBorder="1" applyAlignment="1" applyProtection="1">
      <alignment horizontal="center" wrapText="1"/>
      <protection locked="0"/>
    </xf>
    <xf numFmtId="0" fontId="4" fillId="0" borderId="9" xfId="0" applyNumberFormat="1" applyFont="1" applyFill="1" applyBorder="1" applyAlignment="1" applyProtection="1">
      <alignment horizontal="center" wrapText="1"/>
      <protection locked="0"/>
    </xf>
    <xf numFmtId="0" fontId="4" fillId="0" borderId="10" xfId="0" applyNumberFormat="1" applyFont="1" applyFill="1" applyBorder="1" applyAlignment="1" applyProtection="1">
      <alignment horizontal="center" wrapText="1"/>
      <protection locked="0"/>
    </xf>
    <xf numFmtId="0" fontId="4" fillId="0" borderId="11" xfId="0" applyNumberFormat="1" applyFont="1" applyFill="1" applyBorder="1" applyAlignment="1" applyProtection="1">
      <alignment horizontal="center" wrapText="1"/>
      <protection locked="0"/>
    </xf>
    <xf numFmtId="0" fontId="4" fillId="0" borderId="12" xfId="0" applyNumberFormat="1" applyFont="1" applyFill="1" applyBorder="1" applyAlignment="1" applyProtection="1">
      <alignment horizontal="center" wrapText="1"/>
      <protection locked="0"/>
    </xf>
    <xf numFmtId="0" fontId="4" fillId="0" borderId="1" xfId="0" applyNumberFormat="1" applyFont="1" applyFill="1" applyBorder="1" applyAlignment="1" applyProtection="1">
      <protection locked="0"/>
    </xf>
    <xf numFmtId="0" fontId="4" fillId="0" borderId="0" xfId="0" applyNumberFormat="1" applyFont="1" applyFill="1" applyBorder="1" applyAlignment="1" applyProtection="1">
      <protection locked="0"/>
    </xf>
    <xf numFmtId="0" fontId="4" fillId="0" borderId="13" xfId="0" applyNumberFormat="1" applyFont="1" applyFill="1" applyBorder="1" applyAlignment="1" applyProtection="1">
      <protection locked="0"/>
    </xf>
    <xf numFmtId="0" fontId="4" fillId="0" borderId="14" xfId="0" applyNumberFormat="1" applyFont="1" applyFill="1" applyBorder="1" applyAlignment="1" applyProtection="1">
      <protection locked="0"/>
    </xf>
    <xf numFmtId="0" fontId="4" fillId="0" borderId="2" xfId="0" applyNumberFormat="1" applyFont="1" applyFill="1" applyBorder="1" applyAlignment="1" applyProtection="1">
      <protection locked="0"/>
    </xf>
    <xf numFmtId="0" fontId="5" fillId="0" borderId="1" xfId="0" applyNumberFormat="1" applyFont="1" applyFill="1" applyBorder="1" applyAlignment="1" applyProtection="1">
      <protection locked="0"/>
    </xf>
    <xf numFmtId="181" fontId="6" fillId="0" borderId="13" xfId="0" applyNumberFormat="1" applyFont="1" applyFill="1" applyBorder="1" applyAlignment="1" applyProtection="1">
      <alignment horizontal="center"/>
      <protection locked="0"/>
    </xf>
    <xf numFmtId="0" fontId="7" fillId="0" borderId="14" xfId="0" applyNumberFormat="1" applyFont="1" applyFill="1" applyBorder="1" applyAlignment="1" applyProtection="1">
      <alignment horizontal="center" wrapText="1"/>
      <protection locked="0"/>
    </xf>
    <xf numFmtId="0" fontId="7" fillId="0" borderId="0" xfId="0" applyNumberFormat="1" applyFont="1" applyFill="1" applyBorder="1" applyAlignment="1" applyProtection="1">
      <alignment horizontal="center" wrapText="1"/>
      <protection locked="0"/>
    </xf>
    <xf numFmtId="0" fontId="7" fillId="0" borderId="13" xfId="0" applyNumberFormat="1" applyFont="1" applyFill="1" applyBorder="1" applyAlignment="1" applyProtection="1">
      <alignment horizontal="center" wrapText="1"/>
      <protection locked="0"/>
    </xf>
    <xf numFmtId="16" fontId="7" fillId="0" borderId="14" xfId="0" applyNumberFormat="1" applyFont="1" applyFill="1" applyBorder="1" applyAlignment="1" applyProtection="1">
      <alignment horizontal="center" wrapText="1"/>
      <protection locked="0"/>
    </xf>
    <xf numFmtId="16" fontId="7" fillId="0" borderId="0" xfId="0" applyNumberFormat="1" applyFont="1" applyFill="1" applyBorder="1" applyAlignment="1" applyProtection="1">
      <alignment horizontal="center" wrapText="1"/>
      <protection locked="0"/>
    </xf>
    <xf numFmtId="16" fontId="7" fillId="0" borderId="2" xfId="0" applyNumberFormat="1" applyFont="1" applyFill="1" applyBorder="1" applyAlignment="1" applyProtection="1">
      <alignment horizontal="center" wrapText="1"/>
      <protection locked="0"/>
    </xf>
    <xf numFmtId="0" fontId="6" fillId="0" borderId="13" xfId="0" applyNumberFormat="1" applyFont="1" applyFill="1" applyBorder="1" applyAlignment="1" applyProtection="1">
      <alignment horizontal="center"/>
      <protection locked="0"/>
    </xf>
    <xf numFmtId="182" fontId="6" fillId="0" borderId="16" xfId="0" applyNumberFormat="1" applyFont="1" applyFill="1" applyBorder="1" applyAlignment="1" applyProtection="1">
      <alignment horizontal="center"/>
    </xf>
    <xf numFmtId="182" fontId="6" fillId="0" borderId="4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protection locked="0"/>
    </xf>
    <xf numFmtId="0" fontId="4" fillId="0" borderId="17" xfId="0" applyNumberFormat="1" applyFont="1" applyFill="1" applyBorder="1" applyAlignment="1" applyProtection="1">
      <protection locked="0"/>
    </xf>
    <xf numFmtId="0" fontId="4" fillId="0" borderId="6" xfId="0" applyNumberFormat="1" applyFont="1" applyFill="1" applyBorder="1" applyAlignment="1" applyProtection="1">
      <protection locked="0"/>
    </xf>
    <xf numFmtId="0" fontId="4" fillId="0" borderId="7" xfId="0" applyNumberFormat="1" applyFont="1" applyFill="1" applyBorder="1" applyAlignment="1" applyProtection="1">
      <protection locked="0"/>
    </xf>
    <xf numFmtId="0" fontId="4" fillId="0" borderId="7" xfId="0" applyNumberFormat="1" applyFont="1" applyFill="1" applyBorder="1" applyAlignment="1" applyProtection="1">
      <alignment horizontal="center"/>
      <protection locked="0"/>
    </xf>
    <xf numFmtId="0" fontId="4" fillId="0" borderId="18" xfId="0" applyNumberFormat="1" applyFont="1" applyFill="1" applyBorder="1" applyAlignment="1" applyProtection="1">
      <alignment horizontal="center"/>
      <protection locked="0"/>
    </xf>
    <xf numFmtId="0" fontId="4" fillId="0" borderId="19" xfId="0" applyNumberFormat="1" applyFont="1" applyFill="1" applyBorder="1" applyAlignment="1" applyProtection="1">
      <alignment horizontal="center"/>
      <protection locked="0"/>
    </xf>
    <xf numFmtId="0" fontId="4" fillId="0" borderId="3" xfId="0" applyNumberFormat="1" applyFont="1" applyFill="1" applyBorder="1" applyAlignment="1" applyProtection="1">
      <protection locked="0"/>
    </xf>
    <xf numFmtId="0" fontId="4" fillId="0" borderId="4" xfId="0" applyNumberFormat="1" applyFont="1" applyFill="1" applyBorder="1" applyAlignment="1" applyProtection="1">
      <protection locked="0"/>
    </xf>
    <xf numFmtId="0" fontId="4" fillId="0" borderId="20" xfId="0" applyNumberFormat="1" applyFont="1" applyFill="1" applyBorder="1" applyAlignment="1" applyProtection="1">
      <protection locked="0"/>
    </xf>
    <xf numFmtId="0" fontId="4" fillId="0" borderId="21" xfId="0" applyNumberFormat="1" applyFont="1" applyFill="1" applyBorder="1" applyAlignment="1" applyProtection="1">
      <alignment horizontal="center"/>
      <protection locked="0"/>
    </xf>
    <xf numFmtId="0" fontId="2" fillId="0" borderId="22" xfId="0" applyNumberFormat="1" applyFont="1" applyFill="1" applyBorder="1" applyAlignment="1" applyProtection="1">
      <protection locked="0"/>
    </xf>
    <xf numFmtId="0" fontId="2" fillId="0" borderId="23" xfId="0" applyNumberFormat="1" applyFont="1" applyFill="1" applyBorder="1" applyAlignment="1" applyProtection="1">
      <protection locked="0"/>
    </xf>
    <xf numFmtId="0" fontId="4" fillId="0" borderId="23" xfId="0" applyNumberFormat="1" applyFont="1" applyFill="1" applyBorder="1" applyAlignment="1" applyProtection="1">
      <protection locked="0"/>
    </xf>
    <xf numFmtId="180" fontId="2" fillId="2" borderId="24" xfId="0" applyNumberFormat="1" applyFont="1" applyFill="1" applyBorder="1" applyAlignment="1" applyProtection="1">
      <alignment horizontal="center"/>
    </xf>
    <xf numFmtId="180" fontId="2" fillId="2" borderId="15" xfId="0" applyNumberFormat="1" applyFont="1" applyFill="1" applyBorder="1" applyAlignment="1" applyProtection="1">
      <alignment horizontal="center"/>
    </xf>
    <xf numFmtId="184" fontId="2" fillId="0" borderId="13" xfId="0" applyNumberFormat="1" applyFont="1" applyFill="1" applyBorder="1" applyAlignment="1" applyProtection="1">
      <alignment horizontal="center"/>
    </xf>
    <xf numFmtId="0" fontId="4" fillId="0" borderId="25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>
      <protection locked="0"/>
    </xf>
    <xf numFmtId="0" fontId="8" fillId="0" borderId="0" xfId="0" applyNumberFormat="1" applyFont="1" applyFill="1" applyBorder="1" applyAlignment="1" applyProtection="1">
      <protection locked="0"/>
    </xf>
    <xf numFmtId="2" fontId="8" fillId="0" borderId="27" xfId="0" applyNumberFormat="1" applyFont="1" applyFill="1" applyBorder="1" applyAlignment="1" applyProtection="1">
      <alignment horizontal="center"/>
    </xf>
    <xf numFmtId="2" fontId="8" fillId="0" borderId="24" xfId="0" applyNumberFormat="1" applyFont="1" applyFill="1" applyBorder="1" applyAlignment="1" applyProtection="1">
      <alignment horizontal="center"/>
    </xf>
    <xf numFmtId="2" fontId="8" fillId="0" borderId="28" xfId="0" applyNumberFormat="1" applyFont="1" applyFill="1" applyBorder="1" applyAlignment="1" applyProtection="1">
      <alignment horizontal="center"/>
    </xf>
    <xf numFmtId="2" fontId="8" fillId="0" borderId="29" xfId="0" applyNumberFormat="1" applyFont="1" applyFill="1" applyBorder="1" applyAlignment="1" applyProtection="1">
      <alignment horizontal="center"/>
    </xf>
    <xf numFmtId="0" fontId="1" fillId="0" borderId="30" xfId="0" applyNumberFormat="1" applyFont="1" applyFill="1" applyBorder="1" applyAlignment="1" applyProtection="1"/>
    <xf numFmtId="0" fontId="1" fillId="0" borderId="31" xfId="0" applyNumberFormat="1" applyFont="1" applyFill="1" applyBorder="1" applyAlignment="1" applyProtection="1"/>
    <xf numFmtId="2" fontId="8" fillId="0" borderId="32" xfId="0" applyNumberFormat="1" applyFont="1" applyFill="1" applyBorder="1" applyAlignment="1" applyProtection="1"/>
    <xf numFmtId="0" fontId="8" fillId="0" borderId="32" xfId="0" applyNumberFormat="1" applyFont="1" applyFill="1" applyBorder="1" applyAlignment="1" applyProtection="1"/>
    <xf numFmtId="0" fontId="8" fillId="0" borderId="2" xfId="0" applyNumberFormat="1" applyFont="1" applyFill="1" applyBorder="1" applyAlignment="1" applyProtection="1"/>
    <xf numFmtId="0" fontId="9" fillId="0" borderId="22" xfId="0" applyNumberFormat="1" applyFont="1" applyFill="1" applyBorder="1" applyAlignment="1" applyProtection="1"/>
    <xf numFmtId="0" fontId="10" fillId="0" borderId="23" xfId="0" applyNumberFormat="1" applyFont="1" applyFill="1" applyBorder="1" applyAlignment="1" applyProtection="1">
      <protection locked="0"/>
    </xf>
    <xf numFmtId="2" fontId="9" fillId="0" borderId="18" xfId="0" applyNumberFormat="1" applyFont="1" applyFill="1" applyBorder="1" applyAlignment="1" applyProtection="1">
      <alignment horizontal="center"/>
    </xf>
    <xf numFmtId="2" fontId="9" fillId="0" borderId="33" xfId="0" applyNumberFormat="1" applyFont="1" applyFill="1" applyBorder="1" applyAlignment="1" applyProtection="1">
      <alignment horizontal="center"/>
    </xf>
    <xf numFmtId="2" fontId="13" fillId="0" borderId="18" xfId="0" applyNumberFormat="1" applyFont="1" applyFill="1" applyBorder="1" applyAlignment="1" applyProtection="1">
      <alignment horizontal="center"/>
    </xf>
    <xf numFmtId="2" fontId="9" fillId="0" borderId="34" xfId="0" applyNumberFormat="1" applyFont="1" applyFill="1" applyBorder="1" applyAlignment="1" applyProtection="1">
      <alignment horizontal="center"/>
    </xf>
    <xf numFmtId="183" fontId="13" fillId="0" borderId="18" xfId="0" applyNumberFormat="1" applyFont="1" applyFill="1" applyBorder="1" applyAlignment="1" applyProtection="1"/>
    <xf numFmtId="2" fontId="9" fillId="0" borderId="25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protection locked="0"/>
    </xf>
    <xf numFmtId="0" fontId="11" fillId="0" borderId="35" xfId="0" applyNumberFormat="1" applyFont="1" applyFill="1" applyBorder="1" applyAlignment="1" applyProtection="1">
      <alignment horizontal="center"/>
    </xf>
    <xf numFmtId="0" fontId="11" fillId="0" borderId="32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>
      <alignment horizontal="center"/>
    </xf>
    <xf numFmtId="2" fontId="10" fillId="0" borderId="32" xfId="0" applyNumberFormat="1" applyFont="1" applyFill="1" applyBorder="1" applyAlignment="1" applyProtection="1">
      <alignment horizontal="center"/>
    </xf>
    <xf numFmtId="0" fontId="10" fillId="0" borderId="32" xfId="0" applyNumberFormat="1" applyFont="1" applyFill="1" applyBorder="1" applyAlignment="1" applyProtection="1"/>
    <xf numFmtId="0" fontId="10" fillId="0" borderId="2" xfId="0" applyNumberFormat="1" applyFont="1" applyFill="1" applyBorder="1" applyAlignment="1" applyProtection="1"/>
    <xf numFmtId="2" fontId="12" fillId="0" borderId="18" xfId="0" applyNumberFormat="1" applyFont="1" applyFill="1" applyBorder="1" applyAlignment="1" applyProtection="1">
      <alignment horizontal="center"/>
    </xf>
    <xf numFmtId="2" fontId="13" fillId="0" borderId="18" xfId="0" applyNumberFormat="1" applyFont="1" applyFill="1" applyBorder="1" applyAlignment="1" applyProtection="1"/>
    <xf numFmtId="2" fontId="10" fillId="0" borderId="2" xfId="0" applyNumberFormat="1" applyFont="1" applyFill="1" applyBorder="1" applyAlignment="1" applyProtection="1"/>
    <xf numFmtId="0" fontId="13" fillId="0" borderId="18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>
      <protection locked="0"/>
    </xf>
    <xf numFmtId="2" fontId="9" fillId="0" borderId="15" xfId="0" applyNumberFormat="1" applyFont="1" applyFill="1" applyBorder="1" applyAlignment="1" applyProtection="1">
      <alignment horizontal="center"/>
    </xf>
    <xf numFmtId="0" fontId="13" fillId="0" borderId="13" xfId="0" applyNumberFormat="1" applyFont="1" applyFill="1" applyBorder="1" applyAlignment="1" applyProtection="1"/>
    <xf numFmtId="2" fontId="13" fillId="0" borderId="2" xfId="0" applyNumberFormat="1" applyFont="1" applyFill="1" applyBorder="1" applyAlignment="1" applyProtection="1"/>
    <xf numFmtId="0" fontId="9" fillId="0" borderId="3" xfId="0" applyNumberFormat="1" applyFont="1" applyFill="1" applyBorder="1" applyAlignment="1" applyProtection="1">
      <protection locked="0"/>
    </xf>
    <xf numFmtId="0" fontId="10" fillId="0" borderId="4" xfId="0" applyNumberFormat="1" applyFont="1" applyFill="1" applyBorder="1" applyAlignment="1" applyProtection="1">
      <protection locked="0"/>
    </xf>
    <xf numFmtId="0" fontId="13" fillId="0" borderId="36" xfId="0" applyNumberFormat="1" applyFont="1" applyFill="1" applyBorder="1" applyAlignment="1" applyProtection="1"/>
    <xf numFmtId="0" fontId="10" fillId="0" borderId="37" xfId="0" applyNumberFormat="1" applyFont="1" applyFill="1" applyBorder="1" applyAlignment="1" applyProtection="1">
      <protection locked="0"/>
    </xf>
    <xf numFmtId="0" fontId="10" fillId="0" borderId="38" xfId="0" applyNumberFormat="1" applyFont="1" applyFill="1" applyBorder="1" applyAlignment="1" applyProtection="1">
      <protection locked="0"/>
    </xf>
    <xf numFmtId="183" fontId="10" fillId="0" borderId="39" xfId="0" applyNumberFormat="1" applyFont="1" applyFill="1" applyBorder="1" applyAlignment="1" applyProtection="1">
      <alignment horizontal="center"/>
    </xf>
    <xf numFmtId="2" fontId="10" fillId="0" borderId="39" xfId="0" applyNumberFormat="1" applyFont="1" applyFill="1" applyBorder="1" applyAlignment="1" applyProtection="1">
      <alignment horizontal="center"/>
    </xf>
    <xf numFmtId="2" fontId="9" fillId="0" borderId="39" xfId="0" applyNumberFormat="1" applyFont="1" applyFill="1" applyBorder="1" applyAlignment="1" applyProtection="1">
      <alignment horizontal="center"/>
    </xf>
    <xf numFmtId="2" fontId="13" fillId="0" borderId="39" xfId="0" applyNumberFormat="1" applyFont="1" applyFill="1" applyBorder="1" applyAlignment="1" applyProtection="1">
      <alignment horizontal="center"/>
    </xf>
    <xf numFmtId="2" fontId="13" fillId="0" borderId="26" xfId="0" applyNumberFormat="1" applyFont="1" applyFill="1" applyBorder="1" applyAlignment="1" applyProtection="1">
      <alignment horizontal="center"/>
    </xf>
    <xf numFmtId="2" fontId="6" fillId="0" borderId="40" xfId="0" applyNumberFormat="1" applyFont="1" applyFill="1" applyBorder="1" applyAlignment="1" applyProtection="1"/>
    <xf numFmtId="0" fontId="10" fillId="0" borderId="22" xfId="0" applyNumberFormat="1" applyFont="1" applyFill="1" applyBorder="1" applyAlignment="1" applyProtection="1">
      <protection locked="0"/>
    </xf>
    <xf numFmtId="2" fontId="10" fillId="0" borderId="20" xfId="0" applyNumberFormat="1" applyFont="1" applyFill="1" applyBorder="1" applyAlignment="1" applyProtection="1">
      <alignment horizontal="center"/>
      <protection locked="0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13" fillId="0" borderId="20" xfId="0" applyNumberFormat="1" applyFont="1" applyFill="1" applyBorder="1" applyAlignment="1" applyProtection="1">
      <alignment horizontal="center"/>
      <protection locked="0"/>
    </xf>
    <xf numFmtId="2" fontId="14" fillId="0" borderId="41" xfId="0" applyNumberFormat="1" applyFont="1" applyFill="1" applyBorder="1" applyAlignment="1" applyProtection="1">
      <protection locked="0"/>
    </xf>
    <xf numFmtId="0" fontId="2" fillId="3" borderId="22" xfId="0" applyNumberFormat="1" applyFont="1" applyFill="1" applyBorder="1" applyAlignment="1" applyProtection="1">
      <alignment horizontal="center" shrinkToFit="1"/>
      <protection locked="0"/>
    </xf>
    <xf numFmtId="0" fontId="2" fillId="3" borderId="25" xfId="0" applyNumberFormat="1" applyFont="1" applyFill="1" applyBorder="1" applyAlignment="1" applyProtection="1">
      <alignment horizontal="center" shrinkToFit="1"/>
      <protection locked="0"/>
    </xf>
    <xf numFmtId="0" fontId="2" fillId="3" borderId="23" xfId="0" applyNumberFormat="1" applyFont="1" applyFill="1" applyBorder="1" applyAlignment="1" applyProtection="1">
      <alignment horizontal="center" shrinkToFit="1"/>
      <protection locked="0"/>
    </xf>
    <xf numFmtId="181" fontId="6" fillId="0" borderId="0" xfId="0" applyNumberFormat="1" applyFont="1" applyFill="1" applyBorder="1" applyAlignment="1" applyProtection="1">
      <alignment horizontal="center"/>
      <protection locked="0"/>
    </xf>
    <xf numFmtId="0" fontId="6" fillId="0" borderId="0" xfId="0" applyNumberFormat="1" applyFont="1" applyFill="1" applyBorder="1" applyAlignment="1" applyProtection="1">
      <alignment horizontal="center"/>
      <protection locked="0"/>
    </xf>
    <xf numFmtId="2" fontId="13" fillId="0" borderId="42" xfId="0" applyNumberFormat="1" applyFont="1" applyFill="1" applyBorder="1" applyAlignment="1" applyProtection="1">
      <alignment horizontal="center"/>
    </xf>
    <xf numFmtId="2" fontId="13" fillId="0" borderId="43" xfId="0" applyNumberFormat="1" applyFont="1" applyFill="1" applyBorder="1" applyAlignment="1" applyProtection="1">
      <alignment horizontal="center"/>
    </xf>
    <xf numFmtId="2" fontId="8" fillId="0" borderId="44" xfId="0" applyNumberFormat="1" applyFont="1" applyFill="1" applyBorder="1" applyAlignment="1" applyProtection="1">
      <alignment horizontal="center"/>
    </xf>
    <xf numFmtId="2" fontId="8" fillId="0" borderId="43" xfId="0" applyNumberFormat="1" applyFont="1" applyFill="1" applyBorder="1" applyAlignment="1" applyProtection="1">
      <alignment horizontal="center"/>
    </xf>
    <xf numFmtId="0" fontId="2" fillId="0" borderId="45" xfId="0" applyNumberFormat="1" applyFont="1" applyFill="1" applyBorder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D3D7-47F9-47DA-B6F3-E777ABFE70D0}">
  <dimension ref="B1:U25"/>
  <sheetViews>
    <sheetView tabSelected="1" zoomScale="70" zoomScaleNormal="70" workbookViewId="0">
      <selection activeCell="U14" sqref="U14"/>
    </sheetView>
  </sheetViews>
  <sheetFormatPr defaultRowHeight="14" x14ac:dyDescent="0.3"/>
  <cols>
    <col min="5" max="5" width="18.9140625" customWidth="1"/>
    <col min="21" max="21" width="23.08203125" customWidth="1"/>
  </cols>
  <sheetData>
    <row r="1" spans="2:21" ht="24" thickTop="1" thickBot="1" x14ac:dyDescent="0.55000000000000004">
      <c r="B1" s="104" t="s">
        <v>0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</row>
    <row r="2" spans="2:21" ht="16.5" thickTop="1" thickBot="1" x14ac:dyDescent="0.4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spans="2:21" ht="23" thickTop="1" x14ac:dyDescent="0.45">
      <c r="B3" s="5" t="s">
        <v>1</v>
      </c>
      <c r="C3" s="7"/>
      <c r="D3" s="6"/>
      <c r="E3" s="8" t="s">
        <v>2</v>
      </c>
      <c r="F3" s="7"/>
      <c r="G3" s="7"/>
      <c r="H3" s="7"/>
      <c r="I3" s="7"/>
      <c r="J3" s="7"/>
      <c r="K3" s="7"/>
      <c r="L3" s="6"/>
      <c r="M3" s="8" t="s">
        <v>3</v>
      </c>
      <c r="N3" s="7"/>
      <c r="O3" s="7"/>
      <c r="P3" s="7"/>
      <c r="Q3" s="7"/>
      <c r="R3" s="7"/>
      <c r="S3" s="7"/>
      <c r="T3" s="7"/>
      <c r="U3" s="9"/>
    </row>
    <row r="4" spans="2:21" ht="22.5" x14ac:dyDescent="0.45">
      <c r="B4" s="10"/>
      <c r="C4" s="11"/>
      <c r="D4" s="12"/>
      <c r="E4" s="11"/>
      <c r="F4" s="11"/>
      <c r="G4" s="11"/>
      <c r="H4" s="11"/>
      <c r="I4" s="11"/>
      <c r="J4" s="11"/>
      <c r="K4" s="11"/>
      <c r="L4" s="11"/>
      <c r="M4" s="13"/>
      <c r="N4" s="11"/>
      <c r="O4" s="11"/>
      <c r="P4" s="11"/>
      <c r="Q4" s="11"/>
      <c r="R4" s="11"/>
      <c r="S4" s="11"/>
      <c r="T4" s="11"/>
      <c r="U4" s="14"/>
    </row>
    <row r="5" spans="2:21" ht="32.5" x14ac:dyDescent="0.65">
      <c r="B5" s="15"/>
      <c r="C5" s="98">
        <v>43022</v>
      </c>
      <c r="D5" s="16"/>
      <c r="E5" s="17" t="s">
        <v>29</v>
      </c>
      <c r="F5" s="18"/>
      <c r="G5" s="18"/>
      <c r="H5" s="18"/>
      <c r="I5" s="18"/>
      <c r="J5" s="18"/>
      <c r="K5" s="18"/>
      <c r="L5" s="19"/>
      <c r="M5" s="20" t="s">
        <v>4</v>
      </c>
      <c r="N5" s="21"/>
      <c r="O5" s="21"/>
      <c r="P5" s="21"/>
      <c r="Q5" s="21"/>
      <c r="R5" s="21"/>
      <c r="S5" s="21"/>
      <c r="T5" s="21"/>
      <c r="U5" s="22"/>
    </row>
    <row r="6" spans="2:21" ht="25" x14ac:dyDescent="0.5">
      <c r="B6" s="10"/>
      <c r="C6" s="99" t="s">
        <v>5</v>
      </c>
      <c r="D6" s="23"/>
      <c r="E6" s="11"/>
      <c r="F6" s="11"/>
      <c r="G6" s="11"/>
      <c r="H6" s="11"/>
      <c r="I6" s="11"/>
      <c r="J6" s="11"/>
      <c r="K6" s="11"/>
      <c r="L6" s="11"/>
      <c r="M6" s="13" t="s">
        <v>6</v>
      </c>
      <c r="N6" s="11"/>
      <c r="O6" s="11"/>
      <c r="P6" s="11"/>
      <c r="Q6" s="11"/>
      <c r="R6" s="11"/>
      <c r="S6" s="11"/>
      <c r="T6" s="11"/>
      <c r="U6" s="14"/>
    </row>
    <row r="7" spans="2:21" ht="25.5" thickBot="1" x14ac:dyDescent="0.55000000000000004">
      <c r="B7" s="15"/>
      <c r="C7" s="25">
        <f>C5+13</f>
        <v>43035</v>
      </c>
      <c r="D7" s="24"/>
      <c r="E7" s="11" t="s">
        <v>6</v>
      </c>
      <c r="F7" s="11"/>
      <c r="G7" s="11"/>
      <c r="H7" s="11" t="s">
        <v>6</v>
      </c>
      <c r="I7" s="11"/>
      <c r="J7" s="11" t="s">
        <v>6</v>
      </c>
      <c r="K7" s="11"/>
      <c r="L7" s="11"/>
      <c r="M7" s="13"/>
      <c r="N7" s="11"/>
      <c r="O7" s="11"/>
      <c r="P7" s="11"/>
      <c r="Q7" s="26" t="s">
        <v>6</v>
      </c>
      <c r="R7" s="11"/>
      <c r="S7" s="11"/>
      <c r="T7" s="27"/>
      <c r="U7" s="14"/>
    </row>
    <row r="8" spans="2:21" ht="23" thickTop="1" x14ac:dyDescent="0.45">
      <c r="B8" s="28"/>
      <c r="C8" s="29"/>
      <c r="D8" s="29"/>
      <c r="E8" s="29"/>
      <c r="F8" s="30" t="s">
        <v>7</v>
      </c>
      <c r="G8" s="30" t="s">
        <v>8</v>
      </c>
      <c r="H8" s="30" t="s">
        <v>9</v>
      </c>
      <c r="I8" s="30" t="s">
        <v>10</v>
      </c>
      <c r="J8" s="30" t="s">
        <v>11</v>
      </c>
      <c r="K8" s="30" t="s">
        <v>12</v>
      </c>
      <c r="L8" s="30" t="s">
        <v>13</v>
      </c>
      <c r="M8" s="30" t="s">
        <v>7</v>
      </c>
      <c r="N8" s="30" t="s">
        <v>14</v>
      </c>
      <c r="O8" s="30" t="s">
        <v>15</v>
      </c>
      <c r="P8" s="30" t="s">
        <v>10</v>
      </c>
      <c r="Q8" s="30" t="s">
        <v>11</v>
      </c>
      <c r="R8" s="30" t="s">
        <v>12</v>
      </c>
      <c r="S8" s="30" t="s">
        <v>13</v>
      </c>
      <c r="T8" s="31" t="s">
        <v>16</v>
      </c>
      <c r="U8" s="32" t="s">
        <v>17</v>
      </c>
    </row>
    <row r="9" spans="2:21" ht="23" thickBot="1" x14ac:dyDescent="0.5">
      <c r="B9" s="33"/>
      <c r="C9" s="34"/>
      <c r="D9" s="34" t="s">
        <v>6</v>
      </c>
      <c r="E9" s="34" t="s">
        <v>6</v>
      </c>
      <c r="F9" s="34" t="s">
        <v>6</v>
      </c>
      <c r="G9" s="34" t="s">
        <v>6</v>
      </c>
      <c r="H9" s="34" t="s">
        <v>6</v>
      </c>
      <c r="I9" s="34" t="s">
        <v>6</v>
      </c>
      <c r="J9" s="34" t="s">
        <v>6</v>
      </c>
      <c r="K9" s="34" t="s">
        <v>6</v>
      </c>
      <c r="L9" s="34" t="s">
        <v>6</v>
      </c>
      <c r="M9" s="34" t="s">
        <v>6</v>
      </c>
      <c r="N9" s="34" t="s">
        <v>6</v>
      </c>
      <c r="O9" s="34" t="s">
        <v>6</v>
      </c>
      <c r="P9" s="34" t="s">
        <v>6</v>
      </c>
      <c r="Q9" s="34" t="s">
        <v>6</v>
      </c>
      <c r="R9" s="34" t="s">
        <v>6</v>
      </c>
      <c r="S9" s="34" t="s">
        <v>6</v>
      </c>
      <c r="T9" s="35" t="s">
        <v>18</v>
      </c>
      <c r="U9" s="36" t="s">
        <v>19</v>
      </c>
    </row>
    <row r="10" spans="2:21" ht="23.5" thickTop="1" x14ac:dyDescent="0.5">
      <c r="B10" s="37"/>
      <c r="C10" s="38" t="s">
        <v>20</v>
      </c>
      <c r="D10" s="39"/>
      <c r="E10" s="39"/>
      <c r="F10" s="40">
        <f>C5</f>
        <v>43022</v>
      </c>
      <c r="G10" s="40">
        <f>F10+1</f>
        <v>43023</v>
      </c>
      <c r="H10" s="40">
        <f>G10+1</f>
        <v>43024</v>
      </c>
      <c r="I10" s="40">
        <f>H10+1</f>
        <v>43025</v>
      </c>
      <c r="J10" s="40">
        <f>I10+1</f>
        <v>43026</v>
      </c>
      <c r="K10" s="40">
        <f>J10+1</f>
        <v>43027</v>
      </c>
      <c r="L10" s="40">
        <f>K10+1</f>
        <v>43028</v>
      </c>
      <c r="M10" s="41">
        <f>L10+1</f>
        <v>43029</v>
      </c>
      <c r="N10" s="41">
        <f>M10+1</f>
        <v>43030</v>
      </c>
      <c r="O10" s="40">
        <f>N10+1</f>
        <v>43031</v>
      </c>
      <c r="P10" s="40">
        <f>O10+1</f>
        <v>43032</v>
      </c>
      <c r="Q10" s="40">
        <f>P10+1</f>
        <v>43033</v>
      </c>
      <c r="R10" s="40">
        <f>Q10+1</f>
        <v>43034</v>
      </c>
      <c r="S10" s="40">
        <f>R10+1</f>
        <v>43035</v>
      </c>
      <c r="T10" s="42"/>
      <c r="U10" s="43"/>
    </row>
    <row r="11" spans="2:21" ht="15.5" x14ac:dyDescent="0.35">
      <c r="B11" s="44"/>
      <c r="C11" s="45"/>
      <c r="D11" s="45" t="s">
        <v>6</v>
      </c>
      <c r="E11" s="45" t="s">
        <v>6</v>
      </c>
      <c r="F11" s="46"/>
      <c r="G11" s="48" t="s">
        <v>6</v>
      </c>
      <c r="H11" s="50"/>
      <c r="I11" s="51"/>
      <c r="J11" s="51"/>
      <c r="K11" s="51"/>
      <c r="L11" s="1"/>
      <c r="M11" s="52"/>
      <c r="N11" s="52"/>
      <c r="O11" s="51"/>
      <c r="P11" s="51"/>
      <c r="Q11" s="51"/>
      <c r="R11" s="51"/>
      <c r="S11" s="1"/>
      <c r="T11" s="53"/>
      <c r="U11" s="54"/>
    </row>
    <row r="12" spans="2:21" ht="27.5" x14ac:dyDescent="0.55000000000000004">
      <c r="B12" s="55" t="s">
        <v>30</v>
      </c>
      <c r="C12" s="56"/>
      <c r="D12" s="56"/>
      <c r="E12" s="56"/>
      <c r="F12" s="47"/>
      <c r="G12" s="49"/>
      <c r="H12" s="57">
        <v>8</v>
      </c>
      <c r="I12" s="57">
        <v>8</v>
      </c>
      <c r="J12" s="57">
        <v>8</v>
      </c>
      <c r="K12" s="58">
        <v>0</v>
      </c>
      <c r="L12" s="58">
        <v>0</v>
      </c>
      <c r="M12" s="59"/>
      <c r="N12" s="59"/>
      <c r="O12" s="60">
        <v>8</v>
      </c>
      <c r="P12" s="60">
        <v>8</v>
      </c>
      <c r="Q12" s="57">
        <v>8</v>
      </c>
      <c r="R12" s="57">
        <v>0</v>
      </c>
      <c r="S12" s="58">
        <v>0</v>
      </c>
      <c r="T12" s="61"/>
      <c r="U12" s="62">
        <f>SUM(H12:S12)</f>
        <v>48</v>
      </c>
    </row>
    <row r="13" spans="2:21" ht="17.5" x14ac:dyDescent="0.35">
      <c r="B13" s="63"/>
      <c r="C13" s="64"/>
      <c r="D13" s="64"/>
      <c r="E13" s="64"/>
      <c r="F13" s="46" t="s">
        <v>6</v>
      </c>
      <c r="G13" s="48" t="s">
        <v>6</v>
      </c>
      <c r="H13" s="65"/>
      <c r="I13" s="66"/>
      <c r="J13" s="66"/>
      <c r="K13" s="66"/>
      <c r="L13" s="67"/>
      <c r="M13" s="68"/>
      <c r="N13" s="68"/>
      <c r="O13" s="66"/>
      <c r="P13" s="66"/>
      <c r="Q13" s="66"/>
      <c r="R13" s="66"/>
      <c r="S13" s="67"/>
      <c r="T13" s="69"/>
      <c r="U13" s="70"/>
    </row>
    <row r="14" spans="2:21" ht="27.5" x14ac:dyDescent="0.55000000000000004">
      <c r="B14" s="55" t="s">
        <v>21</v>
      </c>
      <c r="C14" s="56"/>
      <c r="D14" s="56"/>
      <c r="E14" s="56"/>
      <c r="F14" s="47"/>
      <c r="G14" s="49"/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59"/>
      <c r="N14" s="59"/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2"/>
      <c r="U14" s="62">
        <f>SUM(H14:S14)</f>
        <v>0</v>
      </c>
    </row>
    <row r="15" spans="2:21" ht="17.5" x14ac:dyDescent="0.35">
      <c r="B15" s="63"/>
      <c r="C15" s="64"/>
      <c r="D15" s="64"/>
      <c r="E15" s="64"/>
      <c r="F15" s="46" t="s">
        <v>6</v>
      </c>
      <c r="G15" s="48" t="s">
        <v>6</v>
      </c>
      <c r="H15" s="65"/>
      <c r="I15" s="66"/>
      <c r="J15" s="66"/>
      <c r="K15" s="66"/>
      <c r="L15" s="67"/>
      <c r="M15" s="68"/>
      <c r="N15" s="68"/>
      <c r="O15" s="66"/>
      <c r="P15" s="66"/>
      <c r="Q15" s="66"/>
      <c r="R15" s="66"/>
      <c r="S15" s="67"/>
      <c r="T15" s="69"/>
      <c r="U15" s="73"/>
    </row>
    <row r="16" spans="2:21" ht="27.5" x14ac:dyDescent="0.55000000000000004">
      <c r="B16" s="55" t="s">
        <v>22</v>
      </c>
      <c r="C16" s="56"/>
      <c r="D16" s="56"/>
      <c r="E16" s="56"/>
      <c r="F16" s="47"/>
      <c r="G16" s="49"/>
      <c r="H16" s="57">
        <v>0</v>
      </c>
      <c r="I16" s="57">
        <v>0</v>
      </c>
      <c r="J16" s="57">
        <v>0</v>
      </c>
      <c r="K16" s="58">
        <v>0</v>
      </c>
      <c r="L16" s="58">
        <v>0</v>
      </c>
      <c r="M16" s="59"/>
      <c r="N16" s="59"/>
      <c r="O16" s="60">
        <v>0</v>
      </c>
      <c r="P16" s="60">
        <v>0</v>
      </c>
      <c r="Q16" s="57">
        <v>0</v>
      </c>
      <c r="R16" s="57">
        <v>0</v>
      </c>
      <c r="S16" s="58">
        <v>0</v>
      </c>
      <c r="T16" s="74"/>
      <c r="U16" s="62">
        <f>SUM(H16:S16)</f>
        <v>0</v>
      </c>
    </row>
    <row r="17" spans="2:21" ht="17.5" x14ac:dyDescent="0.35">
      <c r="B17" s="63"/>
      <c r="C17" s="64"/>
      <c r="D17" s="64"/>
      <c r="E17" s="64"/>
      <c r="F17" s="46" t="s">
        <v>6</v>
      </c>
      <c r="G17" s="48" t="s">
        <v>6</v>
      </c>
      <c r="H17" s="65"/>
      <c r="I17" s="66"/>
      <c r="J17" s="66"/>
      <c r="K17" s="66"/>
      <c r="L17" s="67"/>
      <c r="M17" s="68"/>
      <c r="N17" s="68"/>
      <c r="O17" s="66"/>
      <c r="P17" s="66"/>
      <c r="Q17" s="66"/>
      <c r="R17" s="66"/>
      <c r="S17" s="67"/>
      <c r="T17" s="69"/>
      <c r="U17" s="73"/>
    </row>
    <row r="18" spans="2:21" ht="27.5" x14ac:dyDescent="0.55000000000000004">
      <c r="B18" s="55" t="s">
        <v>23</v>
      </c>
      <c r="C18" s="56"/>
      <c r="D18" s="56"/>
      <c r="E18" s="56"/>
      <c r="F18" s="47"/>
      <c r="G18" s="49"/>
      <c r="H18" s="57">
        <v>0</v>
      </c>
      <c r="I18" s="57">
        <v>0</v>
      </c>
      <c r="J18" s="57">
        <v>0</v>
      </c>
      <c r="K18" s="58">
        <v>0</v>
      </c>
      <c r="L18" s="58">
        <v>3</v>
      </c>
      <c r="M18" s="59"/>
      <c r="N18" s="59"/>
      <c r="O18" s="60">
        <v>0</v>
      </c>
      <c r="P18" s="60">
        <v>0</v>
      </c>
      <c r="Q18" s="57">
        <v>0</v>
      </c>
      <c r="R18" s="57">
        <v>2</v>
      </c>
      <c r="S18" s="58">
        <v>0</v>
      </c>
      <c r="T18" s="74"/>
      <c r="U18" s="62">
        <f>SUM(H18:S18)</f>
        <v>5</v>
      </c>
    </row>
    <row r="19" spans="2:21" ht="17.5" x14ac:dyDescent="0.35">
      <c r="B19" s="63"/>
      <c r="C19" s="64"/>
      <c r="D19" s="64"/>
      <c r="E19" s="64"/>
      <c r="F19" s="46" t="s">
        <v>6</v>
      </c>
      <c r="G19" s="48" t="s">
        <v>6</v>
      </c>
      <c r="H19" s="65"/>
      <c r="I19" s="66"/>
      <c r="J19" s="66"/>
      <c r="K19" s="66"/>
      <c r="L19" s="66"/>
      <c r="M19" s="68"/>
      <c r="N19" s="68"/>
      <c r="O19" s="66"/>
      <c r="P19" s="66"/>
      <c r="Q19" s="66"/>
      <c r="R19" s="66"/>
      <c r="S19" s="67"/>
      <c r="T19" s="69"/>
      <c r="U19" s="73"/>
    </row>
    <row r="20" spans="2:21" ht="27.5" x14ac:dyDescent="0.55000000000000004">
      <c r="B20" s="55" t="s">
        <v>24</v>
      </c>
      <c r="C20" s="56"/>
      <c r="D20" s="56"/>
      <c r="E20" s="56"/>
      <c r="F20" s="47"/>
      <c r="G20" s="49"/>
      <c r="H20" s="58">
        <v>0</v>
      </c>
      <c r="I20" s="58">
        <v>0</v>
      </c>
      <c r="J20" s="58">
        <v>0</v>
      </c>
      <c r="K20" s="58">
        <v>8</v>
      </c>
      <c r="L20" s="58">
        <v>0</v>
      </c>
      <c r="M20" s="59"/>
      <c r="N20" s="59"/>
      <c r="O20" s="58">
        <v>0</v>
      </c>
      <c r="P20" s="58">
        <v>0</v>
      </c>
      <c r="Q20" s="58">
        <v>0</v>
      </c>
      <c r="R20" s="58">
        <v>0</v>
      </c>
      <c r="S20" s="58">
        <v>8</v>
      </c>
      <c r="T20" s="72"/>
      <c r="U20" s="62">
        <f>H20+I20+J20+K20+L20+O20+P20+Q20+R20+S20</f>
        <v>16</v>
      </c>
    </row>
    <row r="21" spans="2:21" ht="27.5" x14ac:dyDescent="0.55000000000000004">
      <c r="B21" s="75"/>
      <c r="C21" s="64"/>
      <c r="D21" s="64"/>
      <c r="E21" s="64"/>
      <c r="F21" s="46" t="s">
        <v>6</v>
      </c>
      <c r="G21" s="48" t="s">
        <v>6</v>
      </c>
      <c r="H21" s="76" t="str">
        <f>IF(H22&gt;0,"D","")</f>
        <v/>
      </c>
      <c r="I21" s="76" t="str">
        <f>IF(I22&gt;0,"D","")</f>
        <v/>
      </c>
      <c r="J21" s="76" t="str">
        <f>IF(J22&gt;0,"D","")</f>
        <v/>
      </c>
      <c r="K21" s="76" t="str">
        <f>IF(K22&gt;0,"D","")</f>
        <v/>
      </c>
      <c r="L21" s="76" t="str">
        <f>IF(L22&gt;0,"D","")</f>
        <v/>
      </c>
      <c r="M21" s="100" t="s">
        <v>6</v>
      </c>
      <c r="N21" s="100" t="s">
        <v>6</v>
      </c>
      <c r="O21" s="76" t="str">
        <f>IF(O22&gt;0,"D","")</f>
        <v/>
      </c>
      <c r="P21" s="76" t="str">
        <f>IF(P22&gt;0,"D","")</f>
        <v/>
      </c>
      <c r="Q21" s="76" t="str">
        <f>IF(Q22&gt;0,"D","")</f>
        <v/>
      </c>
      <c r="R21" s="76" t="str">
        <f>IF(R22&gt;0,"D","")</f>
        <v/>
      </c>
      <c r="S21" s="76" t="str">
        <f>IF(S22&gt;0,"D","")</f>
        <v/>
      </c>
      <c r="T21" s="77"/>
      <c r="U21" s="78"/>
    </row>
    <row r="22" spans="2:21" ht="28" thickBot="1" x14ac:dyDescent="0.6">
      <c r="B22" s="79" t="s">
        <v>25</v>
      </c>
      <c r="C22" s="80"/>
      <c r="D22" s="80"/>
      <c r="E22" s="80"/>
      <c r="F22" s="103"/>
      <c r="G22" s="102"/>
      <c r="H22" s="57">
        <v>0</v>
      </c>
      <c r="I22" s="57">
        <v>0</v>
      </c>
      <c r="J22" s="57">
        <v>0</v>
      </c>
      <c r="K22" s="58">
        <v>0</v>
      </c>
      <c r="L22" s="58">
        <v>0</v>
      </c>
      <c r="M22" s="101"/>
      <c r="N22" s="101"/>
      <c r="O22" s="60">
        <v>0</v>
      </c>
      <c r="P22" s="60">
        <v>0</v>
      </c>
      <c r="Q22" s="57">
        <v>0</v>
      </c>
      <c r="R22" s="57">
        <v>0</v>
      </c>
      <c r="S22" s="58">
        <v>0</v>
      </c>
      <c r="T22" s="81"/>
      <c r="U22" s="62">
        <f>H22+I22+J22+K22+L22+O22+P22+Q22+R22+S22</f>
        <v>0</v>
      </c>
    </row>
    <row r="23" spans="2:21" ht="28" thickTop="1" x14ac:dyDescent="0.55000000000000004">
      <c r="B23" s="82" t="s">
        <v>26</v>
      </c>
      <c r="C23" s="83"/>
      <c r="D23" s="83"/>
      <c r="E23" s="83"/>
      <c r="F23" s="84"/>
      <c r="G23" s="85"/>
      <c r="H23" s="86">
        <f>SUM(H12:H18)</f>
        <v>8</v>
      </c>
      <c r="I23" s="86">
        <f>SUM(I12:I18)</f>
        <v>8</v>
      </c>
      <c r="J23" s="86">
        <f>SUM(J12:J18)</f>
        <v>8</v>
      </c>
      <c r="K23" s="86">
        <f>SUM(K12:K18)</f>
        <v>0</v>
      </c>
      <c r="L23" s="86">
        <f>SUM(L12:L18)</f>
        <v>3</v>
      </c>
      <c r="M23" s="87"/>
      <c r="N23" s="87"/>
      <c r="O23" s="86">
        <f>SUM(O12:O18)</f>
        <v>8</v>
      </c>
      <c r="P23" s="86">
        <f>SUM(P12:P18)</f>
        <v>8</v>
      </c>
      <c r="Q23" s="86">
        <f>SUM(Q12:Q18)</f>
        <v>8</v>
      </c>
      <c r="R23" s="86">
        <f>SUM(R12:R18)</f>
        <v>2</v>
      </c>
      <c r="S23" s="86">
        <f>SUM(S12:S18)</f>
        <v>0</v>
      </c>
      <c r="T23" s="88"/>
      <c r="U23" s="89">
        <f>U12+U14+U16+U18+U22</f>
        <v>53</v>
      </c>
    </row>
    <row r="24" spans="2:21" ht="27.5" x14ac:dyDescent="0.55000000000000004">
      <c r="B24" s="90" t="s">
        <v>27</v>
      </c>
      <c r="C24" s="56"/>
      <c r="D24" s="56"/>
      <c r="E24" s="56"/>
      <c r="F24" s="91"/>
      <c r="G24" s="91"/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3"/>
      <c r="N24" s="93"/>
      <c r="O24" s="92">
        <v>0</v>
      </c>
      <c r="P24" s="92">
        <v>0</v>
      </c>
      <c r="Q24" s="92">
        <v>0</v>
      </c>
      <c r="R24" s="92">
        <v>0</v>
      </c>
      <c r="S24" s="92">
        <v>0</v>
      </c>
      <c r="T24" s="93"/>
      <c r="U24" s="94">
        <v>0</v>
      </c>
    </row>
    <row r="25" spans="2:21" ht="23" x14ac:dyDescent="0.5">
      <c r="B25" s="95" t="s">
        <v>28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6"/>
    </row>
  </sheetData>
  <mergeCells count="24">
    <mergeCell ref="F21:F22"/>
    <mergeCell ref="G21:G22"/>
    <mergeCell ref="M21:M22"/>
    <mergeCell ref="N21:N22"/>
    <mergeCell ref="B25:U25"/>
    <mergeCell ref="F15:F16"/>
    <mergeCell ref="G15:G16"/>
    <mergeCell ref="F17:F18"/>
    <mergeCell ref="G17:G18"/>
    <mergeCell ref="F19:F20"/>
    <mergeCell ref="G19:G20"/>
    <mergeCell ref="C6:D6"/>
    <mergeCell ref="C7:D7"/>
    <mergeCell ref="F11:F12"/>
    <mergeCell ref="G11:G12"/>
    <mergeCell ref="F13:F14"/>
    <mergeCell ref="G13:G14"/>
    <mergeCell ref="B3:D3"/>
    <mergeCell ref="E3:L3"/>
    <mergeCell ref="M3:U3"/>
    <mergeCell ref="C5:D5"/>
    <mergeCell ref="E5:L5"/>
    <mergeCell ref="M5:U5"/>
    <mergeCell ref="B1:U1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2024-11-25T04:42:32Z</dcterms:created>
  <dcterms:modified xsi:type="dcterms:W3CDTF">2024-11-25T07:40:14Z</dcterms:modified>
</cp:coreProperties>
</file>