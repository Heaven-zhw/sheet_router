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veal loin c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<sst xmlns="http://schemas.openxmlformats.org/spreadsheetml/2006/main" count="117" uniqueCount="51">
  <si>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</si>
  <si>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</si>
  <si>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</si>
  <si>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Lean and Fat</t>
  </si>
  <si>
    <t>Lean Only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</si>
  <si>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[1]</t>
    </r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</si>
  <si>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</si>
  <si>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</si>
  <si>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</si>
  <si>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</si>
  <si>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</si>
  <si>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</si>
  <si>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</si>
  <si>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</si>
  <si>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</si>
  <si>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1</t>
  </si>
  <si>
    <t>Energy</t>
  </si>
  <si>
    <t>Kcal</t>
  </si>
  <si>
    <t>4/6/4</t>
  </si>
  <si>
    <t>Calories from fat</t>
  </si>
  <si>
    <t>4</t>
  </si>
  <si>
    <t>Protein</t>
  </si>
  <si>
    <t>Total lipid (fat)</t>
  </si>
  <si>
    <t>Ash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</si>
  <si>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</si>
  <si>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</si>
  <si>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</si>
  <si>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</si>
  <si>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</si>
  <si>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</si>
  <si>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</si>
  <si>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</si>
  <si>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</si>
  <si>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</si>
  <si>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</si>
  <si>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</si>
  <si>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</si>
  <si>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</si>
  <si>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</si>
  <si>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</si>
  <si>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</si>
  <si>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</si>
  <si>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</si>
  <si>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</si>
  <si>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0/0/1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</si>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</sst>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shrinkToFi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H9" sqref="H9"/>
    </sheetView>
  </sheetViews>
  <sheetFormatPr defaultColWidth="9" defaultRowHeight="13.2"/>
  <cols>
    <col min="1" max="1" width="28.712962962963" style="1" customWidth="1"/>
    <col min="2" max="2" width="7.71296296296296" style="1" customWidth="1"/>
    <col min="3" max="10" width="8.71296296296296" style="1" customWidth="1"/>
    <col min="11" max="16384" width="9.13888888888889" style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/>
      <c r="J1" s="20" t="s">
        <v>5</v>
      </c>
    </row>
    <row r="2" ht="15.75" customHeight="1" spans="1:10">
      <c r="A2" s="3"/>
      <c r="B2" s="3"/>
      <c r="C2" s="3"/>
      <c r="D2" s="4" t="s">
        <v>6</v>
      </c>
      <c r="E2" s="4"/>
      <c r="F2" s="4" t="s">
        <v>7</v>
      </c>
      <c r="G2" s="4"/>
      <c r="H2" s="4" t="s">
        <v>7</v>
      </c>
      <c r="I2" s="4"/>
      <c r="J2" s="21"/>
    </row>
    <row r="3" ht="16.5" customHeight="1" spans="1:10">
      <c r="A3" s="3"/>
      <c r="B3" s="3"/>
      <c r="C3" s="3"/>
      <c r="D3" s="4"/>
      <c r="E3" s="4"/>
      <c r="F3" s="4" t="s">
        <v>8</v>
      </c>
      <c r="G3" s="4"/>
      <c r="H3" s="4" t="s">
        <v>8</v>
      </c>
      <c r="I3" s="4"/>
      <c r="J3" s="21"/>
    </row>
    <row r="4" ht="20.1" customHeight="1" spans="1:10">
      <c r="A4" s="3"/>
      <c r="B4" s="3"/>
      <c r="C4" s="3"/>
      <c r="D4" s="5" t="s">
        <v>9</v>
      </c>
      <c r="E4" s="5" t="s">
        <v>10</v>
      </c>
      <c r="F4" s="5" t="s">
        <v>9</v>
      </c>
      <c r="G4" s="5" t="s">
        <v>11</v>
      </c>
      <c r="H4" s="5" t="s">
        <v>9</v>
      </c>
      <c r="I4" s="5" t="s">
        <v>11</v>
      </c>
      <c r="J4" s="21"/>
    </row>
    <row r="5" spans="1:10">
      <c r="A5" s="6" t="s">
        <v>12</v>
      </c>
      <c r="B5" s="7" t="s">
        <v>13</v>
      </c>
      <c r="C5" s="7" t="s">
        <v>14</v>
      </c>
      <c r="D5" s="8">
        <v>69.44</v>
      </c>
      <c r="E5" s="8">
        <f t="shared" ref="E5:E31" si="0">D5*114/100</f>
        <v>79.1616</v>
      </c>
      <c r="F5" s="9">
        <v>61.41</v>
      </c>
      <c r="G5" s="8">
        <f t="shared" ref="G5:G31" si="1">F5*85/100</f>
        <v>52.1985</v>
      </c>
      <c r="H5" s="9">
        <v>64.65</v>
      </c>
      <c r="I5" s="9">
        <f>H5*85/100</f>
        <v>54.9525</v>
      </c>
      <c r="J5" s="22" t="s">
        <v>15</v>
      </c>
    </row>
    <row r="6" spans="1:10">
      <c r="A6" s="10" t="s">
        <v>16</v>
      </c>
      <c r="B6" s="7" t="s">
        <v>17</v>
      </c>
      <c r="C6" s="7">
        <v>0</v>
      </c>
      <c r="D6" s="8">
        <v>177</v>
      </c>
      <c r="E6" s="8">
        <f t="shared" si="0"/>
        <v>201.78</v>
      </c>
      <c r="F6" s="9">
        <v>198</v>
      </c>
      <c r="G6" s="8">
        <f t="shared" si="1"/>
        <v>168.3</v>
      </c>
      <c r="H6" s="9">
        <v>159</v>
      </c>
      <c r="I6" s="9">
        <f t="shared" ref="I5:I31" si="2">H6*85/100</f>
        <v>135.15</v>
      </c>
      <c r="J6" s="23" t="s">
        <v>18</v>
      </c>
    </row>
    <row r="7" spans="1:10">
      <c r="A7" s="10" t="s">
        <v>19</v>
      </c>
      <c r="B7" s="7" t="s">
        <v>17</v>
      </c>
      <c r="C7" s="7">
        <v>0</v>
      </c>
      <c r="D7" s="8">
        <f t="shared" ref="D7:H7" si="3">D9*9</f>
        <v>90.63</v>
      </c>
      <c r="E7" s="8">
        <f t="shared" si="0"/>
        <v>103.3182</v>
      </c>
      <c r="F7" s="8">
        <f t="shared" si="3"/>
        <v>85.32</v>
      </c>
      <c r="G7" s="8">
        <f t="shared" si="1"/>
        <v>72.522</v>
      </c>
      <c r="H7" s="8">
        <f t="shared" si="3"/>
        <v>39.96</v>
      </c>
      <c r="I7" s="9">
        <f t="shared" si="2"/>
        <v>33.966</v>
      </c>
      <c r="J7" s="23" t="s">
        <v>20</v>
      </c>
    </row>
    <row r="8" spans="1:10">
      <c r="A8" s="10" t="s">
        <v>21</v>
      </c>
      <c r="B8" s="7" t="s">
        <v>13</v>
      </c>
      <c r="C8" s="7" t="s">
        <v>14</v>
      </c>
      <c r="D8" s="8">
        <v>20.07</v>
      </c>
      <c r="E8" s="8">
        <f t="shared" si="0"/>
        <v>22.8798</v>
      </c>
      <c r="F8" s="9">
        <v>28.04</v>
      </c>
      <c r="G8" s="8">
        <f t="shared" si="1"/>
        <v>23.834</v>
      </c>
      <c r="H8" s="9">
        <v>29.75</v>
      </c>
      <c r="I8" s="9">
        <f t="shared" si="2"/>
        <v>25.2875</v>
      </c>
      <c r="J8" s="23" t="s">
        <v>15</v>
      </c>
    </row>
    <row r="9" spans="1:10">
      <c r="A9" s="10" t="s">
        <v>22</v>
      </c>
      <c r="B9" s="7" t="s">
        <v>13</v>
      </c>
      <c r="C9" s="7" t="s">
        <v>14</v>
      </c>
      <c r="D9" s="8">
        <v>10.07</v>
      </c>
      <c r="E9" s="8">
        <f t="shared" si="0"/>
        <v>11.4798</v>
      </c>
      <c r="F9" s="9">
        <v>9.48</v>
      </c>
      <c r="G9" s="8">
        <f t="shared" si="1"/>
        <v>8.058</v>
      </c>
      <c r="H9" s="9">
        <v>4.44</v>
      </c>
      <c r="I9" s="9">
        <f t="shared" si="2"/>
        <v>3.774</v>
      </c>
      <c r="J9" s="23" t="s">
        <v>15</v>
      </c>
    </row>
    <row r="10" spans="1:10">
      <c r="A10" s="10" t="s">
        <v>23</v>
      </c>
      <c r="B10" s="7" t="s">
        <v>13</v>
      </c>
      <c r="C10" s="7" t="s">
        <v>14</v>
      </c>
      <c r="D10" s="11">
        <v>0.96</v>
      </c>
      <c r="E10" s="12">
        <f t="shared" si="0"/>
        <v>1.0944</v>
      </c>
      <c r="F10" s="13">
        <v>1.03</v>
      </c>
      <c r="G10" s="12">
        <f t="shared" si="1"/>
        <v>0.8755</v>
      </c>
      <c r="H10" s="13">
        <v>1.09</v>
      </c>
      <c r="I10" s="13">
        <f t="shared" si="2"/>
        <v>0.9265</v>
      </c>
      <c r="J10" s="23" t="s">
        <v>15</v>
      </c>
    </row>
    <row r="11" spans="1:10">
      <c r="A11" s="10" t="s">
        <v>24</v>
      </c>
      <c r="B11" s="7" t="s">
        <v>13</v>
      </c>
      <c r="C11" s="9">
        <v>0</v>
      </c>
      <c r="D11" s="8">
        <v>0.07</v>
      </c>
      <c r="E11" s="8">
        <f t="shared" si="0"/>
        <v>0.0798</v>
      </c>
      <c r="F11" s="9">
        <v>0.16</v>
      </c>
      <c r="G11" s="8">
        <f t="shared" si="1"/>
        <v>0.136</v>
      </c>
      <c r="H11" s="9">
        <v>0.07</v>
      </c>
      <c r="I11" s="9">
        <f t="shared" si="2"/>
        <v>0.0595</v>
      </c>
      <c r="J11" s="23" t="s">
        <v>25</v>
      </c>
    </row>
    <row r="12" spans="1:10">
      <c r="A12" s="10" t="s">
        <v>26</v>
      </c>
      <c r="B12" s="7" t="s">
        <v>13</v>
      </c>
      <c r="C12" s="9">
        <v>0</v>
      </c>
      <c r="D12" s="8">
        <v>0</v>
      </c>
      <c r="E12" s="8">
        <f t="shared" si="0"/>
        <v>0</v>
      </c>
      <c r="F12" s="9">
        <v>0</v>
      </c>
      <c r="G12" s="8">
        <f t="shared" si="1"/>
        <v>0</v>
      </c>
      <c r="H12" s="9">
        <v>0</v>
      </c>
      <c r="I12" s="9">
        <f t="shared" si="2"/>
        <v>0</v>
      </c>
      <c r="J12" s="23" t="s">
        <v>27</v>
      </c>
    </row>
    <row r="13" spans="1:10">
      <c r="A13" s="10" t="s">
        <v>28</v>
      </c>
      <c r="B13" s="7" t="s">
        <v>13</v>
      </c>
      <c r="C13" s="9">
        <v>0</v>
      </c>
      <c r="D13" s="8">
        <v>0</v>
      </c>
      <c r="E13" s="8">
        <f t="shared" si="0"/>
        <v>0</v>
      </c>
      <c r="F13" s="9">
        <v>0</v>
      </c>
      <c r="G13" s="8">
        <f t="shared" si="1"/>
        <v>0</v>
      </c>
      <c r="H13" s="9">
        <v>0</v>
      </c>
      <c r="I13" s="9">
        <f t="shared" si="2"/>
        <v>0</v>
      </c>
      <c r="J13" s="23" t="s">
        <v>27</v>
      </c>
    </row>
    <row r="14" spans="1:10">
      <c r="A14" s="10" t="s">
        <v>29</v>
      </c>
      <c r="B14" s="7" t="s">
        <v>30</v>
      </c>
      <c r="C14" s="7" t="s">
        <v>14</v>
      </c>
      <c r="D14" s="14">
        <v>14</v>
      </c>
      <c r="E14" s="14">
        <f t="shared" si="0"/>
        <v>15.96</v>
      </c>
      <c r="F14" s="15">
        <v>17</v>
      </c>
      <c r="G14" s="14">
        <f t="shared" si="1"/>
        <v>14.45</v>
      </c>
      <c r="H14" s="15">
        <v>13</v>
      </c>
      <c r="I14" s="15">
        <f t="shared" si="2"/>
        <v>11.05</v>
      </c>
      <c r="J14" s="23" t="s">
        <v>15</v>
      </c>
    </row>
    <row r="15" spans="1:10">
      <c r="A15" s="10" t="s">
        <v>31</v>
      </c>
      <c r="B15" s="7" t="s">
        <v>30</v>
      </c>
      <c r="C15" s="7" t="s">
        <v>14</v>
      </c>
      <c r="D15" s="14">
        <v>0.84</v>
      </c>
      <c r="E15" s="14">
        <f t="shared" si="0"/>
        <v>0.9576</v>
      </c>
      <c r="F15" s="15">
        <v>0.82</v>
      </c>
      <c r="G15" s="14">
        <f t="shared" si="1"/>
        <v>0.697</v>
      </c>
      <c r="H15" s="15">
        <v>0.79</v>
      </c>
      <c r="I15" s="15">
        <f t="shared" si="2"/>
        <v>0.6715</v>
      </c>
      <c r="J15" s="23" t="s">
        <v>15</v>
      </c>
    </row>
    <row r="16" spans="1:10">
      <c r="A16" s="10" t="s">
        <v>32</v>
      </c>
      <c r="B16" s="7" t="s">
        <v>30</v>
      </c>
      <c r="C16" s="7" t="s">
        <v>14</v>
      </c>
      <c r="D16" s="8">
        <v>98</v>
      </c>
      <c r="E16" s="8">
        <f t="shared" si="0"/>
        <v>111.72</v>
      </c>
      <c r="F16" s="9">
        <v>86</v>
      </c>
      <c r="G16" s="8">
        <f t="shared" si="1"/>
        <v>73.1</v>
      </c>
      <c r="H16" s="9">
        <v>85</v>
      </c>
      <c r="I16" s="9">
        <f t="shared" si="2"/>
        <v>72.25</v>
      </c>
      <c r="J16" s="23" t="s">
        <v>15</v>
      </c>
    </row>
    <row r="17" ht="16.5" customHeight="1" spans="1:10">
      <c r="A17" s="16" t="s">
        <v>33</v>
      </c>
      <c r="B17" s="7" t="s">
        <v>30</v>
      </c>
      <c r="C17" s="7">
        <v>0</v>
      </c>
      <c r="D17" s="8">
        <v>0</v>
      </c>
      <c r="E17" s="8">
        <f t="shared" si="0"/>
        <v>0</v>
      </c>
      <c r="F17" s="9">
        <v>0</v>
      </c>
      <c r="G17" s="8">
        <f t="shared" si="1"/>
        <v>0</v>
      </c>
      <c r="H17" s="9">
        <v>0</v>
      </c>
      <c r="I17" s="9">
        <f t="shared" si="2"/>
        <v>0</v>
      </c>
      <c r="J17" s="23" t="s">
        <v>27</v>
      </c>
    </row>
    <row r="18" spans="1:10">
      <c r="A18" s="10" t="s">
        <v>34</v>
      </c>
      <c r="B18" s="7" t="s">
        <v>35</v>
      </c>
      <c r="C18" s="7">
        <v>0</v>
      </c>
      <c r="D18" s="8">
        <v>0</v>
      </c>
      <c r="E18" s="8">
        <f t="shared" si="0"/>
        <v>0</v>
      </c>
      <c r="F18" s="9">
        <v>0</v>
      </c>
      <c r="G18" s="8">
        <f t="shared" si="1"/>
        <v>0</v>
      </c>
      <c r="H18" s="9">
        <v>0</v>
      </c>
      <c r="I18" s="9">
        <f t="shared" si="2"/>
        <v>0</v>
      </c>
      <c r="J18" s="23" t="s">
        <v>15</v>
      </c>
    </row>
    <row r="19" spans="1:10">
      <c r="A19" s="10" t="s">
        <v>36</v>
      </c>
      <c r="B19" s="7" t="s">
        <v>13</v>
      </c>
      <c r="C19" s="7">
        <v>0</v>
      </c>
      <c r="D19" s="14">
        <v>3.607</v>
      </c>
      <c r="E19" s="14">
        <f t="shared" si="0"/>
        <v>4.11198</v>
      </c>
      <c r="F19" s="15">
        <v>3.378</v>
      </c>
      <c r="G19" s="14">
        <f t="shared" si="1"/>
        <v>2.8713</v>
      </c>
      <c r="H19" s="15">
        <v>1.742</v>
      </c>
      <c r="I19" s="15">
        <f t="shared" si="2"/>
        <v>1.4807</v>
      </c>
      <c r="J19" s="23" t="s">
        <v>25</v>
      </c>
    </row>
    <row r="20" spans="1:10">
      <c r="A20" s="10" t="s">
        <v>37</v>
      </c>
      <c r="B20" s="7" t="s">
        <v>30</v>
      </c>
      <c r="C20" s="7" t="s">
        <v>14</v>
      </c>
      <c r="D20" s="8">
        <v>59</v>
      </c>
      <c r="E20" s="8">
        <f t="shared" si="0"/>
        <v>67.26</v>
      </c>
      <c r="F20" s="9">
        <v>79</v>
      </c>
      <c r="G20" s="8">
        <f t="shared" si="1"/>
        <v>67.15</v>
      </c>
      <c r="H20" s="9">
        <v>78</v>
      </c>
      <c r="I20" s="9">
        <f t="shared" si="2"/>
        <v>66.3</v>
      </c>
      <c r="J20" s="23" t="s">
        <v>15</v>
      </c>
    </row>
    <row r="21" spans="1:10">
      <c r="A21" s="6" t="s">
        <v>38</v>
      </c>
      <c r="B21" s="7" t="s">
        <v>30</v>
      </c>
      <c r="C21" s="7" t="s">
        <v>14</v>
      </c>
      <c r="D21" s="8">
        <v>43</v>
      </c>
      <c r="E21" s="8">
        <f t="shared" si="0"/>
        <v>49.02</v>
      </c>
      <c r="F21" s="9">
        <v>32</v>
      </c>
      <c r="G21" s="8">
        <f t="shared" si="1"/>
        <v>27.2</v>
      </c>
      <c r="H21" s="9">
        <v>33</v>
      </c>
      <c r="I21" s="9">
        <f t="shared" si="2"/>
        <v>28.05</v>
      </c>
      <c r="J21" s="23" t="s">
        <v>15</v>
      </c>
    </row>
    <row r="22" spans="1:10">
      <c r="A22" s="6" t="s">
        <v>39</v>
      </c>
      <c r="B22" s="7" t="s">
        <v>30</v>
      </c>
      <c r="C22" s="7" t="s">
        <v>14</v>
      </c>
      <c r="D22" s="8">
        <v>222</v>
      </c>
      <c r="E22" s="8">
        <f t="shared" si="0"/>
        <v>253.08</v>
      </c>
      <c r="F22" s="9">
        <v>208</v>
      </c>
      <c r="G22" s="8">
        <f t="shared" si="1"/>
        <v>176.8</v>
      </c>
      <c r="H22" s="9">
        <v>214</v>
      </c>
      <c r="I22" s="9">
        <f t="shared" si="2"/>
        <v>181.9</v>
      </c>
      <c r="J22" s="23" t="s">
        <v>15</v>
      </c>
    </row>
    <row r="23" spans="1:10">
      <c r="A23" s="6" t="s">
        <v>40</v>
      </c>
      <c r="B23" s="7" t="s">
        <v>30</v>
      </c>
      <c r="C23" s="7" t="s">
        <v>14</v>
      </c>
      <c r="D23" s="8">
        <v>241</v>
      </c>
      <c r="E23" s="8">
        <f t="shared" si="0"/>
        <v>274.74</v>
      </c>
      <c r="F23" s="9">
        <v>229</v>
      </c>
      <c r="G23" s="8">
        <f t="shared" si="1"/>
        <v>194.65</v>
      </c>
      <c r="H23" s="9">
        <v>239</v>
      </c>
      <c r="I23" s="9">
        <f t="shared" si="2"/>
        <v>203.15</v>
      </c>
      <c r="J23" s="23" t="s">
        <v>15</v>
      </c>
    </row>
    <row r="24" spans="1:10">
      <c r="A24" s="6" t="s">
        <v>41</v>
      </c>
      <c r="B24" s="7" t="s">
        <v>30</v>
      </c>
      <c r="C24" s="7" t="s">
        <v>14</v>
      </c>
      <c r="D24" s="14">
        <v>2.01</v>
      </c>
      <c r="E24" s="14">
        <f t="shared" si="0"/>
        <v>2.2914</v>
      </c>
      <c r="F24" s="15">
        <v>1.81</v>
      </c>
      <c r="G24" s="14">
        <f t="shared" si="1"/>
        <v>1.5385</v>
      </c>
      <c r="H24" s="15">
        <v>1.83</v>
      </c>
      <c r="I24" s="15">
        <f t="shared" si="2"/>
        <v>1.5555</v>
      </c>
      <c r="J24" s="23" t="s">
        <v>15</v>
      </c>
    </row>
    <row r="25" spans="1:10">
      <c r="A25" s="6" t="s">
        <v>42</v>
      </c>
      <c r="B25" s="7" t="s">
        <v>43</v>
      </c>
      <c r="C25" s="7" t="s">
        <v>44</v>
      </c>
      <c r="D25" s="8">
        <v>16.2</v>
      </c>
      <c r="E25" s="8">
        <f t="shared" si="0"/>
        <v>18.468</v>
      </c>
      <c r="F25" s="9">
        <v>24.4</v>
      </c>
      <c r="G25" s="8">
        <f t="shared" si="1"/>
        <v>20.74</v>
      </c>
      <c r="H25" s="9">
        <v>26.1</v>
      </c>
      <c r="I25" s="9">
        <f t="shared" si="2"/>
        <v>22.185</v>
      </c>
      <c r="J25" s="23" t="s">
        <v>15</v>
      </c>
    </row>
    <row r="26" spans="1:10">
      <c r="A26" s="6" t="s">
        <v>45</v>
      </c>
      <c r="B26" s="7" t="s">
        <v>30</v>
      </c>
      <c r="C26" s="7" t="s">
        <v>44</v>
      </c>
      <c r="D26" s="12">
        <v>0.078</v>
      </c>
      <c r="E26" s="12">
        <f t="shared" si="0"/>
        <v>0.08892</v>
      </c>
      <c r="F26" s="13">
        <v>0.068</v>
      </c>
      <c r="G26" s="12">
        <f t="shared" si="1"/>
        <v>0.0578</v>
      </c>
      <c r="H26" s="13">
        <v>0.07</v>
      </c>
      <c r="I26" s="13">
        <f t="shared" si="2"/>
        <v>0.0595</v>
      </c>
      <c r="J26" s="23" t="s">
        <v>15</v>
      </c>
    </row>
    <row r="27" spans="1:10">
      <c r="A27" s="6" t="s">
        <v>46</v>
      </c>
      <c r="B27" s="7" t="s">
        <v>30</v>
      </c>
      <c r="C27" s="7" t="s">
        <v>44</v>
      </c>
      <c r="D27" s="12">
        <v>0.28</v>
      </c>
      <c r="E27" s="12">
        <f t="shared" si="0"/>
        <v>0.3192</v>
      </c>
      <c r="F27" s="13">
        <v>0.312</v>
      </c>
      <c r="G27" s="12">
        <f t="shared" si="1"/>
        <v>0.2652</v>
      </c>
      <c r="H27" s="13">
        <v>0.33</v>
      </c>
      <c r="I27" s="13">
        <f t="shared" si="2"/>
        <v>0.2805</v>
      </c>
      <c r="J27" s="23" t="s">
        <v>15</v>
      </c>
    </row>
    <row r="28" spans="1:10">
      <c r="A28" s="6" t="s">
        <v>47</v>
      </c>
      <c r="B28" s="7" t="s">
        <v>30</v>
      </c>
      <c r="C28" s="7" t="s">
        <v>44</v>
      </c>
      <c r="D28" s="14">
        <v>6.617</v>
      </c>
      <c r="E28" s="14">
        <f t="shared" si="0"/>
        <v>7.54338</v>
      </c>
      <c r="F28" s="15">
        <v>7.483</v>
      </c>
      <c r="G28" s="14">
        <f t="shared" si="1"/>
        <v>6.36055</v>
      </c>
      <c r="H28" s="15">
        <v>7.94</v>
      </c>
      <c r="I28" s="15">
        <f t="shared" si="2"/>
        <v>6.749</v>
      </c>
      <c r="J28" s="23" t="s">
        <v>15</v>
      </c>
    </row>
    <row r="29" spans="1:10">
      <c r="A29" s="6" t="s">
        <v>48</v>
      </c>
      <c r="B29" s="7" t="s">
        <v>30</v>
      </c>
      <c r="C29" s="7" t="s">
        <v>44</v>
      </c>
      <c r="D29" s="12">
        <v>0.629</v>
      </c>
      <c r="E29" s="12">
        <f t="shared" si="0"/>
        <v>0.71706</v>
      </c>
      <c r="F29" s="13">
        <v>0.535</v>
      </c>
      <c r="G29" s="12">
        <f t="shared" si="1"/>
        <v>0.45475</v>
      </c>
      <c r="H29" s="13">
        <v>0.55</v>
      </c>
      <c r="I29" s="13">
        <f t="shared" si="2"/>
        <v>0.4675</v>
      </c>
      <c r="J29" s="23" t="s">
        <v>15</v>
      </c>
    </row>
    <row r="30" ht="16.8" spans="1:10">
      <c r="A30" s="6" t="s">
        <v>49</v>
      </c>
      <c r="B30" s="7" t="s">
        <v>30</v>
      </c>
      <c r="C30" s="7" t="s">
        <v>44</v>
      </c>
      <c r="D30" s="12">
        <v>0.604</v>
      </c>
      <c r="E30" s="12">
        <f t="shared" si="0"/>
        <v>0.68856</v>
      </c>
      <c r="F30" s="13">
        <v>0.64</v>
      </c>
      <c r="G30" s="12">
        <f t="shared" si="1"/>
        <v>0.544</v>
      </c>
      <c r="H30" s="13">
        <v>0.691</v>
      </c>
      <c r="I30" s="13">
        <f t="shared" si="2"/>
        <v>0.58735</v>
      </c>
      <c r="J30" s="23" t="s">
        <v>15</v>
      </c>
    </row>
    <row r="31" ht="16.8" spans="1:10">
      <c r="A31" s="6" t="s">
        <v>50</v>
      </c>
      <c r="B31" s="7" t="s">
        <v>43</v>
      </c>
      <c r="C31" s="7" t="s">
        <v>44</v>
      </c>
      <c r="D31" s="14">
        <v>2.46</v>
      </c>
      <c r="E31" s="14">
        <f t="shared" si="0"/>
        <v>2.8044</v>
      </c>
      <c r="F31" s="15">
        <v>2.75</v>
      </c>
      <c r="G31" s="14">
        <f t="shared" si="1"/>
        <v>2.3375</v>
      </c>
      <c r="H31" s="15">
        <v>2.89</v>
      </c>
      <c r="I31" s="15">
        <f t="shared" si="2"/>
        <v>2.4565</v>
      </c>
      <c r="J31" s="22" t="s">
        <v>15</v>
      </c>
    </row>
    <row r="32" ht="15.6" spans="1:8">
      <c r="A32" s="17"/>
      <c r="B32" s="17"/>
      <c r="C32" s="17"/>
      <c r="D32" s="17"/>
      <c r="E32" s="17"/>
      <c r="F32" s="17"/>
      <c r="G32" s="17"/>
      <c r="H32" s="18"/>
    </row>
    <row r="33" spans="1:7">
      <c r="A33" s="19"/>
      <c r="B33" s="19"/>
      <c r="C33" s="19"/>
      <c r="D33" s="19"/>
      <c r="E33" s="19"/>
      <c r="F33" s="19"/>
      <c r="G33" s="19"/>
    </row>
  </sheetData>
  <mergeCells count="11">
    <mergeCell ref="D1:G1"/>
    <mergeCell ref="H1:I1"/>
    <mergeCell ref="F2:G2"/>
    <mergeCell ref="H2:I2"/>
    <mergeCell ref="F3:G3"/>
    <mergeCell ref="H3:I3"/>
    <mergeCell ref="A1:A4"/>
    <mergeCell ref="B1:B4"/>
    <mergeCell ref="C1:C4"/>
    <mergeCell ref="J1:J4"/>
    <mergeCell ref="D2: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veal loin chop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2024-11-24T22:50:00Z</dcterms:created>
  <dcterms:modified xsi:type="dcterms:W3CDTF">2025-01-17T09:53:12Z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E9EF645B351697249ECC4267E2A67C42_41</vt:lpwstr>
  </property>
  <property fmtid="{D5CDD505-2E9C-101B-9397-08002B2CF9AE}" pid="3" name="KSOProductBuildVer">
    <vt:lpwstr>2052-12.1.0.19302</vt:lpwstr>
  </property>
</Properties>
</file>