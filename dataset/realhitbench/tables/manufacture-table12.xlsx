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<sst xmlns="http://schemas.openxmlformats.org/spreadsheetml/2006/main" count="74" uniqueCount="53">
  <si>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Month:</t>
  </si>
  <si>
    <t>04</t>
  </si>
  <si>
    <t>Year:</t>
  </si>
  <si>
    <t>No</t>
  </si>
  <si>
    <t>Products</t>
  </si>
  <si>
    <t>Production lot</t>
  </si>
  <si>
    <t>Expire</t>
  </si>
  <si>
    <t>Beginning in stock</t>
  </si>
  <si>
    <t>Number of Import</t>
  </si>
  <si>
    <t>Number of Export</t>
  </si>
  <si>
    <t>Damaged</t>
  </si>
  <si>
    <t>Number of end</t>
  </si>
  <si>
    <t>Note</t>
  </si>
  <si>
    <t>(a)</t>
  </si>
  <si>
    <t>(c)</t>
  </si>
  <si>
    <t>(e)</t>
  </si>
  <si>
    <t>(f)</t>
  </si>
  <si>
    <t>(g)</t>
  </si>
  <si>
    <t>(h)</t>
  </si>
  <si>
    <t>(i)</t>
  </si>
  <si>
    <t>(k)</t>
  </si>
  <si>
    <t>(l) = g + h -  
 (i + k)</t>
  </si>
  <si>
    <t>(m)</t>
  </si>
  <si>
    <t>(l)</t>
  </si>
  <si>
    <t>Efavirenz 600mg</t>
  </si>
  <si>
    <t>EM1Y30</t>
  </si>
  <si>
    <t>EM2Z02</t>
  </si>
  <si>
    <t>E113019A</t>
  </si>
  <si>
    <t>Lamivudine 150mg</t>
  </si>
  <si>
    <t>LXAG004</t>
  </si>
  <si>
    <t>LXAG010</t>
  </si>
  <si>
    <t>010113</t>
  </si>
  <si>
    <t>Lamivudine-Tenofovir-Efavirenz 300/300/600mg</t>
  </si>
  <si>
    <t>8013296</t>
  </si>
  <si>
    <t>3016868</t>
  </si>
  <si>
    <t>3046869</t>
  </si>
  <si>
    <t>Lamivudine-Zidovudine 150/300mg</t>
  </si>
  <si>
    <t>4111308</t>
  </si>
  <si>
    <t>4111309</t>
  </si>
  <si>
    <t>4111310</t>
  </si>
  <si>
    <t>Nevirapine 10mg/ml</t>
  </si>
  <si>
    <t>NR0512100-A</t>
  </si>
  <si>
    <t>NR0512115-A</t>
  </si>
  <si>
    <t>NR5121</t>
  </si>
  <si>
    <t>Nevirapine 200mg</t>
  </si>
  <si>
    <t>16A12003</t>
  </si>
  <si>
    <t>16A12004</t>
  </si>
  <si>
    <t>Tenofovir 300mg</t>
  </si>
  <si>
    <t>1202671</t>
  </si>
  <si>
    <t>1105906</t>
  </si>
  <si>
    <t>Zidovudine 10mg/ml</t>
  </si>
  <si>
    <t>ZE05120</t>
  </si>
  <si>
    <t>ZE0512030-B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</si>
</sst>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??_);_(@_)"/>
    <numFmt numFmtId="178" formatCode="mm/yyyy"/>
  </numFmts>
  <fonts count="29">
    <font>
      <sz val="11"/>
      <color theme="1"/>
      <name val="宋体"/>
      <charset val="134"/>
      <scheme val="minor"/>
    </font>
    <font>
      <sz val="12"/>
      <color indexed="9"/>
      <name val="Times New Roman"/>
      <family val="1"/>
      <charset val="0"/>
    </font>
    <font>
      <sz val="1"/>
      <color indexed="9"/>
      <name val="Times New Roman"/>
      <family val="1"/>
      <charset val="0"/>
    </font>
    <font>
      <sz val="12"/>
      <name val="Times New Roman"/>
      <family val="1"/>
      <charset val="0"/>
    </font>
    <font>
      <b/>
      <sz val="11"/>
      <name val="Times New Roman"/>
      <family val="1"/>
      <charset val="0"/>
    </font>
    <font>
      <b/>
      <sz val="12"/>
      <name val="Times New Roman"/>
      <family val="1"/>
      <charset val="0"/>
    </font>
    <font>
      <b/>
      <sz val="1"/>
      <name val="Times New Roman"/>
      <family val="1"/>
      <charset val="0"/>
    </font>
    <font>
      <b/>
      <sz val="1"/>
      <color indexed="9"/>
      <name val="Times New Roman"/>
      <family val="1"/>
      <charset val="0"/>
    </font>
    <font>
      <b/>
      <sz val="12"/>
      <color indexed="9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176" fontId="28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1" fillId="2" borderId="0" xfId="49" applyFont="1" applyFill="1" applyProtection="1">
      <protection hidden="1"/>
    </xf>
    <xf numFmtId="0" fontId="1" fillId="2" borderId="0" xfId="49" applyFont="1" applyFill="1" applyAlignment="1" applyProtection="1">
      <alignment wrapText="1"/>
      <protection hidden="1"/>
    </xf>
    <xf numFmtId="0" fontId="2" fillId="2" borderId="0" xfId="49" applyFont="1" applyFill="1" applyProtection="1">
      <protection hidden="1"/>
    </xf>
    <xf numFmtId="0" fontId="3" fillId="0" borderId="0" xfId="49" applyFont="1" applyFill="1" applyProtection="1">
      <protection hidden="1"/>
    </xf>
    <xf numFmtId="0" fontId="3" fillId="2" borderId="0" xfId="49" applyFont="1" applyFill="1" applyProtection="1">
      <protection hidden="1"/>
    </xf>
    <xf numFmtId="0" fontId="1" fillId="2" borderId="0" xfId="49" applyFont="1" applyFill="1" applyAlignment="1" applyProtection="1">
      <alignment vertical="center"/>
      <protection hidden="1"/>
    </xf>
    <xf numFmtId="0" fontId="3" fillId="0" borderId="0" xfId="49" applyFont="1" applyFill="1" applyAlignment="1" applyProtection="1">
      <alignment vertical="center"/>
      <protection hidden="1"/>
    </xf>
    <xf numFmtId="14" fontId="2" fillId="2" borderId="0" xfId="49" applyNumberFormat="1" applyFont="1" applyFill="1" applyProtection="1">
      <protection hidden="1"/>
    </xf>
    <xf numFmtId="0" fontId="3" fillId="0" borderId="0" xfId="50" applyNumberFormat="1" applyFont="1" applyFill="1" applyAlignment="1" applyProtection="1">
      <alignment vertical="center"/>
      <protection hidden="1"/>
    </xf>
    <xf numFmtId="0" fontId="3" fillId="0" borderId="0" xfId="49" applyFont="1" applyFill="1" applyAlignment="1" applyProtection="1">
      <alignment horizontal="left" vertical="center"/>
      <protection hidden="1"/>
    </xf>
    <xf numFmtId="14" fontId="1" fillId="0" borderId="0" xfId="49" applyNumberFormat="1" applyFont="1" applyFill="1" applyAlignment="1" applyProtection="1">
      <alignment horizontal="center" vertical="center"/>
      <protection hidden="1"/>
    </xf>
    <xf numFmtId="176" fontId="3" fillId="0" borderId="0" xfId="50" applyFont="1" applyFill="1" applyAlignment="1" applyProtection="1">
      <alignment vertical="center"/>
      <protection hidden="1"/>
    </xf>
    <xf numFmtId="177" fontId="4" fillId="0" borderId="1" xfId="50" applyNumberFormat="1" applyFont="1" applyFill="1" applyBorder="1" applyAlignment="1" applyProtection="1">
      <alignment horizontal="center" vertical="center" wrapText="1"/>
      <protection hidden="1"/>
    </xf>
    <xf numFmtId="177" fontId="5" fillId="0" borderId="1" xfId="50" applyNumberFormat="1" applyFont="1" applyFill="1" applyBorder="1" applyAlignment="1" applyProtection="1">
      <alignment horizontal="center" vertical="center" wrapText="1"/>
      <protection hidden="1"/>
    </xf>
    <xf numFmtId="0" fontId="4" fillId="0" borderId="2" xfId="50" applyNumberFormat="1" applyFont="1" applyFill="1" applyBorder="1" applyAlignment="1" applyProtection="1">
      <alignment horizontal="center" vertical="center" wrapText="1"/>
      <protection hidden="1"/>
    </xf>
    <xf numFmtId="0" fontId="5" fillId="0" borderId="2" xfId="50" applyNumberFormat="1" applyFont="1" applyFill="1" applyBorder="1" applyAlignment="1" applyProtection="1">
      <alignment horizontal="center" vertical="center" wrapText="1"/>
      <protection hidden="1"/>
    </xf>
    <xf numFmtId="177" fontId="6" fillId="0" borderId="3" xfId="50" applyNumberFormat="1" applyFont="1" applyFill="1" applyBorder="1" applyAlignment="1" applyProtection="1">
      <alignment horizontal="center" vertical="center" wrapText="1"/>
      <protection hidden="1"/>
    </xf>
    <xf numFmtId="176" fontId="7" fillId="0" borderId="3" xfId="50" applyFont="1" applyFill="1" applyBorder="1" applyAlignment="1" applyProtection="1">
      <alignment vertical="center" wrapText="1"/>
      <protection hidden="1"/>
    </xf>
    <xf numFmtId="49" fontId="7" fillId="0" borderId="3" xfId="49" applyNumberFormat="1" applyFont="1" applyFill="1" applyBorder="1" applyAlignment="1" applyProtection="1">
      <alignment horizontal="center" vertical="center" wrapText="1"/>
      <protection hidden="1"/>
    </xf>
    <xf numFmtId="49" fontId="8" fillId="0" borderId="3" xfId="49" applyNumberFormat="1" applyFont="1" applyFill="1" applyBorder="1" applyAlignment="1" applyProtection="1">
      <alignment horizontal="center" vertical="center" wrapText="1"/>
      <protection hidden="1"/>
    </xf>
    <xf numFmtId="0" fontId="3" fillId="0" borderId="2" xfId="49" applyNumberFormat="1" applyFont="1" applyFill="1" applyBorder="1" applyAlignment="1" applyProtection="1">
      <alignment horizontal="center" shrinkToFit="1"/>
      <protection hidden="1"/>
    </xf>
    <xf numFmtId="0" fontId="3" fillId="0" borderId="2" xfId="49" applyNumberFormat="1" applyFont="1" applyFill="1" applyBorder="1" applyAlignment="1" applyProtection="1">
      <alignment horizontal="left" vertical="center" shrinkToFit="1"/>
      <protection hidden="1"/>
    </xf>
    <xf numFmtId="49" fontId="3" fillId="0" borderId="2" xfId="49" applyNumberFormat="1" applyFont="1" applyFill="1" applyBorder="1" applyAlignment="1" applyProtection="1">
      <alignment horizontal="center" vertical="center" shrinkToFit="1"/>
      <protection hidden="1"/>
    </xf>
    <xf numFmtId="14" fontId="3" fillId="0" borderId="2" xfId="49" applyNumberFormat="1" applyFont="1" applyFill="1" applyBorder="1" applyAlignment="1" applyProtection="1">
      <alignment horizontal="center" vertical="center" shrinkToFit="1"/>
      <protection hidden="1"/>
    </xf>
    <xf numFmtId="49" fontId="3" fillId="0" borderId="1" xfId="49" applyNumberFormat="1" applyFont="1" applyFill="1" applyBorder="1" applyAlignment="1" applyProtection="1">
      <alignment horizontal="center" vertical="center" shrinkToFit="1"/>
      <protection hidden="1"/>
    </xf>
    <xf numFmtId="0" fontId="1" fillId="0" borderId="0" xfId="49" applyFont="1" applyFill="1" applyAlignment="1" applyProtection="1">
      <alignment vertical="center"/>
      <protection hidden="1"/>
    </xf>
    <xf numFmtId="0" fontId="3" fillId="0" borderId="0" xfId="49" applyNumberFormat="1" applyFont="1" applyFill="1" applyAlignment="1" applyProtection="1">
      <alignment horizontal="left" vertical="center"/>
      <protection hidden="1"/>
    </xf>
    <xf numFmtId="49" fontId="5" fillId="3" borderId="0" xfId="49" applyNumberFormat="1" applyFont="1" applyFill="1" applyAlignment="1" applyProtection="1">
      <alignment horizontal="left" vertical="center"/>
      <protection locked="0"/>
    </xf>
    <xf numFmtId="178" fontId="3" fillId="0" borderId="0" xfId="49" applyNumberFormat="1" applyFont="1" applyFill="1" applyAlignment="1" applyProtection="1">
      <alignment horizontal="left" vertical="center"/>
      <protection hidden="1"/>
    </xf>
    <xf numFmtId="177" fontId="3" fillId="0" borderId="2" xfId="50" applyNumberFormat="1" applyFont="1" applyFill="1" applyBorder="1" applyAlignment="1" applyProtection="1">
      <alignment horizontal="center" vertical="center" shrinkToFit="1"/>
      <protection hidden="1"/>
    </xf>
    <xf numFmtId="177" fontId="3" fillId="0" borderId="1" xfId="50" applyNumberFormat="1" applyFont="1" applyFill="1" applyBorder="1" applyAlignment="1" applyProtection="1">
      <alignment horizontal="center" vertical="center" shrinkToFit="1"/>
      <protection hidden="1"/>
    </xf>
    <xf numFmtId="0" fontId="5" fillId="3" borderId="0" xfId="49" applyNumberFormat="1" applyFont="1" applyFill="1" applyAlignment="1" applyProtection="1">
      <alignment horizontal="left" vertical="center"/>
      <protection locked="0"/>
    </xf>
    <xf numFmtId="177" fontId="4" fillId="2" borderId="1" xfId="50" applyNumberFormat="1" applyFont="1" applyFill="1" applyBorder="1" applyAlignment="1" applyProtection="1">
      <alignment horizontal="center" vertical="center" wrapText="1"/>
      <protection hidden="1"/>
    </xf>
    <xf numFmtId="0" fontId="4" fillId="2" borderId="1" xfId="50" applyNumberFormat="1" applyFont="1" applyFill="1" applyBorder="1" applyAlignment="1" applyProtection="1">
      <alignment horizontal="center" vertical="center" wrapText="1"/>
      <protection hidden="1"/>
    </xf>
    <xf numFmtId="0" fontId="6" fillId="2" borderId="3" xfId="49" applyFont="1" applyFill="1" applyBorder="1" applyProtection="1">
      <protection hidden="1"/>
    </xf>
    <xf numFmtId="0" fontId="3" fillId="2" borderId="2" xfId="50" applyNumberFormat="1" applyFont="1" applyFill="1" applyBorder="1" applyAlignment="1" applyProtection="1">
      <alignment horizontal="center" vertical="center" shrinkToFit="1"/>
      <protection hidden="1"/>
    </xf>
    <xf numFmtId="0" fontId="3" fillId="2" borderId="1" xfId="50" applyNumberFormat="1" applyFont="1" applyFill="1" applyBorder="1" applyAlignment="1" applyProtection="1">
      <alignment horizontal="center" vertical="center" shrinkToFit="1"/>
      <protection hidden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Comma 2" xfId="50"/>
  </cellStyles>
  <dxfs count="18">
    <dxf>
      <font>
        <b val="1"/>
        <i val="0"/>
        <color indexed="10"/>
      </font>
      <fill>
        <patternFill patternType="solid">
          <bgColor indexed="5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topLeftCell="A7" workbookViewId="0">
      <selection activeCell="L21" sqref="L21"/>
    </sheetView>
  </sheetViews>
  <sheetFormatPr defaultColWidth="9.23076923076923" defaultRowHeight="17.6"/>
  <cols>
    <col min="1" max="1" width="6.42307692307692" style="4" customWidth="1"/>
    <col min="2" max="2" width="50.8557692307692" style="4" customWidth="1"/>
    <col min="3" max="3" width="14.4230769230769" style="4" customWidth="1"/>
    <col min="4" max="4" width="14.7115384615385" style="4" customWidth="1"/>
    <col min="5" max="5" width="9.85576923076923" style="4" customWidth="1"/>
    <col min="6" max="7" width="10.4230769230769" style="4" customWidth="1"/>
    <col min="8" max="8" width="9" style="4" customWidth="1"/>
    <col min="9" max="9" width="12" style="4" customWidth="1"/>
    <col min="10" max="10" width="12.4230769230769" style="5" customWidth="1"/>
    <col min="11" max="11" width="12.4230769230769" style="1" customWidth="1"/>
    <col min="12" max="13" width="10.4230769230769" style="1" customWidth="1"/>
    <col min="14" max="14" width="8.56730769230769" style="1" customWidth="1"/>
    <col min="15" max="15" width="9" style="1" customWidth="1"/>
    <col min="16" max="16" width="12" style="1" customWidth="1"/>
    <col min="17" max="17" width="7.71153846153846" style="1" customWidth="1"/>
    <col min="18" max="18" width="50.8557692307692" style="1" customWidth="1"/>
    <col min="19" max="19" width="6.71153846153846" style="1" customWidth="1"/>
    <col min="20" max="20" width="0.144230769230769" style="1" customWidth="1"/>
    <col min="21" max="21" width="14.4230769230769" style="1" customWidth="1"/>
    <col min="22" max="22" width="14.7115384615385" style="1" customWidth="1"/>
    <col min="23" max="23" width="9.85576923076923" style="1" customWidth="1"/>
    <col min="24" max="25" width="10.4230769230769" style="1" customWidth="1"/>
    <col min="26" max="26" width="9.56730769230769" style="1" customWidth="1"/>
    <col min="27" max="28" width="10.4230769230769" style="1" customWidth="1"/>
    <col min="29" max="29" width="8.56730769230769" style="1" customWidth="1"/>
    <col min="30" max="30" width="9" style="1" customWidth="1"/>
    <col min="31" max="31" width="12" style="1" customWidth="1"/>
    <col min="32" max="32" width="15.1442307692308" style="1" customWidth="1"/>
    <col min="33" max="36" width="0.144230769230769" style="1" customWidth="1"/>
    <col min="37" max="42" width="9.23076923076923" style="1" hidden="1"/>
    <col min="43" max="256" width="7.85576923076923" style="1" hidden="1"/>
    <col min="257" max="16384" width="9.23076923076923" style="1" hidden="1"/>
  </cols>
  <sheetData>
    <row r="1" s="1" customFormat="1" spans="1:10">
      <c r="A1" s="6"/>
      <c r="B1" s="7"/>
      <c r="C1" s="7"/>
      <c r="D1" s="7"/>
      <c r="E1" s="7"/>
      <c r="F1" s="7"/>
      <c r="G1" s="7"/>
      <c r="H1" s="7"/>
      <c r="I1" s="7"/>
      <c r="J1" s="5"/>
    </row>
    <row r="2" s="1" customFormat="1" ht="16.5" customHeight="1" spans="1:10">
      <c r="A2" s="3"/>
      <c r="B2" s="7"/>
      <c r="C2" s="7"/>
      <c r="D2" s="7"/>
      <c r="E2" s="7"/>
      <c r="F2" s="7"/>
      <c r="G2" s="7"/>
      <c r="H2" s="7"/>
      <c r="I2" s="7"/>
      <c r="J2" s="5"/>
    </row>
    <row r="3" s="1" customFormat="1" ht="16.5" customHeight="1" spans="1:10">
      <c r="A3" s="8"/>
      <c r="B3" s="9"/>
      <c r="C3" s="4"/>
      <c r="D3" s="10"/>
      <c r="E3" s="10"/>
      <c r="F3" s="7"/>
      <c r="G3" s="7"/>
      <c r="H3" s="7"/>
      <c r="I3" s="7"/>
      <c r="J3" s="5"/>
    </row>
    <row r="4" s="1" customFormat="1" spans="1:10">
      <c r="A4" s="3"/>
      <c r="B4" s="9"/>
      <c r="C4" s="4"/>
      <c r="D4" s="10"/>
      <c r="E4" s="10"/>
      <c r="F4" s="7"/>
      <c r="G4" s="7"/>
      <c r="H4" s="7"/>
      <c r="I4" s="7"/>
      <c r="J4" s="5"/>
    </row>
    <row r="5" s="1" customFormat="1" spans="1:10">
      <c r="A5" s="3"/>
      <c r="B5" s="9"/>
      <c r="C5" s="4"/>
      <c r="D5" s="10"/>
      <c r="E5" s="10"/>
      <c r="F5" s="7"/>
      <c r="G5" s="7"/>
      <c r="H5" s="7"/>
      <c r="I5" s="7"/>
      <c r="J5" s="5"/>
    </row>
    <row r="6" s="1" customFormat="1" spans="1:10">
      <c r="A6" s="11"/>
      <c r="B6" s="12"/>
      <c r="C6" s="7"/>
      <c r="D6" s="4"/>
      <c r="E6" s="26">
        <v>1</v>
      </c>
      <c r="F6" s="27" t="s">
        <v>0</v>
      </c>
      <c r="G6" s="28" t="s">
        <v>1</v>
      </c>
      <c r="H6" s="29" t="s">
        <v>2</v>
      </c>
      <c r="I6" s="32">
        <v>2014</v>
      </c>
      <c r="J6" s="5"/>
    </row>
    <row r="7" s="2" customFormat="1" ht="57" customHeight="1" spans="1:10">
      <c r="A7" s="13" t="s">
        <v>3</v>
      </c>
      <c r="B7" s="13" t="s">
        <v>4</v>
      </c>
      <c r="C7" s="13" t="s">
        <v>5</v>
      </c>
      <c r="D7" s="14" t="s">
        <v>6</v>
      </c>
      <c r="E7" s="13" t="s">
        <v>7</v>
      </c>
      <c r="F7" s="13" t="s">
        <v>8</v>
      </c>
      <c r="G7" s="13" t="s">
        <v>9</v>
      </c>
      <c r="H7" s="13" t="s">
        <v>10</v>
      </c>
      <c r="I7" s="13" t="s">
        <v>11</v>
      </c>
      <c r="J7" s="33" t="s">
        <v>12</v>
      </c>
    </row>
    <row r="8" s="2" customFormat="1" ht="33" customHeight="1" spans="1:10">
      <c r="A8" s="15" t="s">
        <v>13</v>
      </c>
      <c r="B8" s="15" t="s">
        <v>14</v>
      </c>
      <c r="C8" s="15" t="s">
        <v>15</v>
      </c>
      <c r="D8" s="16" t="s">
        <v>16</v>
      </c>
      <c r="E8" s="15" t="s">
        <v>17</v>
      </c>
      <c r="F8" s="15" t="s">
        <v>18</v>
      </c>
      <c r="G8" s="15" t="s">
        <v>19</v>
      </c>
      <c r="H8" s="15" t="s">
        <v>20</v>
      </c>
      <c r="I8" s="15" t="s">
        <v>21</v>
      </c>
      <c r="J8" s="34" t="s">
        <v>22</v>
      </c>
    </row>
    <row r="9" s="3" customFormat="1" ht="4.5" customHeight="1" spans="1:10">
      <c r="A9" s="17"/>
      <c r="B9" s="18" t="s">
        <v>14</v>
      </c>
      <c r="C9" s="19" t="s">
        <v>15</v>
      </c>
      <c r="D9" s="20" t="s">
        <v>16</v>
      </c>
      <c r="E9" s="19" t="s">
        <v>17</v>
      </c>
      <c r="F9" s="19" t="s">
        <v>18</v>
      </c>
      <c r="G9" s="19" t="s">
        <v>19</v>
      </c>
      <c r="H9" s="19" t="s">
        <v>20</v>
      </c>
      <c r="I9" s="19" t="s">
        <v>23</v>
      </c>
      <c r="J9" s="35" t="s">
        <v>22</v>
      </c>
    </row>
    <row r="10" s="1" customFormat="1" ht="19.5" customHeight="1" spans="1:10">
      <c r="A10" s="21">
        <f>IF(B10=0,"",MAX($A$9:A9)+1)</f>
        <v>1</v>
      </c>
      <c r="B10" s="22" t="s">
        <v>24</v>
      </c>
      <c r="C10" s="23" t="s">
        <v>25</v>
      </c>
      <c r="D10" s="24">
        <v>41579</v>
      </c>
      <c r="E10" s="30">
        <v>718</v>
      </c>
      <c r="F10" s="30"/>
      <c r="G10" s="30"/>
      <c r="H10" s="30"/>
      <c r="I10" s="30">
        <f t="shared" ref="I10:I30" si="0">E10+F10-G10-H10</f>
        <v>718</v>
      </c>
      <c r="J10" s="36"/>
    </row>
    <row r="11" s="1" customFormat="1" ht="19.5" customHeight="1" spans="1:10">
      <c r="A11" s="21">
        <f>IF(B11=0,"",MAX($A$9:A10)+1)</f>
        <v>2</v>
      </c>
      <c r="B11" s="22" t="s">
        <v>24</v>
      </c>
      <c r="C11" s="25" t="s">
        <v>26</v>
      </c>
      <c r="D11" s="24">
        <v>41944</v>
      </c>
      <c r="E11" s="31">
        <v>1036</v>
      </c>
      <c r="F11" s="31"/>
      <c r="G11" s="31">
        <v>501</v>
      </c>
      <c r="H11" s="31"/>
      <c r="I11" s="30">
        <f t="shared" si="0"/>
        <v>535</v>
      </c>
      <c r="J11" s="37"/>
    </row>
    <row r="12" s="1" customFormat="1" ht="19.5" customHeight="1" spans="1:10">
      <c r="A12" s="21">
        <f>IF(B12=0,"",MAX($A$9:A11)+1)</f>
        <v>3</v>
      </c>
      <c r="B12" s="22" t="s">
        <v>24</v>
      </c>
      <c r="C12" s="25" t="s">
        <v>27</v>
      </c>
      <c r="D12" s="24">
        <v>42552</v>
      </c>
      <c r="E12" s="31"/>
      <c r="F12" s="31">
        <v>150</v>
      </c>
      <c r="G12" s="31">
        <v>0</v>
      </c>
      <c r="H12" s="31">
        <v>0</v>
      </c>
      <c r="I12" s="30">
        <f t="shared" si="0"/>
        <v>150</v>
      </c>
      <c r="J12" s="37"/>
    </row>
    <row r="13" s="1" customFormat="1" ht="19.5" customHeight="1" spans="1:10">
      <c r="A13" s="21">
        <f>IF(B13=0,"",MAX($A$9:A12)+1)</f>
        <v>4</v>
      </c>
      <c r="B13" s="22" t="s">
        <v>28</v>
      </c>
      <c r="C13" s="25" t="s">
        <v>29</v>
      </c>
      <c r="D13" s="24">
        <v>42064</v>
      </c>
      <c r="E13" s="31">
        <v>2340</v>
      </c>
      <c r="F13" s="31"/>
      <c r="G13" s="31"/>
      <c r="H13" s="31"/>
      <c r="I13" s="30">
        <f t="shared" si="0"/>
        <v>2340</v>
      </c>
      <c r="J13" s="37"/>
    </row>
    <row r="14" s="1" customFormat="1" ht="19.5" customHeight="1" spans="1:10">
      <c r="A14" s="21">
        <f>IF(B14=0,"",MAX($A$9:A13)+1)</f>
        <v>5</v>
      </c>
      <c r="B14" s="22" t="s">
        <v>28</v>
      </c>
      <c r="C14" s="25" t="s">
        <v>30</v>
      </c>
      <c r="D14" s="24">
        <v>42248</v>
      </c>
      <c r="E14" s="31">
        <v>1440</v>
      </c>
      <c r="F14" s="31"/>
      <c r="G14" s="31"/>
      <c r="H14" s="31"/>
      <c r="I14" s="30">
        <f t="shared" si="0"/>
        <v>1440</v>
      </c>
      <c r="J14" s="37"/>
    </row>
    <row r="15" s="1" customFormat="1" ht="19.5" customHeight="1" spans="1:10">
      <c r="A15" s="21">
        <f>IF(B15=0,"",MAX($A$9:A14)+1)</f>
        <v>6</v>
      </c>
      <c r="B15" s="22" t="s">
        <v>28</v>
      </c>
      <c r="C15" s="25" t="s">
        <v>31</v>
      </c>
      <c r="D15" s="24">
        <v>42370</v>
      </c>
      <c r="E15" s="31">
        <v>980</v>
      </c>
      <c r="F15" s="31">
        <v>4</v>
      </c>
      <c r="G15" s="31">
        <v>788</v>
      </c>
      <c r="H15" s="31"/>
      <c r="I15" s="30">
        <f t="shared" si="0"/>
        <v>196</v>
      </c>
      <c r="J15" s="37"/>
    </row>
    <row r="16" s="1" customFormat="1" ht="19.5" customHeight="1" spans="1:10">
      <c r="A16" s="21">
        <f>IF(B16=0,"",MAX($A$9:A15)+1)</f>
        <v>7</v>
      </c>
      <c r="B16" s="22" t="s">
        <v>32</v>
      </c>
      <c r="C16" s="25" t="s">
        <v>33</v>
      </c>
      <c r="D16" s="24">
        <v>42095</v>
      </c>
      <c r="E16" s="31">
        <v>370</v>
      </c>
      <c r="F16" s="31"/>
      <c r="G16" s="31">
        <v>180</v>
      </c>
      <c r="H16" s="31"/>
      <c r="I16" s="30">
        <f t="shared" si="0"/>
        <v>190</v>
      </c>
      <c r="J16" s="37"/>
    </row>
    <row r="17" s="1" customFormat="1" ht="19.5" customHeight="1" spans="1:10">
      <c r="A17" s="21">
        <f>IF(B17=0,"",MAX($A$9:A16)+1)</f>
        <v>8</v>
      </c>
      <c r="B17" s="22" t="s">
        <v>32</v>
      </c>
      <c r="C17" s="25" t="s">
        <v>34</v>
      </c>
      <c r="D17" s="24">
        <v>42186</v>
      </c>
      <c r="E17" s="31">
        <v>900</v>
      </c>
      <c r="F17" s="31"/>
      <c r="G17" s="31">
        <v>700</v>
      </c>
      <c r="H17" s="31"/>
      <c r="I17" s="30">
        <f t="shared" si="0"/>
        <v>200</v>
      </c>
      <c r="J17" s="37"/>
    </row>
    <row r="18" s="1" customFormat="1" ht="19.5" customHeight="1" spans="1:10">
      <c r="A18" s="21">
        <f>IF(B18=0,"",MAX($A$9:A17)+1)</f>
        <v>9</v>
      </c>
      <c r="B18" s="22" t="s">
        <v>32</v>
      </c>
      <c r="C18" s="25" t="s">
        <v>35</v>
      </c>
      <c r="D18" s="24">
        <v>42186</v>
      </c>
      <c r="E18" s="31"/>
      <c r="F18" s="31">
        <v>690</v>
      </c>
      <c r="G18" s="31">
        <v>0</v>
      </c>
      <c r="H18" s="31">
        <v>0</v>
      </c>
      <c r="I18" s="30">
        <f t="shared" si="0"/>
        <v>690</v>
      </c>
      <c r="J18" s="37"/>
    </row>
    <row r="19" s="1" customFormat="1" ht="19.5" customHeight="1" spans="1:10">
      <c r="A19" s="21">
        <f>IF(B19=0,"",MAX($A$9:A18)+1)</f>
        <v>10</v>
      </c>
      <c r="B19" s="22" t="s">
        <v>36</v>
      </c>
      <c r="C19" s="25" t="s">
        <v>37</v>
      </c>
      <c r="D19" s="24">
        <v>42370</v>
      </c>
      <c r="E19" s="31">
        <v>7678</v>
      </c>
      <c r="F19" s="31"/>
      <c r="G19" s="31">
        <v>2480</v>
      </c>
      <c r="H19" s="31"/>
      <c r="I19" s="30">
        <f t="shared" si="0"/>
        <v>5198</v>
      </c>
      <c r="J19" s="37"/>
    </row>
    <row r="20" s="1" customFormat="1" ht="19.5" customHeight="1" spans="1:10">
      <c r="A20" s="21">
        <f>IF(B20=0,"",MAX($A$9:A19)+1)</f>
        <v>11</v>
      </c>
      <c r="B20" s="22" t="s">
        <v>36</v>
      </c>
      <c r="C20" s="25" t="s">
        <v>38</v>
      </c>
      <c r="D20" s="24">
        <v>42370</v>
      </c>
      <c r="E20" s="31">
        <v>8400</v>
      </c>
      <c r="F20" s="31"/>
      <c r="G20" s="31"/>
      <c r="H20" s="31"/>
      <c r="I20" s="30">
        <f t="shared" si="0"/>
        <v>8400</v>
      </c>
      <c r="J20" s="37"/>
    </row>
    <row r="21" s="1" customFormat="1" ht="19.5" customHeight="1" spans="1:10">
      <c r="A21" s="21">
        <f>IF(B21=0,"",MAX($A$9:A20)+1)</f>
        <v>12</v>
      </c>
      <c r="B21" s="22" t="s">
        <v>36</v>
      </c>
      <c r="C21" s="25" t="s">
        <v>39</v>
      </c>
      <c r="D21" s="24">
        <v>42370</v>
      </c>
      <c r="E21" s="31"/>
      <c r="F21" s="31">
        <v>3360</v>
      </c>
      <c r="G21" s="31">
        <v>0</v>
      </c>
      <c r="H21" s="31">
        <v>0</v>
      </c>
      <c r="I21" s="30">
        <f t="shared" si="0"/>
        <v>3360</v>
      </c>
      <c r="J21" s="37"/>
    </row>
    <row r="22" s="1" customFormat="1" ht="19.5" customHeight="1" spans="1:10">
      <c r="A22" s="21">
        <f>IF(B22=0,"",MAX($A$9:A21)+1)</f>
        <v>13</v>
      </c>
      <c r="B22" s="22" t="s">
        <v>40</v>
      </c>
      <c r="C22" s="25" t="s">
        <v>41</v>
      </c>
      <c r="D22" s="24">
        <v>41760</v>
      </c>
      <c r="E22" s="31">
        <v>3</v>
      </c>
      <c r="F22" s="31"/>
      <c r="G22" s="31"/>
      <c r="H22" s="31"/>
      <c r="I22" s="30">
        <f t="shared" si="0"/>
        <v>3</v>
      </c>
      <c r="J22" s="37"/>
    </row>
    <row r="23" s="1" customFormat="1" ht="19.5" customHeight="1" spans="1:10">
      <c r="A23" s="21">
        <f>IF(B23=0,"",MAX($A$9:A22)+1)</f>
        <v>14</v>
      </c>
      <c r="B23" s="22" t="s">
        <v>40</v>
      </c>
      <c r="C23" s="25" t="s">
        <v>42</v>
      </c>
      <c r="D23" s="24">
        <v>41821</v>
      </c>
      <c r="E23" s="31">
        <v>4</v>
      </c>
      <c r="F23" s="31">
        <v>1</v>
      </c>
      <c r="G23" s="31">
        <v>2</v>
      </c>
      <c r="H23" s="31"/>
      <c r="I23" s="30">
        <f t="shared" si="0"/>
        <v>3</v>
      </c>
      <c r="J23" s="37"/>
    </row>
    <row r="24" s="1" customFormat="1" ht="19.5" customHeight="1" spans="1:10">
      <c r="A24" s="21">
        <f>IF(B24=0,"",MAX($A$9:A23)+1)</f>
        <v>15</v>
      </c>
      <c r="B24" s="22" t="s">
        <v>40</v>
      </c>
      <c r="C24" s="25" t="s">
        <v>43</v>
      </c>
      <c r="D24" s="24">
        <v>41821</v>
      </c>
      <c r="E24" s="31">
        <v>3</v>
      </c>
      <c r="F24" s="31"/>
      <c r="G24" s="31"/>
      <c r="H24" s="31"/>
      <c r="I24" s="30">
        <f t="shared" si="0"/>
        <v>3</v>
      </c>
      <c r="J24" s="37"/>
    </row>
    <row r="25" s="1" customFormat="1" ht="19.5" customHeight="1" spans="1:10">
      <c r="A25" s="21">
        <f>IF(B25=0,"",MAX($A$9:A24)+1)</f>
        <v>16</v>
      </c>
      <c r="B25" s="22" t="s">
        <v>44</v>
      </c>
      <c r="C25" s="25" t="s">
        <v>45</v>
      </c>
      <c r="D25" s="24">
        <v>41974</v>
      </c>
      <c r="E25" s="31">
        <v>2362</v>
      </c>
      <c r="F25" s="31"/>
      <c r="G25" s="31">
        <v>2220</v>
      </c>
      <c r="H25" s="31"/>
      <c r="I25" s="30">
        <f t="shared" si="0"/>
        <v>142</v>
      </c>
      <c r="J25" s="37"/>
    </row>
    <row r="26" s="1" customFormat="1" ht="19.5" customHeight="1" spans="1:10">
      <c r="A26" s="21">
        <f>IF(B26=0,"",MAX($A$9:A25)+1)</f>
        <v>17</v>
      </c>
      <c r="B26" s="22" t="s">
        <v>44</v>
      </c>
      <c r="C26" s="25" t="s">
        <v>46</v>
      </c>
      <c r="D26" s="24">
        <v>41974</v>
      </c>
      <c r="E26" s="31">
        <v>1680</v>
      </c>
      <c r="F26" s="31">
        <v>8100</v>
      </c>
      <c r="G26" s="31"/>
      <c r="H26" s="31"/>
      <c r="I26" s="30">
        <f t="shared" si="0"/>
        <v>9780</v>
      </c>
      <c r="J26" s="37"/>
    </row>
    <row r="27" s="1" customFormat="1" ht="19.5" customHeight="1" spans="1:10">
      <c r="A27" s="21">
        <f>IF(B27=0,"",MAX($A$9:A26)+1)</f>
        <v>18</v>
      </c>
      <c r="B27" s="22" t="s">
        <v>47</v>
      </c>
      <c r="C27" s="25" t="s">
        <v>48</v>
      </c>
      <c r="D27" s="24">
        <v>42036</v>
      </c>
      <c r="E27" s="31">
        <v>2394</v>
      </c>
      <c r="F27" s="31">
        <v>2</v>
      </c>
      <c r="G27" s="31">
        <v>394</v>
      </c>
      <c r="H27" s="31"/>
      <c r="I27" s="30">
        <f t="shared" si="0"/>
        <v>2002</v>
      </c>
      <c r="J27" s="37"/>
    </row>
    <row r="28" s="1" customFormat="1" ht="19.5" customHeight="1" spans="1:10">
      <c r="A28" s="21">
        <f>IF(B28=0,"",MAX($A$9:A27)+1)</f>
        <v>19</v>
      </c>
      <c r="B28" s="22" t="s">
        <v>47</v>
      </c>
      <c r="C28" s="25" t="s">
        <v>49</v>
      </c>
      <c r="D28" s="24">
        <v>42095</v>
      </c>
      <c r="E28" s="31">
        <v>18</v>
      </c>
      <c r="F28" s="31"/>
      <c r="G28" s="31"/>
      <c r="H28" s="31"/>
      <c r="I28" s="30">
        <f t="shared" si="0"/>
        <v>18</v>
      </c>
      <c r="J28" s="37"/>
    </row>
    <row r="29" s="1" customFormat="1" ht="19.5" customHeight="1" spans="1:10">
      <c r="A29" s="21">
        <f>IF(B29=0,"",MAX($A$9:A28)+1)</f>
        <v>20</v>
      </c>
      <c r="B29" s="22" t="s">
        <v>50</v>
      </c>
      <c r="C29" s="25" t="s">
        <v>51</v>
      </c>
      <c r="D29" s="24">
        <v>41791</v>
      </c>
      <c r="E29" s="31">
        <v>4</v>
      </c>
      <c r="F29" s="31"/>
      <c r="G29" s="31"/>
      <c r="H29" s="31"/>
      <c r="I29" s="31">
        <f t="shared" si="0"/>
        <v>4</v>
      </c>
      <c r="J29" s="37"/>
    </row>
    <row r="30" s="1" customFormat="1" ht="19.5" customHeight="1" spans="1:10">
      <c r="A30" s="21">
        <f>IF(B30=0,"",MAX($A$9:A29)+1)</f>
        <v>21</v>
      </c>
      <c r="B30" s="22" t="s">
        <v>50</v>
      </c>
      <c r="C30" s="25" t="s">
        <v>52</v>
      </c>
      <c r="D30" s="24">
        <v>41913</v>
      </c>
      <c r="E30" s="31">
        <v>10</v>
      </c>
      <c r="F30" s="31"/>
      <c r="G30" s="31"/>
      <c r="H30" s="31"/>
      <c r="I30" s="31">
        <f t="shared" si="0"/>
        <v>10</v>
      </c>
      <c r="J30" s="37"/>
    </row>
  </sheetData>
  <conditionalFormatting sqref="D10:D30">
    <cfRule type="expression" dxfId="0" priority="1" stopIfTrue="1">
      <formula>(D10-$A$6)&lt;92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2024-12-10T14:17:54Z</dcterms:created>
  <dcterms:modified xsi:type="dcterms:W3CDTF">2024-12-10T14:35:24Z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69285EBD18E569C512DD5767F9AF673A_41</vt:lpwstr>
  </property>
  <property fmtid="{D5CDD505-2E9C-101B-9397-08002B2CF9AE}" pid="3" name="KSOProductBuildVer">
    <vt:lpwstr>2052-6.8.2.8850</vt:lpwstr>
  </property>
</Properties>
</file>