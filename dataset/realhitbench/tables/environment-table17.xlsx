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JU研\异形表benchmark\paper\tables\"/>
    </mc:Choice>
  </mc:AlternateContent>
  <xr:revisionPtr revIDLastSave="0" documentId="8_{036102EF-D29D-4F36-B077-D55BE2914E32}" xr6:coauthVersionLast="36" xr6:coauthVersionMax="36" xr10:uidLastSave="{00000000-0000-0000-0000-000000000000}"/>
  <bookViews>
    <workbookView xWindow="0" yWindow="0" windowWidth="15348" windowHeight="4968" xr2:uid="{F4BCF96D-DD01-480E-BE91-F7E8AA7CB83E}"/>
  </bookViews>
  <sheets>
    <sheet name="Table 2" sheetId="1" r:id="rId1"/>
  </sheets>
  <definedNames>
    <definedName name="_xlnm.Print_Area" localSheetId="0">'Table 2'!$A$1:$I$25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G21" i="1"/>
  <c r="F21" i="1"/>
  <c r="D21" i="1"/>
  <c r="G20" i="1"/>
  <c r="E20" i="1"/>
  <c r="D20" i="1"/>
  <c r="B20" i="1"/>
  <c r="H19" i="1"/>
  <c r="H20" i="1" s="1"/>
  <c r="G19" i="1"/>
  <c r="F19" i="1"/>
  <c r="E19" i="1"/>
  <c r="E21" i="1" s="1"/>
  <c r="D19" i="1"/>
  <c r="C19" i="1"/>
  <c r="C21" i="1" s="1"/>
  <c r="B19" i="1"/>
  <c r="B21" i="1" s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K19" i="1" s="1"/>
  <c r="F22" i="1" l="1"/>
  <c r="L19" i="1"/>
  <c r="C20" i="1"/>
  <c r="F20" i="1"/>
  <c r="I19" i="1"/>
  <c r="B22" i="1" s="1"/>
  <c r="I22" i="1" l="1"/>
  <c r="H22" i="1"/>
  <c r="G22" i="1"/>
  <c r="I20" i="1"/>
  <c r="I21" i="1"/>
  <c r="E22" i="1"/>
  <c r="C22" i="1"/>
  <c r="D22" i="1"/>
</calcChain>
</file>

<file path=xl/sharedStrings.xml><?xml version="1.0" encoding="utf-8"?>
<sst xmlns="http://schemas.openxmlformats.org/spreadsheetml/2006/main" count="81" uniqueCount="36">
  <si>
    <t>Table 2 Scientific procedures by Schedule 2 listed species and source of animals</t>
  </si>
  <si>
    <t>Great Britain 2011</t>
  </si>
  <si>
    <t>Number of procedures</t>
  </si>
  <si>
    <t>Species of animal</t>
  </si>
  <si>
    <t>Source</t>
  </si>
  <si>
    <t>Total</t>
  </si>
  <si>
    <t>Animals acquired from within own designated establishment</t>
  </si>
  <si>
    <t>Animals acquired from another designated breeding or supplying establishment in the UK</t>
  </si>
  <si>
    <t>Animals acquired from non-designated sources in the UK</t>
  </si>
  <si>
    <t>Animals acquired from sources within the EU (outside the UK)</t>
  </si>
  <si>
    <t>Animals acquired from  Council of Europe countries who are signatories
to ETS123</t>
  </si>
  <si>
    <t>Animals acquired from  other sources</t>
  </si>
  <si>
    <t>Animals not listed in Schedule 2</t>
  </si>
  <si>
    <t xml:space="preserve">  Mouse</t>
  </si>
  <si>
    <t xml:space="preserve">  Rat</t>
  </si>
  <si>
    <t>-</t>
  </si>
  <si>
    <t xml:space="preserve">  Guinea pig</t>
  </si>
  <si>
    <t xml:space="preserve">  Hamster</t>
  </si>
  <si>
    <t xml:space="preserve">  Gerbil</t>
  </si>
  <si>
    <t xml:space="preserve">  Rabbit</t>
  </si>
  <si>
    <t xml:space="preserve">  Cat</t>
  </si>
  <si>
    <t xml:space="preserve">  Dog</t>
  </si>
  <si>
    <t xml:space="preserve">  Ferret</t>
  </si>
  <si>
    <r>
      <t xml:space="preserve">  Pig</t>
    </r>
    <r>
      <rPr>
        <sz val="14"/>
        <rFont val="Arial"/>
        <family val="2"/>
      </rPr>
      <t xml:space="preserve"> (genetically modified)</t>
    </r>
  </si>
  <si>
    <r>
      <t xml:space="preserve">  Sheep</t>
    </r>
    <r>
      <rPr>
        <sz val="14"/>
        <rFont val="Arial"/>
        <family val="2"/>
      </rPr>
      <t xml:space="preserve"> (genetically modified)</t>
    </r>
  </si>
  <si>
    <t xml:space="preserve">  Primate</t>
  </si>
  <si>
    <r>
      <t xml:space="preserve">  Quail</t>
    </r>
    <r>
      <rPr>
        <b/>
        <i/>
        <sz val="14"/>
        <rFont val="Arial"/>
        <family val="2"/>
      </rPr>
      <t xml:space="preserve"> </t>
    </r>
    <r>
      <rPr>
        <i/>
        <sz val="14"/>
        <rFont val="Arial"/>
        <family val="2"/>
      </rPr>
      <t>(Coturnix coturnix)</t>
    </r>
  </si>
  <si>
    <t xml:space="preserve">  Animals not listed in Schedule 2</t>
  </si>
  <si>
    <t>% of all procedures</t>
  </si>
  <si>
    <t xml:space="preserve">  Total</t>
  </si>
  <si>
    <t>Sch2 total</t>
  </si>
  <si>
    <t>Increase on 2010</t>
  </si>
  <si>
    <t>Percentage change from 2010</t>
  </si>
  <si>
    <t>Percentage of total for 2011</t>
  </si>
  <si>
    <t>2010 Totals</t>
  </si>
  <si>
    <t>Note. The total number of procedures using animals listed in schedule 2 was 2,988,825.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</si>
</sst>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-* #,##0_-;\-* #,##0_-;_-* &quot;-&quot;_-;_-@_-"/>
    <numFmt numFmtId="177" formatCode="#,##0_ ;[Red]\-#,##0\ "/>
    <numFmt numFmtId="178" formatCode="0%;[Red]\-0%"/>
    <numFmt numFmtId="179" formatCode="0.0%"/>
    <numFmt numFmtId="180" formatCode="0.0%;[Red]\-0.0%"/>
  </numFmts>
  <fonts count="11" x14ac:knownFonts="1">
    <font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9"/>
      <name val="宋体"/>
      <family val="3"/>
      <charset val="134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i/>
      <sz val="14"/>
      <name val="Arial"/>
      <family val="2"/>
    </font>
    <font>
      <i/>
      <sz val="14"/>
      <name val="Arial"/>
      <family val="2"/>
    </font>
    <font>
      <sz val="14"/>
      <color indexed="8"/>
      <name val="Arial"/>
      <family val="2"/>
    </font>
    <font>
      <sz val="14"/>
      <color indexed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 applyFill="1" applyAlignment="1">
      <alignment vertical="top"/>
    </xf>
    <xf numFmtId="0" fontId="0" fillId="0" borderId="0" xfId="0" applyBorder="1"/>
    <xf numFmtId="0" fontId="4" fillId="0" borderId="0" xfId="0" applyFont="1"/>
    <xf numFmtId="0" fontId="5" fillId="0" borderId="0" xfId="0" applyFont="1"/>
    <xf numFmtId="0" fontId="4" fillId="0" borderId="0" xfId="0" applyFont="1" applyBorder="1" applyAlignment="1">
      <alignment horizontal="right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centerContinuous"/>
    </xf>
    <xf numFmtId="0" fontId="1" fillId="2" borderId="3" xfId="0" applyFont="1" applyFill="1" applyBorder="1" applyAlignment="1">
      <alignment horizontal="centerContinuous"/>
    </xf>
    <xf numFmtId="0" fontId="4" fillId="2" borderId="4" xfId="0" applyFont="1" applyFill="1" applyBorder="1" applyAlignment="1">
      <alignment horizontal="center" wrapText="1"/>
    </xf>
    <xf numFmtId="0" fontId="1" fillId="2" borderId="5" xfId="0" applyFont="1" applyFill="1" applyBorder="1"/>
    <xf numFmtId="0" fontId="5" fillId="2" borderId="6" xfId="0" applyFont="1" applyFill="1" applyBorder="1" applyAlignment="1">
      <alignment horizontal="center" vertical="top" wrapText="1"/>
    </xf>
    <xf numFmtId="0" fontId="5" fillId="2" borderId="7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4" fillId="0" borderId="7" xfId="0" applyFont="1" applyBorder="1" applyAlignment="1"/>
    <xf numFmtId="176" fontId="5" fillId="0" borderId="4" xfId="0" applyNumberFormat="1" applyFont="1" applyBorder="1" applyAlignment="1">
      <alignment horizontal="right"/>
    </xf>
    <xf numFmtId="176" fontId="5" fillId="0" borderId="1" xfId="0" applyNumberFormat="1" applyFont="1" applyBorder="1" applyAlignment="1">
      <alignment horizontal="right"/>
    </xf>
    <xf numFmtId="176" fontId="4" fillId="0" borderId="4" xfId="0" applyNumberFormat="1" applyFont="1" applyBorder="1" applyAlignment="1">
      <alignment horizontal="right"/>
    </xf>
    <xf numFmtId="0" fontId="4" fillId="3" borderId="7" xfId="0" applyFont="1" applyFill="1" applyBorder="1" applyAlignment="1"/>
    <xf numFmtId="176" fontId="5" fillId="3" borderId="7" xfId="0" applyNumberFormat="1" applyFont="1" applyFill="1" applyBorder="1" applyAlignment="1">
      <alignment horizontal="right"/>
    </xf>
    <xf numFmtId="176" fontId="5" fillId="3" borderId="8" xfId="0" applyNumberFormat="1" applyFont="1" applyFill="1" applyBorder="1" applyAlignment="1">
      <alignment horizontal="right"/>
    </xf>
    <xf numFmtId="176" fontId="4" fillId="3" borderId="7" xfId="0" applyNumberFormat="1" applyFont="1" applyFill="1" applyBorder="1" applyAlignment="1">
      <alignment horizontal="right"/>
    </xf>
    <xf numFmtId="176" fontId="5" fillId="0" borderId="7" xfId="0" applyNumberFormat="1" applyFont="1" applyBorder="1" applyAlignment="1">
      <alignment horizontal="right"/>
    </xf>
    <xf numFmtId="176" fontId="5" fillId="0" borderId="8" xfId="0" applyNumberFormat="1" applyFont="1" applyBorder="1" applyAlignment="1">
      <alignment horizontal="right"/>
    </xf>
    <xf numFmtId="176" fontId="4" fillId="0" borderId="7" xfId="0" applyNumberFormat="1" applyFont="1" applyBorder="1" applyAlignment="1">
      <alignment horizontal="right"/>
    </xf>
    <xf numFmtId="0" fontId="6" fillId="0" borderId="0" xfId="0" applyFont="1" applyAlignment="1"/>
    <xf numFmtId="176" fontId="0" fillId="0" borderId="0" xfId="0" applyNumberFormat="1"/>
    <xf numFmtId="0" fontId="5" fillId="3" borderId="7" xfId="0" applyFont="1" applyFill="1" applyBorder="1" applyAlignment="1"/>
    <xf numFmtId="176" fontId="4" fillId="3" borderId="9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vertical="center"/>
    </xf>
    <xf numFmtId="176" fontId="4" fillId="2" borderId="2" xfId="0" applyNumberFormat="1" applyFont="1" applyFill="1" applyBorder="1" applyAlignment="1">
      <alignment vertical="center"/>
    </xf>
    <xf numFmtId="176" fontId="4" fillId="2" borderId="9" xfId="0" applyNumberFormat="1" applyFont="1" applyFill="1" applyBorder="1" applyAlignment="1">
      <alignment vertical="center"/>
    </xf>
    <xf numFmtId="176" fontId="5" fillId="0" borderId="0" xfId="0" applyNumberFormat="1" applyFont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177" fontId="5" fillId="0" borderId="2" xfId="0" applyNumberFormat="1" applyFont="1" applyFill="1" applyBorder="1" applyAlignment="1">
      <alignment horizontal="right" vertical="center"/>
    </xf>
    <xf numFmtId="178" fontId="9" fillId="0" borderId="2" xfId="0" applyNumberFormat="1" applyFont="1" applyFill="1" applyBorder="1" applyAlignment="1">
      <alignment horizontal="right" vertical="center"/>
    </xf>
    <xf numFmtId="9" fontId="5" fillId="0" borderId="2" xfId="1" applyNumberFormat="1" applyFont="1" applyBorder="1" applyAlignment="1">
      <alignment horizontal="right" vertical="center"/>
    </xf>
    <xf numFmtId="179" fontId="5" fillId="0" borderId="2" xfId="1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left"/>
    </xf>
    <xf numFmtId="176" fontId="5" fillId="0" borderId="2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3" fontId="10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Fill="1" applyBorder="1" applyAlignment="1">
      <alignment horizontal="right" vertical="center"/>
    </xf>
    <xf numFmtId="180" fontId="0" fillId="0" borderId="0" xfId="0" applyNumberForma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741AB-F233-47EA-B69A-1D82F691AA59}">
  <sheetPr>
    <tabColor indexed="26"/>
    <pageSetUpPr fitToPage="1"/>
  </sheetPr>
  <dimension ref="A1:L201"/>
  <sheetViews>
    <sheetView showGridLines="0" tabSelected="1" view="pageBreakPreview" zoomScale="55" zoomScaleNormal="50" zoomScaleSheetLayoutView="55" workbookViewId="0">
      <selection activeCell="G4" sqref="G4"/>
    </sheetView>
  </sheetViews>
  <sheetFormatPr defaultRowHeight="13.2" x14ac:dyDescent="0.25"/>
  <cols>
    <col min="1" max="1" width="48.88671875" customWidth="1"/>
    <col min="2" max="9" width="22.6640625" customWidth="1"/>
    <col min="10" max="10" width="16" hidden="1" customWidth="1"/>
    <col min="11" max="12" width="10.33203125" hidden="1" customWidth="1"/>
    <col min="13" max="13" width="0" hidden="1" customWidth="1"/>
    <col min="257" max="257" width="48.88671875" customWidth="1"/>
    <col min="258" max="265" width="22.6640625" customWidth="1"/>
    <col min="266" max="269" width="0" hidden="1" customWidth="1"/>
    <col min="513" max="513" width="48.88671875" customWidth="1"/>
    <col min="514" max="521" width="22.6640625" customWidth="1"/>
    <col min="522" max="525" width="0" hidden="1" customWidth="1"/>
    <col min="769" max="769" width="48.88671875" customWidth="1"/>
    <col min="770" max="777" width="22.6640625" customWidth="1"/>
    <col min="778" max="781" width="0" hidden="1" customWidth="1"/>
    <col min="1025" max="1025" width="48.88671875" customWidth="1"/>
    <col min="1026" max="1033" width="22.6640625" customWidth="1"/>
    <col min="1034" max="1037" width="0" hidden="1" customWidth="1"/>
    <col min="1281" max="1281" width="48.88671875" customWidth="1"/>
    <col min="1282" max="1289" width="22.6640625" customWidth="1"/>
    <col min="1290" max="1293" width="0" hidden="1" customWidth="1"/>
    <col min="1537" max="1537" width="48.88671875" customWidth="1"/>
    <col min="1538" max="1545" width="22.6640625" customWidth="1"/>
    <col min="1546" max="1549" width="0" hidden="1" customWidth="1"/>
    <col min="1793" max="1793" width="48.88671875" customWidth="1"/>
    <col min="1794" max="1801" width="22.6640625" customWidth="1"/>
    <col min="1802" max="1805" width="0" hidden="1" customWidth="1"/>
    <col min="2049" max="2049" width="48.88671875" customWidth="1"/>
    <col min="2050" max="2057" width="22.6640625" customWidth="1"/>
    <col min="2058" max="2061" width="0" hidden="1" customWidth="1"/>
    <col min="2305" max="2305" width="48.88671875" customWidth="1"/>
    <col min="2306" max="2313" width="22.6640625" customWidth="1"/>
    <col min="2314" max="2317" width="0" hidden="1" customWidth="1"/>
    <col min="2561" max="2561" width="48.88671875" customWidth="1"/>
    <col min="2562" max="2569" width="22.6640625" customWidth="1"/>
    <col min="2570" max="2573" width="0" hidden="1" customWidth="1"/>
    <col min="2817" max="2817" width="48.88671875" customWidth="1"/>
    <col min="2818" max="2825" width="22.6640625" customWidth="1"/>
    <col min="2826" max="2829" width="0" hidden="1" customWidth="1"/>
    <col min="3073" max="3073" width="48.88671875" customWidth="1"/>
    <col min="3074" max="3081" width="22.6640625" customWidth="1"/>
    <col min="3082" max="3085" width="0" hidden="1" customWidth="1"/>
    <col min="3329" max="3329" width="48.88671875" customWidth="1"/>
    <col min="3330" max="3337" width="22.6640625" customWidth="1"/>
    <col min="3338" max="3341" width="0" hidden="1" customWidth="1"/>
    <col min="3585" max="3585" width="48.88671875" customWidth="1"/>
    <col min="3586" max="3593" width="22.6640625" customWidth="1"/>
    <col min="3594" max="3597" width="0" hidden="1" customWidth="1"/>
    <col min="3841" max="3841" width="48.88671875" customWidth="1"/>
    <col min="3842" max="3849" width="22.6640625" customWidth="1"/>
    <col min="3850" max="3853" width="0" hidden="1" customWidth="1"/>
    <col min="4097" max="4097" width="48.88671875" customWidth="1"/>
    <col min="4098" max="4105" width="22.6640625" customWidth="1"/>
    <col min="4106" max="4109" width="0" hidden="1" customWidth="1"/>
    <col min="4353" max="4353" width="48.88671875" customWidth="1"/>
    <col min="4354" max="4361" width="22.6640625" customWidth="1"/>
    <col min="4362" max="4365" width="0" hidden="1" customWidth="1"/>
    <col min="4609" max="4609" width="48.88671875" customWidth="1"/>
    <col min="4610" max="4617" width="22.6640625" customWidth="1"/>
    <col min="4618" max="4621" width="0" hidden="1" customWidth="1"/>
    <col min="4865" max="4865" width="48.88671875" customWidth="1"/>
    <col min="4866" max="4873" width="22.6640625" customWidth="1"/>
    <col min="4874" max="4877" width="0" hidden="1" customWidth="1"/>
    <col min="5121" max="5121" width="48.88671875" customWidth="1"/>
    <col min="5122" max="5129" width="22.6640625" customWidth="1"/>
    <col min="5130" max="5133" width="0" hidden="1" customWidth="1"/>
    <col min="5377" max="5377" width="48.88671875" customWidth="1"/>
    <col min="5378" max="5385" width="22.6640625" customWidth="1"/>
    <col min="5386" max="5389" width="0" hidden="1" customWidth="1"/>
    <col min="5633" max="5633" width="48.88671875" customWidth="1"/>
    <col min="5634" max="5641" width="22.6640625" customWidth="1"/>
    <col min="5642" max="5645" width="0" hidden="1" customWidth="1"/>
    <col min="5889" max="5889" width="48.88671875" customWidth="1"/>
    <col min="5890" max="5897" width="22.6640625" customWidth="1"/>
    <col min="5898" max="5901" width="0" hidden="1" customWidth="1"/>
    <col min="6145" max="6145" width="48.88671875" customWidth="1"/>
    <col min="6146" max="6153" width="22.6640625" customWidth="1"/>
    <col min="6154" max="6157" width="0" hidden="1" customWidth="1"/>
    <col min="6401" max="6401" width="48.88671875" customWidth="1"/>
    <col min="6402" max="6409" width="22.6640625" customWidth="1"/>
    <col min="6410" max="6413" width="0" hidden="1" customWidth="1"/>
    <col min="6657" max="6657" width="48.88671875" customWidth="1"/>
    <col min="6658" max="6665" width="22.6640625" customWidth="1"/>
    <col min="6666" max="6669" width="0" hidden="1" customWidth="1"/>
    <col min="6913" max="6913" width="48.88671875" customWidth="1"/>
    <col min="6914" max="6921" width="22.6640625" customWidth="1"/>
    <col min="6922" max="6925" width="0" hidden="1" customWidth="1"/>
    <col min="7169" max="7169" width="48.88671875" customWidth="1"/>
    <col min="7170" max="7177" width="22.6640625" customWidth="1"/>
    <col min="7178" max="7181" width="0" hidden="1" customWidth="1"/>
    <col min="7425" max="7425" width="48.88671875" customWidth="1"/>
    <col min="7426" max="7433" width="22.6640625" customWidth="1"/>
    <col min="7434" max="7437" width="0" hidden="1" customWidth="1"/>
    <col min="7681" max="7681" width="48.88671875" customWidth="1"/>
    <col min="7682" max="7689" width="22.6640625" customWidth="1"/>
    <col min="7690" max="7693" width="0" hidden="1" customWidth="1"/>
    <col min="7937" max="7937" width="48.88671875" customWidth="1"/>
    <col min="7938" max="7945" width="22.6640625" customWidth="1"/>
    <col min="7946" max="7949" width="0" hidden="1" customWidth="1"/>
    <col min="8193" max="8193" width="48.88671875" customWidth="1"/>
    <col min="8194" max="8201" width="22.6640625" customWidth="1"/>
    <col min="8202" max="8205" width="0" hidden="1" customWidth="1"/>
    <col min="8449" max="8449" width="48.88671875" customWidth="1"/>
    <col min="8450" max="8457" width="22.6640625" customWidth="1"/>
    <col min="8458" max="8461" width="0" hidden="1" customWidth="1"/>
    <col min="8705" max="8705" width="48.88671875" customWidth="1"/>
    <col min="8706" max="8713" width="22.6640625" customWidth="1"/>
    <col min="8714" max="8717" width="0" hidden="1" customWidth="1"/>
    <col min="8961" max="8961" width="48.88671875" customWidth="1"/>
    <col min="8962" max="8969" width="22.6640625" customWidth="1"/>
    <col min="8970" max="8973" width="0" hidden="1" customWidth="1"/>
    <col min="9217" max="9217" width="48.88671875" customWidth="1"/>
    <col min="9218" max="9225" width="22.6640625" customWidth="1"/>
    <col min="9226" max="9229" width="0" hidden="1" customWidth="1"/>
    <col min="9473" max="9473" width="48.88671875" customWidth="1"/>
    <col min="9474" max="9481" width="22.6640625" customWidth="1"/>
    <col min="9482" max="9485" width="0" hidden="1" customWidth="1"/>
    <col min="9729" max="9729" width="48.88671875" customWidth="1"/>
    <col min="9730" max="9737" width="22.6640625" customWidth="1"/>
    <col min="9738" max="9741" width="0" hidden="1" customWidth="1"/>
    <col min="9985" max="9985" width="48.88671875" customWidth="1"/>
    <col min="9986" max="9993" width="22.6640625" customWidth="1"/>
    <col min="9994" max="9997" width="0" hidden="1" customWidth="1"/>
    <col min="10241" max="10241" width="48.88671875" customWidth="1"/>
    <col min="10242" max="10249" width="22.6640625" customWidth="1"/>
    <col min="10250" max="10253" width="0" hidden="1" customWidth="1"/>
    <col min="10497" max="10497" width="48.88671875" customWidth="1"/>
    <col min="10498" max="10505" width="22.6640625" customWidth="1"/>
    <col min="10506" max="10509" width="0" hidden="1" customWidth="1"/>
    <col min="10753" max="10753" width="48.88671875" customWidth="1"/>
    <col min="10754" max="10761" width="22.6640625" customWidth="1"/>
    <col min="10762" max="10765" width="0" hidden="1" customWidth="1"/>
    <col min="11009" max="11009" width="48.88671875" customWidth="1"/>
    <col min="11010" max="11017" width="22.6640625" customWidth="1"/>
    <col min="11018" max="11021" width="0" hidden="1" customWidth="1"/>
    <col min="11265" max="11265" width="48.88671875" customWidth="1"/>
    <col min="11266" max="11273" width="22.6640625" customWidth="1"/>
    <col min="11274" max="11277" width="0" hidden="1" customWidth="1"/>
    <col min="11521" max="11521" width="48.88671875" customWidth="1"/>
    <col min="11522" max="11529" width="22.6640625" customWidth="1"/>
    <col min="11530" max="11533" width="0" hidden="1" customWidth="1"/>
    <col min="11777" max="11777" width="48.88671875" customWidth="1"/>
    <col min="11778" max="11785" width="22.6640625" customWidth="1"/>
    <col min="11786" max="11789" width="0" hidden="1" customWidth="1"/>
    <col min="12033" max="12033" width="48.88671875" customWidth="1"/>
    <col min="12034" max="12041" width="22.6640625" customWidth="1"/>
    <col min="12042" max="12045" width="0" hidden="1" customWidth="1"/>
    <col min="12289" max="12289" width="48.88671875" customWidth="1"/>
    <col min="12290" max="12297" width="22.6640625" customWidth="1"/>
    <col min="12298" max="12301" width="0" hidden="1" customWidth="1"/>
    <col min="12545" max="12545" width="48.88671875" customWidth="1"/>
    <col min="12546" max="12553" width="22.6640625" customWidth="1"/>
    <col min="12554" max="12557" width="0" hidden="1" customWidth="1"/>
    <col min="12801" max="12801" width="48.88671875" customWidth="1"/>
    <col min="12802" max="12809" width="22.6640625" customWidth="1"/>
    <col min="12810" max="12813" width="0" hidden="1" customWidth="1"/>
    <col min="13057" max="13057" width="48.88671875" customWidth="1"/>
    <col min="13058" max="13065" width="22.6640625" customWidth="1"/>
    <col min="13066" max="13069" width="0" hidden="1" customWidth="1"/>
    <col min="13313" max="13313" width="48.88671875" customWidth="1"/>
    <col min="13314" max="13321" width="22.6640625" customWidth="1"/>
    <col min="13322" max="13325" width="0" hidden="1" customWidth="1"/>
    <col min="13569" max="13569" width="48.88671875" customWidth="1"/>
    <col min="13570" max="13577" width="22.6640625" customWidth="1"/>
    <col min="13578" max="13581" width="0" hidden="1" customWidth="1"/>
    <col min="13825" max="13825" width="48.88671875" customWidth="1"/>
    <col min="13826" max="13833" width="22.6640625" customWidth="1"/>
    <col min="13834" max="13837" width="0" hidden="1" customWidth="1"/>
    <col min="14081" max="14081" width="48.88671875" customWidth="1"/>
    <col min="14082" max="14089" width="22.6640625" customWidth="1"/>
    <col min="14090" max="14093" width="0" hidden="1" customWidth="1"/>
    <col min="14337" max="14337" width="48.88671875" customWidth="1"/>
    <col min="14338" max="14345" width="22.6640625" customWidth="1"/>
    <col min="14346" max="14349" width="0" hidden="1" customWidth="1"/>
    <col min="14593" max="14593" width="48.88671875" customWidth="1"/>
    <col min="14594" max="14601" width="22.6640625" customWidth="1"/>
    <col min="14602" max="14605" width="0" hidden="1" customWidth="1"/>
    <col min="14849" max="14849" width="48.88671875" customWidth="1"/>
    <col min="14850" max="14857" width="22.6640625" customWidth="1"/>
    <col min="14858" max="14861" width="0" hidden="1" customWidth="1"/>
    <col min="15105" max="15105" width="48.88671875" customWidth="1"/>
    <col min="15106" max="15113" width="22.6640625" customWidth="1"/>
    <col min="15114" max="15117" width="0" hidden="1" customWidth="1"/>
    <col min="15361" max="15361" width="48.88671875" customWidth="1"/>
    <col min="15362" max="15369" width="22.6640625" customWidth="1"/>
    <col min="15370" max="15373" width="0" hidden="1" customWidth="1"/>
    <col min="15617" max="15617" width="48.88671875" customWidth="1"/>
    <col min="15618" max="15625" width="22.6640625" customWidth="1"/>
    <col min="15626" max="15629" width="0" hidden="1" customWidth="1"/>
    <col min="15873" max="15873" width="48.88671875" customWidth="1"/>
    <col min="15874" max="15881" width="22.6640625" customWidth="1"/>
    <col min="15882" max="15885" width="0" hidden="1" customWidth="1"/>
    <col min="16129" max="16129" width="48.88671875" customWidth="1"/>
    <col min="16130" max="16137" width="22.6640625" customWidth="1"/>
    <col min="16138" max="16141" width="0" hidden="1" customWidth="1"/>
  </cols>
  <sheetData>
    <row r="1" spans="1:12" ht="38.1" customHeight="1" x14ac:dyDescent="0.25">
      <c r="A1" s="1" t="s">
        <v>0</v>
      </c>
      <c r="I1" s="2"/>
    </row>
    <row r="2" spans="1:12" s="4" customFormat="1" ht="18" customHeight="1" x14ac:dyDescent="0.3">
      <c r="A2" s="3" t="s">
        <v>1</v>
      </c>
      <c r="I2" s="5" t="s">
        <v>2</v>
      </c>
    </row>
    <row r="3" spans="1:12" ht="26.1" customHeight="1" x14ac:dyDescent="0.3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9" t="s">
        <v>5</v>
      </c>
    </row>
    <row r="4" spans="1:12" ht="130.5" customHeight="1" x14ac:dyDescent="0.25">
      <c r="A4" s="10"/>
      <c r="B4" s="11" t="s">
        <v>6</v>
      </c>
      <c r="C4" s="11" t="s">
        <v>7</v>
      </c>
      <c r="D4" s="11" t="s">
        <v>8</v>
      </c>
      <c r="E4" s="11" t="s">
        <v>9</v>
      </c>
      <c r="F4" s="11" t="s">
        <v>10</v>
      </c>
      <c r="G4" s="11" t="s">
        <v>11</v>
      </c>
      <c r="H4" s="11" t="s">
        <v>12</v>
      </c>
      <c r="I4" s="12"/>
      <c r="J4" s="13"/>
    </row>
    <row r="5" spans="1:12" ht="24.9" customHeight="1" x14ac:dyDescent="0.3">
      <c r="A5" s="14" t="s">
        <v>13</v>
      </c>
      <c r="B5" s="15">
        <v>2108970</v>
      </c>
      <c r="C5" s="15">
        <v>551337</v>
      </c>
      <c r="D5" s="15">
        <v>261</v>
      </c>
      <c r="E5" s="15">
        <v>7372</v>
      </c>
      <c r="F5" s="15">
        <v>155</v>
      </c>
      <c r="G5" s="15">
        <v>11668</v>
      </c>
      <c r="H5" s="16">
        <v>0</v>
      </c>
      <c r="I5" s="17">
        <f>SUM(B5:H5)</f>
        <v>2679763</v>
      </c>
    </row>
    <row r="6" spans="1:12" ht="24.9" customHeight="1" x14ac:dyDescent="0.3">
      <c r="A6" s="18" t="s">
        <v>14</v>
      </c>
      <c r="B6" s="19">
        <v>46844</v>
      </c>
      <c r="C6" s="19">
        <v>223427</v>
      </c>
      <c r="D6" s="19">
        <v>94</v>
      </c>
      <c r="E6" s="19">
        <v>650</v>
      </c>
      <c r="F6" s="19">
        <v>1</v>
      </c>
      <c r="G6" s="19">
        <v>519</v>
      </c>
      <c r="H6" s="20" t="s">
        <v>15</v>
      </c>
      <c r="I6" s="21">
        <f t="shared" ref="I6:I17" si="0">SUM(B6:H6)</f>
        <v>271535</v>
      </c>
      <c r="J6" s="2"/>
    </row>
    <row r="7" spans="1:12" ht="24.9" customHeight="1" x14ac:dyDescent="0.3">
      <c r="A7" s="14" t="s">
        <v>16</v>
      </c>
      <c r="B7" s="22">
        <v>222</v>
      </c>
      <c r="C7" s="22">
        <v>7589</v>
      </c>
      <c r="D7" s="22" t="s">
        <v>15</v>
      </c>
      <c r="E7" s="22">
        <v>3726</v>
      </c>
      <c r="F7" s="22" t="s">
        <v>15</v>
      </c>
      <c r="G7" s="22" t="s">
        <v>15</v>
      </c>
      <c r="H7" s="23" t="s">
        <v>15</v>
      </c>
      <c r="I7" s="24">
        <f t="shared" si="0"/>
        <v>11537</v>
      </c>
      <c r="J7" s="2"/>
    </row>
    <row r="8" spans="1:12" ht="24.9" customHeight="1" x14ac:dyDescent="0.3">
      <c r="A8" s="18" t="s">
        <v>17</v>
      </c>
      <c r="B8" s="19">
        <v>263</v>
      </c>
      <c r="C8" s="19">
        <v>1274</v>
      </c>
      <c r="D8" s="19">
        <v>0</v>
      </c>
      <c r="E8" s="19">
        <v>457</v>
      </c>
      <c r="F8" s="19" t="s">
        <v>15</v>
      </c>
      <c r="G8" s="19" t="s">
        <v>15</v>
      </c>
      <c r="H8" s="20" t="s">
        <v>15</v>
      </c>
      <c r="I8" s="21">
        <f t="shared" si="0"/>
        <v>1994</v>
      </c>
      <c r="J8" s="2"/>
      <c r="K8" s="25"/>
    </row>
    <row r="9" spans="1:12" ht="24.9" customHeight="1" x14ac:dyDescent="0.3">
      <c r="A9" s="14" t="s">
        <v>18</v>
      </c>
      <c r="B9" s="22">
        <v>425</v>
      </c>
      <c r="C9" s="22">
        <v>5</v>
      </c>
      <c r="D9" s="22" t="s">
        <v>15</v>
      </c>
      <c r="E9" s="22">
        <v>0</v>
      </c>
      <c r="F9" s="22" t="s">
        <v>15</v>
      </c>
      <c r="G9" s="22">
        <v>78</v>
      </c>
      <c r="H9" s="23" t="s">
        <v>15</v>
      </c>
      <c r="I9" s="24">
        <f t="shared" si="0"/>
        <v>508</v>
      </c>
      <c r="J9" s="2"/>
    </row>
    <row r="10" spans="1:12" ht="24.9" customHeight="1" x14ac:dyDescent="0.3">
      <c r="A10" s="18" t="s">
        <v>19</v>
      </c>
      <c r="B10" s="19">
        <v>4650</v>
      </c>
      <c r="C10" s="19">
        <v>9918</v>
      </c>
      <c r="D10" s="19">
        <v>3</v>
      </c>
      <c r="E10" s="19">
        <v>821</v>
      </c>
      <c r="F10" s="19" t="s">
        <v>15</v>
      </c>
      <c r="G10" s="19">
        <v>69</v>
      </c>
      <c r="H10" s="20" t="s">
        <v>15</v>
      </c>
      <c r="I10" s="21">
        <f t="shared" si="0"/>
        <v>15461</v>
      </c>
      <c r="J10" s="2"/>
    </row>
    <row r="11" spans="1:12" ht="24.9" customHeight="1" x14ac:dyDescent="0.3">
      <c r="A11" s="14" t="s">
        <v>20</v>
      </c>
      <c r="B11" s="22">
        <v>73</v>
      </c>
      <c r="C11" s="22" t="s">
        <v>15</v>
      </c>
      <c r="D11" s="22">
        <v>11</v>
      </c>
      <c r="E11" s="22">
        <v>149</v>
      </c>
      <c r="F11" s="22" t="s">
        <v>15</v>
      </c>
      <c r="G11" s="22">
        <v>2</v>
      </c>
      <c r="H11" s="22" t="s">
        <v>15</v>
      </c>
      <c r="I11" s="24">
        <f>SUM(B11:H11)</f>
        <v>235</v>
      </c>
      <c r="J11" s="2"/>
    </row>
    <row r="12" spans="1:12" ht="24.9" customHeight="1" x14ac:dyDescent="0.3">
      <c r="A12" s="18" t="s">
        <v>21</v>
      </c>
      <c r="B12" s="19">
        <v>1309</v>
      </c>
      <c r="C12" s="19">
        <v>2481</v>
      </c>
      <c r="D12" s="19">
        <v>66</v>
      </c>
      <c r="E12" s="19">
        <v>428</v>
      </c>
      <c r="F12" s="19" t="s">
        <v>15</v>
      </c>
      <c r="G12" s="19">
        <v>268</v>
      </c>
      <c r="H12" s="20" t="s">
        <v>15</v>
      </c>
      <c r="I12" s="21">
        <f t="shared" si="0"/>
        <v>4552</v>
      </c>
      <c r="J12" s="2"/>
    </row>
    <row r="13" spans="1:12" ht="24.9" customHeight="1" x14ac:dyDescent="0.3">
      <c r="A13" s="14" t="s">
        <v>22</v>
      </c>
      <c r="B13" s="22">
        <v>30</v>
      </c>
      <c r="C13" s="22">
        <v>661</v>
      </c>
      <c r="D13" s="22" t="s">
        <v>15</v>
      </c>
      <c r="E13" s="22" t="s">
        <v>15</v>
      </c>
      <c r="F13" s="22" t="s">
        <v>15</v>
      </c>
      <c r="G13" s="22" t="s">
        <v>15</v>
      </c>
      <c r="H13" s="23" t="s">
        <v>15</v>
      </c>
      <c r="I13" s="24">
        <f t="shared" si="0"/>
        <v>691</v>
      </c>
      <c r="J13" s="2"/>
    </row>
    <row r="14" spans="1:12" ht="24.9" customHeight="1" x14ac:dyDescent="0.3">
      <c r="A14" s="18" t="s">
        <v>23</v>
      </c>
      <c r="B14" s="19">
        <v>34</v>
      </c>
      <c r="C14" s="19" t="s">
        <v>15</v>
      </c>
      <c r="D14" s="19" t="s">
        <v>15</v>
      </c>
      <c r="E14" s="19" t="s">
        <v>15</v>
      </c>
      <c r="F14" s="19" t="s">
        <v>15</v>
      </c>
      <c r="G14" s="19" t="s">
        <v>15</v>
      </c>
      <c r="H14" s="20">
        <v>0</v>
      </c>
      <c r="I14" s="21">
        <f t="shared" si="0"/>
        <v>34</v>
      </c>
      <c r="J14" s="2"/>
      <c r="K14" s="26"/>
      <c r="L14" s="26"/>
    </row>
    <row r="15" spans="1:12" ht="24.9" customHeight="1" x14ac:dyDescent="0.3">
      <c r="A15" s="14" t="s">
        <v>24</v>
      </c>
      <c r="B15" s="22" t="s">
        <v>15</v>
      </c>
      <c r="C15" s="22">
        <v>2</v>
      </c>
      <c r="D15" s="22">
        <v>4</v>
      </c>
      <c r="E15" s="22" t="s">
        <v>15</v>
      </c>
      <c r="F15" s="22" t="s">
        <v>15</v>
      </c>
      <c r="G15" s="22" t="s">
        <v>15</v>
      </c>
      <c r="H15" s="23">
        <v>0</v>
      </c>
      <c r="I15" s="24">
        <f t="shared" si="0"/>
        <v>6</v>
      </c>
      <c r="J15" s="2"/>
      <c r="K15" s="26"/>
      <c r="L15" s="26"/>
    </row>
    <row r="16" spans="1:12" ht="24.9" customHeight="1" x14ac:dyDescent="0.3">
      <c r="A16" s="18" t="s">
        <v>25</v>
      </c>
      <c r="B16" s="19">
        <v>647</v>
      </c>
      <c r="C16" s="19">
        <v>611</v>
      </c>
      <c r="D16" s="19" t="s">
        <v>15</v>
      </c>
      <c r="E16" s="19">
        <v>48</v>
      </c>
      <c r="F16" s="19" t="s">
        <v>15</v>
      </c>
      <c r="G16" s="19">
        <v>1169</v>
      </c>
      <c r="H16" s="20" t="s">
        <v>15</v>
      </c>
      <c r="I16" s="21">
        <f t="shared" si="0"/>
        <v>2475</v>
      </c>
      <c r="J16" s="2"/>
    </row>
    <row r="17" spans="1:12" ht="24.9" customHeight="1" x14ac:dyDescent="0.35">
      <c r="A17" s="14" t="s">
        <v>26</v>
      </c>
      <c r="B17" s="22" t="s">
        <v>15</v>
      </c>
      <c r="C17" s="22">
        <v>34</v>
      </c>
      <c r="D17" s="22" t="s">
        <v>15</v>
      </c>
      <c r="E17" s="22" t="s">
        <v>15</v>
      </c>
      <c r="F17" s="22" t="s">
        <v>15</v>
      </c>
      <c r="G17" s="22" t="s">
        <v>15</v>
      </c>
      <c r="H17" s="23" t="s">
        <v>15</v>
      </c>
      <c r="I17" s="24">
        <f t="shared" si="0"/>
        <v>34</v>
      </c>
      <c r="J17" s="2"/>
    </row>
    <row r="18" spans="1:12" ht="24.9" customHeight="1" x14ac:dyDescent="0.3">
      <c r="A18" s="27" t="s">
        <v>27</v>
      </c>
      <c r="B18" s="19" t="s">
        <v>15</v>
      </c>
      <c r="C18" s="19" t="s">
        <v>15</v>
      </c>
      <c r="D18" s="19" t="s">
        <v>15</v>
      </c>
      <c r="E18" s="19" t="s">
        <v>15</v>
      </c>
      <c r="F18" s="19">
        <v>0</v>
      </c>
      <c r="G18" s="19" t="s">
        <v>15</v>
      </c>
      <c r="H18" s="19">
        <v>804032</v>
      </c>
      <c r="I18" s="28">
        <f>SUM(B18:H18)</f>
        <v>804032</v>
      </c>
      <c r="J18" s="2"/>
      <c r="L18" t="s">
        <v>28</v>
      </c>
    </row>
    <row r="19" spans="1:12" ht="24.9" customHeight="1" x14ac:dyDescent="0.25">
      <c r="A19" s="29" t="s">
        <v>29</v>
      </c>
      <c r="B19" s="30">
        <f>SUM(B5:B18)</f>
        <v>2163467</v>
      </c>
      <c r="C19" s="30">
        <f t="shared" ref="C19:H19" si="1">SUM(C5:C18)</f>
        <v>797339</v>
      </c>
      <c r="D19" s="30">
        <f t="shared" si="1"/>
        <v>439</v>
      </c>
      <c r="E19" s="30">
        <f t="shared" si="1"/>
        <v>13651</v>
      </c>
      <c r="F19" s="30">
        <f t="shared" si="1"/>
        <v>156</v>
      </c>
      <c r="G19" s="30">
        <f t="shared" si="1"/>
        <v>13773</v>
      </c>
      <c r="H19" s="30">
        <f t="shared" si="1"/>
        <v>804032</v>
      </c>
      <c r="I19" s="31">
        <f>SUM(I5:I18)</f>
        <v>3792857</v>
      </c>
      <c r="J19" s="32" t="s">
        <v>30</v>
      </c>
      <c r="K19" s="26">
        <f>SUM(I5:I16)</f>
        <v>2988791</v>
      </c>
      <c r="L19">
        <f>K19/I19</f>
        <v>0.78800518975537437</v>
      </c>
    </row>
    <row r="20" spans="1:12" ht="24.9" customHeight="1" x14ac:dyDescent="0.25">
      <c r="A20" s="33" t="s">
        <v>31</v>
      </c>
      <c r="B20" s="34">
        <f t="shared" ref="B20:I20" si="2">(B19-B23)</f>
        <v>648</v>
      </c>
      <c r="C20" s="34">
        <f t="shared" si="2"/>
        <v>-33192</v>
      </c>
      <c r="D20" s="34">
        <f t="shared" si="2"/>
        <v>348</v>
      </c>
      <c r="E20" s="34">
        <f t="shared" si="2"/>
        <v>2591</v>
      </c>
      <c r="F20" s="34">
        <f t="shared" si="2"/>
        <v>-86</v>
      </c>
      <c r="G20" s="34">
        <f t="shared" si="2"/>
        <v>-1363</v>
      </c>
      <c r="H20" s="34">
        <f t="shared" si="2"/>
        <v>99185</v>
      </c>
      <c r="I20" s="34">
        <f t="shared" si="2"/>
        <v>68131</v>
      </c>
    </row>
    <row r="21" spans="1:12" ht="24.9" customHeight="1" x14ac:dyDescent="0.25">
      <c r="A21" s="33" t="s">
        <v>32</v>
      </c>
      <c r="B21" s="35">
        <f t="shared" ref="B21:I21" si="3">(B19-B23)/ABS(B23)</f>
        <v>2.9960898253621779E-4</v>
      </c>
      <c r="C21" s="35">
        <f t="shared" si="3"/>
        <v>-3.9964793607944797E-2</v>
      </c>
      <c r="D21" s="35">
        <f t="shared" si="3"/>
        <v>3.8241758241758244</v>
      </c>
      <c r="E21" s="35">
        <f t="shared" si="3"/>
        <v>0.23426763110307414</v>
      </c>
      <c r="F21" s="35">
        <f t="shared" si="3"/>
        <v>-0.35537190082644626</v>
      </c>
      <c r="G21" s="35">
        <f t="shared" si="3"/>
        <v>-9.0050211416490486E-2</v>
      </c>
      <c r="H21" s="35">
        <f t="shared" si="3"/>
        <v>0.14071848216705185</v>
      </c>
      <c r="I21" s="35">
        <f t="shared" si="3"/>
        <v>1.8291546814450246E-2</v>
      </c>
    </row>
    <row r="22" spans="1:12" ht="24.9" customHeight="1" x14ac:dyDescent="0.25">
      <c r="A22" s="33" t="s">
        <v>33</v>
      </c>
      <c r="B22" s="36">
        <f>B19/$I19</f>
        <v>0.5704056335369353</v>
      </c>
      <c r="C22" s="36">
        <f t="shared" ref="C22:I22" si="4">C19/$I19</f>
        <v>0.21022121319100615</v>
      </c>
      <c r="D22" s="37">
        <f t="shared" si="4"/>
        <v>1.1574388383216135E-4</v>
      </c>
      <c r="E22" s="37">
        <f t="shared" si="4"/>
        <v>3.5991338455417642E-3</v>
      </c>
      <c r="F22" s="37">
        <f t="shared" si="4"/>
        <v>4.1129945051975335E-5</v>
      </c>
      <c r="G22" s="37">
        <f t="shared" si="4"/>
        <v>3.6312995718003607E-3</v>
      </c>
      <c r="H22" s="36">
        <f t="shared" si="4"/>
        <v>0.21198584602583223</v>
      </c>
      <c r="I22" s="36">
        <f t="shared" si="4"/>
        <v>1</v>
      </c>
    </row>
    <row r="23" spans="1:12" ht="24.9" customHeight="1" x14ac:dyDescent="0.3">
      <c r="A23" s="38" t="s">
        <v>34</v>
      </c>
      <c r="B23" s="39">
        <v>2162819</v>
      </c>
      <c r="C23" s="39">
        <v>830531</v>
      </c>
      <c r="D23" s="39">
        <v>91</v>
      </c>
      <c r="E23" s="39">
        <v>11060</v>
      </c>
      <c r="F23" s="39">
        <v>242</v>
      </c>
      <c r="G23" s="39">
        <v>15136</v>
      </c>
      <c r="H23" s="39">
        <v>704847</v>
      </c>
      <c r="I23" s="39">
        <v>3724726</v>
      </c>
      <c r="J23" s="2"/>
    </row>
    <row r="24" spans="1:12" ht="24.9" customHeight="1" x14ac:dyDescent="0.25">
      <c r="A24" s="40" t="s">
        <v>35</v>
      </c>
      <c r="B24" s="41"/>
      <c r="C24" s="41"/>
      <c r="D24" s="41"/>
      <c r="E24" s="41"/>
      <c r="F24" s="41"/>
      <c r="G24" s="41"/>
      <c r="H24" s="41"/>
      <c r="I24" s="41"/>
      <c r="J24" s="42"/>
    </row>
    <row r="25" spans="1:12" x14ac:dyDescent="0.25">
      <c r="B25" s="26"/>
    </row>
    <row r="54" spans="12:12" x14ac:dyDescent="0.25">
      <c r="L54" s="43"/>
    </row>
    <row r="201" spans="7:8" ht="17.399999999999999" x14ac:dyDescent="0.3">
      <c r="G201" s="22"/>
      <c r="H201" s="23"/>
    </row>
  </sheetData>
  <phoneticPr fontId="3" type="noConversion"/>
  <printOptions gridLinesSet="0"/>
  <pageMargins left="0.65" right="0.52" top="1" bottom="1" header="0.5" footer="0.5"/>
  <pageSetup paperSize="9" scale="59" orientation="landscape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Table 2</vt:lpstr>
      <vt:lpstr>'Table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2024-11-20T08:26:19Z</dcterms:created>
  <dcterms:modified xsi:type="dcterms:W3CDTF">2024-11-20T08:26:26Z</dcterms:modified>
</cp:coreProperties>
</file>