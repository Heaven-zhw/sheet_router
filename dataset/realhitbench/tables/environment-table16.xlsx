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08" windowHeight="8627"/>
  </bookViews>
  <sheets>
    <sheet name="Table 1" sheetId="1" r:id="rId1"/>
  </sheets>
  <definedNames>
    <definedName name="_xlnm.Print_Area" localSheetId="0">'Table 1'!$A$1:$K$60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<sst xmlns="http://schemas.openxmlformats.org/spreadsheetml/2006/main" count="69" uniqueCount="68">
  <si>
    <t>Table 1 Scientific procedures by species of animal and primary purpose of the procedure, page 1 of 2</t>
  </si>
  <si>
    <t>Great Britain 2011</t>
  </si>
  <si>
    <t>Number of procedures</t>
  </si>
  <si>
    <t>Species of animal</t>
  </si>
  <si>
    <t>Primary purpose of the procedure</t>
  </si>
  <si>
    <t>Total</t>
  </si>
  <si>
    <t>Fundamental biological research</t>
  </si>
  <si>
    <t>Applied studies -human medicine or dentistry</t>
  </si>
  <si>
    <t>Applied studies -veterinary medicine</t>
  </si>
  <si>
    <t>Protection of man, animals or environment</t>
  </si>
  <si>
    <t>Education</t>
  </si>
  <si>
    <t>Training</t>
  </si>
  <si>
    <t>Forensic enquiries</t>
  </si>
  <si>
    <t>Direct diagnosis</t>
  </si>
  <si>
    <t>Breeding of GM or HM animals</t>
  </si>
  <si>
    <t>Mammal</t>
  </si>
  <si>
    <t xml:space="preserve">  Mouse</t>
  </si>
  <si>
    <t xml:space="preserve">  Rat</t>
  </si>
  <si>
    <t xml:space="preserve">  Guinea pig</t>
  </si>
  <si>
    <t xml:space="preserve">  Hamster</t>
  </si>
  <si>
    <t xml:space="preserve">  Gerbil</t>
  </si>
  <si>
    <t xml:space="preserve">  Other rodent</t>
  </si>
  <si>
    <t xml:space="preserve">  Rabbit</t>
  </si>
  <si>
    <t xml:space="preserve">  Cat</t>
  </si>
  <si>
    <t xml:space="preserve">  Dog</t>
  </si>
  <si>
    <t xml:space="preserve">     Beagle</t>
  </si>
  <si>
    <t xml:space="preserve">     Greyhound</t>
  </si>
  <si>
    <t xml:space="preserve">     Other including cross-bred dogs</t>
  </si>
  <si>
    <t xml:space="preserve">  Ferret</t>
  </si>
  <si>
    <t xml:space="preserve">  Other carnivore</t>
  </si>
  <si>
    <t xml:space="preserve">  Horse and other equids</t>
  </si>
  <si>
    <t xml:space="preserve">  Pig</t>
  </si>
  <si>
    <t xml:space="preserve">  Goat</t>
  </si>
  <si>
    <t xml:space="preserve">  Sheep</t>
  </si>
  <si>
    <t xml:space="preserve">  Cattle</t>
  </si>
  <si>
    <t xml:space="preserve">  Deer</t>
  </si>
  <si>
    <t xml:space="preserve">  Camelid</t>
  </si>
  <si>
    <t xml:space="preserve">  Other ungulate</t>
  </si>
  <si>
    <t xml:space="preserve">  Primate</t>
  </si>
  <si>
    <t xml:space="preserve">   Prosimian</t>
  </si>
  <si>
    <t xml:space="preserve">   New World monkey</t>
  </si>
  <si>
    <t xml:space="preserve">      marmoset, tamarin</t>
  </si>
  <si>
    <t xml:space="preserve">      Squirrel, owl, spider monkey</t>
  </si>
  <si>
    <t xml:space="preserve">      Other New World monkey</t>
  </si>
  <si>
    <t xml:space="preserve">   Old World monkey</t>
  </si>
  <si>
    <t xml:space="preserve">      Macaque</t>
  </si>
  <si>
    <t xml:space="preserve">      Baboon</t>
  </si>
  <si>
    <t xml:space="preserve">      Other Old World monkey</t>
  </si>
  <si>
    <t xml:space="preserve">   Ape</t>
  </si>
  <si>
    <t xml:space="preserve">      Gibbon</t>
  </si>
  <si>
    <t xml:space="preserve">      Great ape</t>
  </si>
  <si>
    <t xml:space="preserve">  Other mammal</t>
  </si>
  <si>
    <t>Bird</t>
  </si>
  <si>
    <r>
      <rPr>
        <sz val="14"/>
        <rFont val="Arial"/>
        <charset val="134"/>
      </rPr>
      <t xml:space="preserve">  Domestic fowl (</t>
    </r>
    <r>
      <rPr>
        <i/>
        <sz val="14"/>
        <rFont val="Arial"/>
        <charset val="134"/>
      </rPr>
      <t>Gallus domesticus</t>
    </r>
    <r>
      <rPr>
        <sz val="14"/>
        <rFont val="Arial"/>
        <charset val="134"/>
      </rPr>
      <t>)</t>
    </r>
  </si>
  <si>
    <t xml:space="preserve">  Turkey</t>
  </si>
  <si>
    <r>
      <rPr>
        <sz val="14"/>
        <rFont val="Arial"/>
        <charset val="134"/>
      </rPr>
      <t xml:space="preserve">  Quail (</t>
    </r>
    <r>
      <rPr>
        <i/>
        <sz val="14"/>
        <rFont val="Arial"/>
        <charset val="134"/>
      </rPr>
      <t>Coturnix coturnix</t>
    </r>
    <r>
      <rPr>
        <sz val="14"/>
        <rFont val="Arial"/>
        <charset val="134"/>
      </rPr>
      <t>)</t>
    </r>
  </si>
  <si>
    <r>
      <rPr>
        <sz val="14"/>
        <rFont val="Arial"/>
        <charset val="134"/>
      </rPr>
      <t xml:space="preserve">  Quail (not </t>
    </r>
    <r>
      <rPr>
        <i/>
        <sz val="14"/>
        <rFont val="Arial"/>
        <charset val="134"/>
      </rPr>
      <t>Coturnix coturnix</t>
    </r>
    <r>
      <rPr>
        <sz val="14"/>
        <rFont val="Arial"/>
        <charset val="134"/>
      </rPr>
      <t>)</t>
    </r>
  </si>
  <si>
    <t xml:space="preserve">  Other bird</t>
  </si>
  <si>
    <r>
      <rPr>
        <b/>
        <sz val="14"/>
        <color indexed="50"/>
        <rFont val="Arial"/>
        <charset val="134"/>
      </rPr>
      <t xml:space="preserve">Reptile </t>
    </r>
    <r>
      <rPr>
        <sz val="14"/>
        <color indexed="8"/>
        <rFont val="Arial"/>
        <charset val="134"/>
      </rPr>
      <t>- any reptilian species</t>
    </r>
  </si>
  <si>
    <r>
      <rPr>
        <b/>
        <sz val="14"/>
        <color indexed="17"/>
        <rFont val="Arial"/>
        <charset val="134"/>
      </rPr>
      <t>Amphibian</t>
    </r>
    <r>
      <rPr>
        <sz val="14"/>
        <rFont val="Arial"/>
        <charset val="134"/>
      </rPr>
      <t xml:space="preserve"> - any amphibian species</t>
    </r>
  </si>
  <si>
    <r>
      <rPr>
        <b/>
        <sz val="14"/>
        <color indexed="17"/>
        <rFont val="Arial"/>
        <charset val="134"/>
      </rPr>
      <t>Fish</t>
    </r>
    <r>
      <rPr>
        <sz val="14"/>
        <rFont val="Arial"/>
        <charset val="134"/>
      </rPr>
      <t xml:space="preserve"> - any fish species</t>
    </r>
  </si>
  <si>
    <r>
      <rPr>
        <b/>
        <sz val="14"/>
        <color indexed="17"/>
        <rFont val="Arial"/>
        <charset val="134"/>
      </rPr>
      <t>Cephalopod</t>
    </r>
    <r>
      <rPr>
        <sz val="14"/>
        <rFont val="Arial"/>
        <charset val="134"/>
      </rPr>
      <t xml:space="preserve"> - </t>
    </r>
    <r>
      <rPr>
        <i/>
        <sz val="14"/>
        <rFont val="Arial"/>
        <charset val="134"/>
      </rPr>
      <t>Octopus vulgaris</t>
    </r>
  </si>
  <si>
    <t>Increase on 2010</t>
  </si>
  <si>
    <t>Percentage change from 2010</t>
  </si>
  <si>
    <t>N/A</t>
  </si>
  <si>
    <t>Percentage of total for 2011</t>
  </si>
  <si>
    <t>2010 Totals</t>
  </si>
  <si>
    <t>N/A = Not applicable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</si>
</sst>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_-;\-* #,##0_-;_-* &quot;-&quot;_-;_-@_-"/>
    <numFmt numFmtId="177" formatCode="#,##0_ ;[Red]\-#,##0\ "/>
    <numFmt numFmtId="178" formatCode="0%;[Red]\-0%"/>
    <numFmt numFmtId="179" formatCode="0.0%"/>
  </numFmts>
  <fonts count="30">
    <font>
      <sz val="10"/>
      <name val="Arial"/>
      <charset val="134"/>
    </font>
    <font>
      <sz val="14"/>
      <name val="Arial"/>
      <charset val="134"/>
    </font>
    <font>
      <b/>
      <sz val="16"/>
      <name val="Arial"/>
      <charset val="134"/>
    </font>
    <font>
      <b/>
      <sz val="10"/>
      <name val="Arial"/>
      <charset val="134"/>
    </font>
    <font>
      <b/>
      <sz val="14"/>
      <name val="Arial"/>
      <charset val="134"/>
    </font>
    <font>
      <sz val="12"/>
      <name val="Arial"/>
      <charset val="134"/>
    </font>
    <font>
      <b/>
      <sz val="14"/>
      <color indexed="17"/>
      <name val="Arial"/>
      <charset val="134"/>
    </font>
    <font>
      <b/>
      <sz val="14"/>
      <color indexed="50"/>
      <name val="Arial"/>
      <charset val="134"/>
    </font>
    <font>
      <sz val="14"/>
      <color indexed="8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4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7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71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/>
    <xf numFmtId="0" fontId="2" fillId="0" borderId="0" xfId="0" applyFont="1" applyFill="1"/>
    <xf numFmtId="0" fontId="3" fillId="0" borderId="0" xfId="0" applyFont="1"/>
    <xf numFmtId="0" fontId="4" fillId="0" borderId="0" xfId="0" applyFont="1"/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centerContinuous"/>
    </xf>
    <xf numFmtId="0" fontId="5" fillId="2" borderId="2" xfId="0" applyFont="1" applyFill="1" applyBorder="1" applyAlignment="1">
      <alignment horizontal="centerContinuous"/>
    </xf>
    <xf numFmtId="0" fontId="5" fillId="2" borderId="3" xfId="0" applyFont="1" applyFill="1" applyBorder="1" applyAlignment="1">
      <alignment vertical="top"/>
    </xf>
    <xf numFmtId="0" fontId="5" fillId="2" borderId="4" xfId="0" applyFont="1" applyFill="1" applyBorder="1" applyAlignment="1">
      <alignment horizontal="center" vertical="top" wrapText="1"/>
    </xf>
    <xf numFmtId="0" fontId="6" fillId="0" borderId="5" xfId="0" applyFont="1" applyBorder="1"/>
    <xf numFmtId="3" fontId="6" fillId="0" borderId="5" xfId="0" applyNumberFormat="1" applyFont="1" applyBorder="1" applyAlignment="1">
      <alignment horizontal="right"/>
    </xf>
    <xf numFmtId="0" fontId="4" fillId="3" borderId="5" xfId="0" applyFont="1" applyFill="1" applyBorder="1" applyAlignment="1"/>
    <xf numFmtId="3" fontId="1" fillId="3" borderId="5" xfId="0" applyNumberFormat="1" applyFont="1" applyFill="1" applyBorder="1" applyAlignment="1">
      <alignment horizontal="right"/>
    </xf>
    <xf numFmtId="0" fontId="4" fillId="0" borderId="5" xfId="0" applyFont="1" applyBorder="1" applyAlignment="1"/>
    <xf numFmtId="3" fontId="1" fillId="0" borderId="5" xfId="0" applyNumberFormat="1" applyFont="1" applyBorder="1" applyAlignment="1">
      <alignment horizontal="right"/>
    </xf>
    <xf numFmtId="0" fontId="1" fillId="0" borderId="5" xfId="0" applyFont="1" applyBorder="1" applyAlignment="1"/>
    <xf numFmtId="0" fontId="1" fillId="3" borderId="5" xfId="0" applyFont="1" applyFill="1" applyBorder="1" applyAlignment="1"/>
    <xf numFmtId="0" fontId="4" fillId="3" borderId="5" xfId="0" applyFont="1" applyFill="1" applyBorder="1" applyAlignment="1">
      <alignment wrapText="1"/>
    </xf>
    <xf numFmtId="0" fontId="4" fillId="0" borderId="3" xfId="0" applyFont="1" applyBorder="1" applyAlignment="1"/>
    <xf numFmtId="3" fontId="1" fillId="0" borderId="3" xfId="0" applyNumberFormat="1" applyFont="1" applyBorder="1" applyAlignment="1">
      <alignment horizontal="right"/>
    </xf>
    <xf numFmtId="0" fontId="4" fillId="0" borderId="5" xfId="0" applyFont="1" applyFill="1" applyBorder="1" applyAlignment="1"/>
    <xf numFmtId="3" fontId="1" fillId="0" borderId="5" xfId="0" applyNumberFormat="1" applyFont="1" applyFill="1" applyBorder="1" applyAlignment="1">
      <alignment horizontal="right"/>
    </xf>
    <xf numFmtId="0" fontId="1" fillId="3" borderId="5" xfId="0" applyFont="1" applyFill="1" applyBorder="1"/>
    <xf numFmtId="176" fontId="1" fillId="3" borderId="5" xfId="0" applyNumberFormat="1" applyFont="1" applyFill="1" applyBorder="1" applyAlignment="1">
      <alignment horizontal="right"/>
    </xf>
    <xf numFmtId="0" fontId="4" fillId="0" borderId="5" xfId="0" applyFont="1" applyFill="1" applyBorder="1"/>
    <xf numFmtId="176" fontId="1" fillId="0" borderId="5" xfId="0" applyNumberFormat="1" applyFont="1" applyFill="1" applyBorder="1" applyAlignment="1">
      <alignment horizontal="right"/>
    </xf>
    <xf numFmtId="0" fontId="1" fillId="0" borderId="5" xfId="0" applyFont="1" applyFill="1" applyBorder="1"/>
    <xf numFmtId="0" fontId="1" fillId="3" borderId="5" xfId="0" applyFont="1" applyFill="1" applyBorder="1" applyAlignment="1">
      <alignment vertical="center"/>
    </xf>
    <xf numFmtId="0" fontId="4" fillId="0" borderId="5" xfId="0" applyFont="1" applyBorder="1"/>
    <xf numFmtId="176" fontId="6" fillId="0" borderId="5" xfId="0" applyNumberFormat="1" applyFont="1" applyBorder="1" applyAlignment="1">
      <alignment horizontal="right"/>
    </xf>
    <xf numFmtId="0" fontId="1" fillId="0" borderId="5" xfId="0" applyFont="1" applyBorder="1"/>
    <xf numFmtId="176" fontId="1" fillId="0" borderId="5" xfId="0" applyNumberFormat="1" applyFont="1" applyBorder="1" applyAlignment="1">
      <alignment horizontal="right"/>
    </xf>
    <xf numFmtId="0" fontId="1" fillId="3" borderId="5" xfId="0" applyFont="1" applyFill="1" applyBorder="1" applyAlignment="1">
      <alignment vertical="top"/>
    </xf>
    <xf numFmtId="0" fontId="4" fillId="3" borderId="5" xfId="0" applyFont="1" applyFill="1" applyBorder="1"/>
    <xf numFmtId="0" fontId="7" fillId="0" borderId="5" xfId="0" applyFont="1" applyFill="1" applyBorder="1"/>
    <xf numFmtId="0" fontId="6" fillId="3" borderId="5" xfId="0" applyFont="1" applyFill="1" applyBorder="1"/>
    <xf numFmtId="0" fontId="6" fillId="0" borderId="5" xfId="0" applyFont="1" applyFill="1" applyBorder="1"/>
    <xf numFmtId="0" fontId="6" fillId="3" borderId="3" xfId="0" applyFont="1" applyFill="1" applyBorder="1" applyAlignment="1">
      <alignment vertical="center"/>
    </xf>
    <xf numFmtId="176" fontId="1" fillId="3" borderId="6" xfId="0" applyNumberFormat="1" applyFont="1" applyFill="1" applyBorder="1" applyAlignment="1">
      <alignment horizontal="right"/>
    </xf>
    <xf numFmtId="0" fontId="4" fillId="2" borderId="3" xfId="0" applyFont="1" applyFill="1" applyBorder="1" applyAlignment="1">
      <alignment vertical="center"/>
    </xf>
    <xf numFmtId="176" fontId="4" fillId="2" borderId="4" xfId="0" applyNumberFormat="1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177" fontId="1" fillId="0" borderId="4" xfId="0" applyNumberFormat="1" applyFont="1" applyFill="1" applyBorder="1" applyAlignment="1">
      <alignment horizontal="right" vertical="center"/>
    </xf>
    <xf numFmtId="178" fontId="8" fillId="0" borderId="4" xfId="0" applyNumberFormat="1" applyFont="1" applyFill="1" applyBorder="1" applyAlignment="1">
      <alignment horizontal="right" vertical="center"/>
    </xf>
    <xf numFmtId="9" fontId="1" fillId="0" borderId="4" xfId="0" applyNumberFormat="1" applyFont="1" applyFill="1" applyBorder="1" applyAlignment="1">
      <alignment horizontal="right" vertical="center"/>
    </xf>
    <xf numFmtId="179" fontId="1" fillId="0" borderId="4" xfId="0" applyNumberFormat="1" applyFont="1" applyFill="1" applyBorder="1" applyAlignment="1">
      <alignment horizontal="right" vertical="center"/>
    </xf>
    <xf numFmtId="0" fontId="1" fillId="0" borderId="4" xfId="0" applyFont="1" applyBorder="1" applyAlignment="1">
      <alignment horizontal="left"/>
    </xf>
    <xf numFmtId="3" fontId="1" fillId="0" borderId="4" xfId="0" applyNumberFormat="1" applyFont="1" applyBorder="1"/>
    <xf numFmtId="0" fontId="5" fillId="0" borderId="0" xfId="0" applyFont="1" applyFill="1" applyBorder="1" applyAlignment="1">
      <alignment vertical="center"/>
    </xf>
    <xf numFmtId="0" fontId="5" fillId="0" borderId="0" xfId="0" applyFont="1"/>
    <xf numFmtId="176" fontId="1" fillId="0" borderId="0" xfId="0" applyNumberFormat="1" applyFont="1"/>
    <xf numFmtId="176" fontId="5" fillId="0" borderId="0" xfId="0" applyNumberFormat="1" applyFont="1"/>
    <xf numFmtId="9" fontId="5" fillId="0" borderId="0" xfId="0" applyNumberFormat="1" applyFont="1"/>
    <xf numFmtId="176" fontId="0" fillId="0" borderId="0" xfId="0" applyNumberFormat="1" applyBorder="1"/>
    <xf numFmtId="176" fontId="4" fillId="0" borderId="0" xfId="0" applyNumberFormat="1" applyFont="1" applyBorder="1" applyAlignment="1">
      <alignment horizontal="right"/>
    </xf>
    <xf numFmtId="176" fontId="4" fillId="2" borderId="1" xfId="0" applyNumberFormat="1" applyFont="1" applyFill="1" applyBorder="1" applyAlignment="1">
      <alignment horizontal="center" wrapText="1"/>
    </xf>
    <xf numFmtId="176" fontId="3" fillId="2" borderId="3" xfId="0" applyNumberFormat="1" applyFont="1" applyFill="1" applyBorder="1"/>
    <xf numFmtId="0" fontId="0" fillId="0" borderId="0" xfId="0" applyAlignment="1">
      <alignment wrapText="1"/>
    </xf>
    <xf numFmtId="176" fontId="4" fillId="3" borderId="6" xfId="0" applyNumberFormat="1" applyFont="1" applyFill="1" applyBorder="1" applyAlignment="1">
      <alignment horizontal="right"/>
    </xf>
    <xf numFmtId="176" fontId="4" fillId="0" borderId="6" xfId="0" applyNumberFormat="1" applyFont="1" applyFill="1" applyBorder="1" applyAlignment="1">
      <alignment horizontal="right"/>
    </xf>
    <xf numFmtId="176" fontId="4" fillId="0" borderId="6" xfId="0" applyNumberFormat="1" applyFont="1" applyBorder="1" applyAlignment="1">
      <alignment horizontal="right"/>
    </xf>
    <xf numFmtId="176" fontId="4" fillId="0" borderId="7" xfId="0" applyNumberFormat="1" applyFont="1" applyFill="1" applyBorder="1" applyAlignment="1">
      <alignment horizontal="right"/>
    </xf>
    <xf numFmtId="176" fontId="1" fillId="0" borderId="5" xfId="0" applyNumberFormat="1" applyFont="1" applyFill="1" applyBorder="1" applyAlignment="1">
      <alignment horizontal="right" vertical="center"/>
    </xf>
    <xf numFmtId="176" fontId="4" fillId="3" borderId="5" xfId="0" applyNumberFormat="1" applyFont="1" applyFill="1" applyBorder="1" applyAlignment="1">
      <alignment horizontal="right"/>
    </xf>
    <xf numFmtId="176" fontId="4" fillId="0" borderId="5" xfId="0" applyNumberFormat="1" applyFont="1" applyBorder="1" applyAlignment="1">
      <alignment horizontal="right"/>
    </xf>
    <xf numFmtId="176" fontId="4" fillId="0" borderId="5" xfId="0" applyNumberFormat="1" applyFont="1" applyFill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26"/>
  </sheetPr>
  <dimension ref="A1:R203"/>
  <sheetViews>
    <sheetView showGridLines="0" tabSelected="1" zoomScale="55" zoomScaleNormal="55" zoomScaleSheetLayoutView="75" topLeftCell="A6" workbookViewId="0">
      <selection activeCell="H27" sqref="H27"/>
    </sheetView>
  </sheetViews>
  <sheetFormatPr defaultColWidth="9" defaultRowHeight="13.2"/>
  <cols>
    <col min="1" max="1" width="58.3333333333333" customWidth="1"/>
    <col min="2" max="3" width="18.1111111111111" customWidth="1"/>
    <col min="4" max="4" width="16.6666666666667" customWidth="1"/>
    <col min="5" max="5" width="15.8888888888889" customWidth="1"/>
    <col min="6" max="6" width="14.1111111111111" customWidth="1"/>
    <col min="7" max="9" width="14.6666666666667" customWidth="1"/>
    <col min="10" max="10" width="16.6666666666667" customWidth="1"/>
    <col min="11" max="11" width="18" style="5" customWidth="1"/>
    <col min="257" max="257" width="58.3333333333333" customWidth="1"/>
    <col min="258" max="259" width="18.1111111111111" customWidth="1"/>
    <col min="260" max="260" width="16.6666666666667" customWidth="1"/>
    <col min="261" max="261" width="15.8888888888889" customWidth="1"/>
    <col min="262" max="262" width="14.1111111111111" customWidth="1"/>
    <col min="263" max="265" width="14.6666666666667" customWidth="1"/>
    <col min="266" max="266" width="16.6666666666667" customWidth="1"/>
    <col min="267" max="267" width="18" customWidth="1"/>
    <col min="513" max="513" width="58.3333333333333" customWidth="1"/>
    <col min="514" max="515" width="18.1111111111111" customWidth="1"/>
    <col min="516" max="516" width="16.6666666666667" customWidth="1"/>
    <col min="517" max="517" width="15.8888888888889" customWidth="1"/>
    <col min="518" max="518" width="14.1111111111111" customWidth="1"/>
    <col min="519" max="521" width="14.6666666666667" customWidth="1"/>
    <col min="522" max="522" width="16.6666666666667" customWidth="1"/>
    <col min="523" max="523" width="18" customWidth="1"/>
    <col min="769" max="769" width="58.3333333333333" customWidth="1"/>
    <col min="770" max="771" width="18.1111111111111" customWidth="1"/>
    <col min="772" max="772" width="16.6666666666667" customWidth="1"/>
    <col min="773" max="773" width="15.8888888888889" customWidth="1"/>
    <col min="774" max="774" width="14.1111111111111" customWidth="1"/>
    <col min="775" max="777" width="14.6666666666667" customWidth="1"/>
    <col min="778" max="778" width="16.6666666666667" customWidth="1"/>
    <col min="779" max="779" width="18" customWidth="1"/>
    <col min="1025" max="1025" width="58.3333333333333" customWidth="1"/>
    <col min="1026" max="1027" width="18.1111111111111" customWidth="1"/>
    <col min="1028" max="1028" width="16.6666666666667" customWidth="1"/>
    <col min="1029" max="1029" width="15.8888888888889" customWidth="1"/>
    <col min="1030" max="1030" width="14.1111111111111" customWidth="1"/>
    <col min="1031" max="1033" width="14.6666666666667" customWidth="1"/>
    <col min="1034" max="1034" width="16.6666666666667" customWidth="1"/>
    <col min="1035" max="1035" width="18" customWidth="1"/>
    <col min="1281" max="1281" width="58.3333333333333" customWidth="1"/>
    <col min="1282" max="1283" width="18.1111111111111" customWidth="1"/>
    <col min="1284" max="1284" width="16.6666666666667" customWidth="1"/>
    <col min="1285" max="1285" width="15.8888888888889" customWidth="1"/>
    <col min="1286" max="1286" width="14.1111111111111" customWidth="1"/>
    <col min="1287" max="1289" width="14.6666666666667" customWidth="1"/>
    <col min="1290" max="1290" width="16.6666666666667" customWidth="1"/>
    <col min="1291" max="1291" width="18" customWidth="1"/>
    <col min="1537" max="1537" width="58.3333333333333" customWidth="1"/>
    <col min="1538" max="1539" width="18.1111111111111" customWidth="1"/>
    <col min="1540" max="1540" width="16.6666666666667" customWidth="1"/>
    <col min="1541" max="1541" width="15.8888888888889" customWidth="1"/>
    <col min="1542" max="1542" width="14.1111111111111" customWidth="1"/>
    <col min="1543" max="1545" width="14.6666666666667" customWidth="1"/>
    <col min="1546" max="1546" width="16.6666666666667" customWidth="1"/>
    <col min="1547" max="1547" width="18" customWidth="1"/>
    <col min="1793" max="1793" width="58.3333333333333" customWidth="1"/>
    <col min="1794" max="1795" width="18.1111111111111" customWidth="1"/>
    <col min="1796" max="1796" width="16.6666666666667" customWidth="1"/>
    <col min="1797" max="1797" width="15.8888888888889" customWidth="1"/>
    <col min="1798" max="1798" width="14.1111111111111" customWidth="1"/>
    <col min="1799" max="1801" width="14.6666666666667" customWidth="1"/>
    <col min="1802" max="1802" width="16.6666666666667" customWidth="1"/>
    <col min="1803" max="1803" width="18" customWidth="1"/>
    <col min="2049" max="2049" width="58.3333333333333" customWidth="1"/>
    <col min="2050" max="2051" width="18.1111111111111" customWidth="1"/>
    <col min="2052" max="2052" width="16.6666666666667" customWidth="1"/>
    <col min="2053" max="2053" width="15.8888888888889" customWidth="1"/>
    <col min="2054" max="2054" width="14.1111111111111" customWidth="1"/>
    <col min="2055" max="2057" width="14.6666666666667" customWidth="1"/>
    <col min="2058" max="2058" width="16.6666666666667" customWidth="1"/>
    <col min="2059" max="2059" width="18" customWidth="1"/>
    <col min="2305" max="2305" width="58.3333333333333" customWidth="1"/>
    <col min="2306" max="2307" width="18.1111111111111" customWidth="1"/>
    <col min="2308" max="2308" width="16.6666666666667" customWidth="1"/>
    <col min="2309" max="2309" width="15.8888888888889" customWidth="1"/>
    <col min="2310" max="2310" width="14.1111111111111" customWidth="1"/>
    <col min="2311" max="2313" width="14.6666666666667" customWidth="1"/>
    <col min="2314" max="2314" width="16.6666666666667" customWidth="1"/>
    <col min="2315" max="2315" width="18" customWidth="1"/>
    <col min="2561" max="2561" width="58.3333333333333" customWidth="1"/>
    <col min="2562" max="2563" width="18.1111111111111" customWidth="1"/>
    <col min="2564" max="2564" width="16.6666666666667" customWidth="1"/>
    <col min="2565" max="2565" width="15.8888888888889" customWidth="1"/>
    <col min="2566" max="2566" width="14.1111111111111" customWidth="1"/>
    <col min="2567" max="2569" width="14.6666666666667" customWidth="1"/>
    <col min="2570" max="2570" width="16.6666666666667" customWidth="1"/>
    <col min="2571" max="2571" width="18" customWidth="1"/>
    <col min="2817" max="2817" width="58.3333333333333" customWidth="1"/>
    <col min="2818" max="2819" width="18.1111111111111" customWidth="1"/>
    <col min="2820" max="2820" width="16.6666666666667" customWidth="1"/>
    <col min="2821" max="2821" width="15.8888888888889" customWidth="1"/>
    <col min="2822" max="2822" width="14.1111111111111" customWidth="1"/>
    <col min="2823" max="2825" width="14.6666666666667" customWidth="1"/>
    <col min="2826" max="2826" width="16.6666666666667" customWidth="1"/>
    <col min="2827" max="2827" width="18" customWidth="1"/>
    <col min="3073" max="3073" width="58.3333333333333" customWidth="1"/>
    <col min="3074" max="3075" width="18.1111111111111" customWidth="1"/>
    <col min="3076" max="3076" width="16.6666666666667" customWidth="1"/>
    <col min="3077" max="3077" width="15.8888888888889" customWidth="1"/>
    <col min="3078" max="3078" width="14.1111111111111" customWidth="1"/>
    <col min="3079" max="3081" width="14.6666666666667" customWidth="1"/>
    <col min="3082" max="3082" width="16.6666666666667" customWidth="1"/>
    <col min="3083" max="3083" width="18" customWidth="1"/>
    <col min="3329" max="3329" width="58.3333333333333" customWidth="1"/>
    <col min="3330" max="3331" width="18.1111111111111" customWidth="1"/>
    <col min="3332" max="3332" width="16.6666666666667" customWidth="1"/>
    <col min="3333" max="3333" width="15.8888888888889" customWidth="1"/>
    <col min="3334" max="3334" width="14.1111111111111" customWidth="1"/>
    <col min="3335" max="3337" width="14.6666666666667" customWidth="1"/>
    <col min="3338" max="3338" width="16.6666666666667" customWidth="1"/>
    <col min="3339" max="3339" width="18" customWidth="1"/>
    <col min="3585" max="3585" width="58.3333333333333" customWidth="1"/>
    <col min="3586" max="3587" width="18.1111111111111" customWidth="1"/>
    <col min="3588" max="3588" width="16.6666666666667" customWidth="1"/>
    <col min="3589" max="3589" width="15.8888888888889" customWidth="1"/>
    <col min="3590" max="3590" width="14.1111111111111" customWidth="1"/>
    <col min="3591" max="3593" width="14.6666666666667" customWidth="1"/>
    <col min="3594" max="3594" width="16.6666666666667" customWidth="1"/>
    <col min="3595" max="3595" width="18" customWidth="1"/>
    <col min="3841" max="3841" width="58.3333333333333" customWidth="1"/>
    <col min="3842" max="3843" width="18.1111111111111" customWidth="1"/>
    <col min="3844" max="3844" width="16.6666666666667" customWidth="1"/>
    <col min="3845" max="3845" width="15.8888888888889" customWidth="1"/>
    <col min="3846" max="3846" width="14.1111111111111" customWidth="1"/>
    <col min="3847" max="3849" width="14.6666666666667" customWidth="1"/>
    <col min="3850" max="3850" width="16.6666666666667" customWidth="1"/>
    <col min="3851" max="3851" width="18" customWidth="1"/>
    <col min="4097" max="4097" width="58.3333333333333" customWidth="1"/>
    <col min="4098" max="4099" width="18.1111111111111" customWidth="1"/>
    <col min="4100" max="4100" width="16.6666666666667" customWidth="1"/>
    <col min="4101" max="4101" width="15.8888888888889" customWidth="1"/>
    <col min="4102" max="4102" width="14.1111111111111" customWidth="1"/>
    <col min="4103" max="4105" width="14.6666666666667" customWidth="1"/>
    <col min="4106" max="4106" width="16.6666666666667" customWidth="1"/>
    <col min="4107" max="4107" width="18" customWidth="1"/>
    <col min="4353" max="4353" width="58.3333333333333" customWidth="1"/>
    <col min="4354" max="4355" width="18.1111111111111" customWidth="1"/>
    <col min="4356" max="4356" width="16.6666666666667" customWidth="1"/>
    <col min="4357" max="4357" width="15.8888888888889" customWidth="1"/>
    <col min="4358" max="4358" width="14.1111111111111" customWidth="1"/>
    <col min="4359" max="4361" width="14.6666666666667" customWidth="1"/>
    <col min="4362" max="4362" width="16.6666666666667" customWidth="1"/>
    <col min="4363" max="4363" width="18" customWidth="1"/>
    <col min="4609" max="4609" width="58.3333333333333" customWidth="1"/>
    <col min="4610" max="4611" width="18.1111111111111" customWidth="1"/>
    <col min="4612" max="4612" width="16.6666666666667" customWidth="1"/>
    <col min="4613" max="4613" width="15.8888888888889" customWidth="1"/>
    <col min="4614" max="4614" width="14.1111111111111" customWidth="1"/>
    <col min="4615" max="4617" width="14.6666666666667" customWidth="1"/>
    <col min="4618" max="4618" width="16.6666666666667" customWidth="1"/>
    <col min="4619" max="4619" width="18" customWidth="1"/>
    <col min="4865" max="4865" width="58.3333333333333" customWidth="1"/>
    <col min="4866" max="4867" width="18.1111111111111" customWidth="1"/>
    <col min="4868" max="4868" width="16.6666666666667" customWidth="1"/>
    <col min="4869" max="4869" width="15.8888888888889" customWidth="1"/>
    <col min="4870" max="4870" width="14.1111111111111" customWidth="1"/>
    <col min="4871" max="4873" width="14.6666666666667" customWidth="1"/>
    <col min="4874" max="4874" width="16.6666666666667" customWidth="1"/>
    <col min="4875" max="4875" width="18" customWidth="1"/>
    <col min="5121" max="5121" width="58.3333333333333" customWidth="1"/>
    <col min="5122" max="5123" width="18.1111111111111" customWidth="1"/>
    <col min="5124" max="5124" width="16.6666666666667" customWidth="1"/>
    <col min="5125" max="5125" width="15.8888888888889" customWidth="1"/>
    <col min="5126" max="5126" width="14.1111111111111" customWidth="1"/>
    <col min="5127" max="5129" width="14.6666666666667" customWidth="1"/>
    <col min="5130" max="5130" width="16.6666666666667" customWidth="1"/>
    <col min="5131" max="5131" width="18" customWidth="1"/>
    <col min="5377" max="5377" width="58.3333333333333" customWidth="1"/>
    <col min="5378" max="5379" width="18.1111111111111" customWidth="1"/>
    <col min="5380" max="5380" width="16.6666666666667" customWidth="1"/>
    <col min="5381" max="5381" width="15.8888888888889" customWidth="1"/>
    <col min="5382" max="5382" width="14.1111111111111" customWidth="1"/>
    <col min="5383" max="5385" width="14.6666666666667" customWidth="1"/>
    <col min="5386" max="5386" width="16.6666666666667" customWidth="1"/>
    <col min="5387" max="5387" width="18" customWidth="1"/>
    <col min="5633" max="5633" width="58.3333333333333" customWidth="1"/>
    <col min="5634" max="5635" width="18.1111111111111" customWidth="1"/>
    <col min="5636" max="5636" width="16.6666666666667" customWidth="1"/>
    <col min="5637" max="5637" width="15.8888888888889" customWidth="1"/>
    <col min="5638" max="5638" width="14.1111111111111" customWidth="1"/>
    <col min="5639" max="5641" width="14.6666666666667" customWidth="1"/>
    <col min="5642" max="5642" width="16.6666666666667" customWidth="1"/>
    <col min="5643" max="5643" width="18" customWidth="1"/>
    <col min="5889" max="5889" width="58.3333333333333" customWidth="1"/>
    <col min="5890" max="5891" width="18.1111111111111" customWidth="1"/>
    <col min="5892" max="5892" width="16.6666666666667" customWidth="1"/>
    <col min="5893" max="5893" width="15.8888888888889" customWidth="1"/>
    <col min="5894" max="5894" width="14.1111111111111" customWidth="1"/>
    <col min="5895" max="5897" width="14.6666666666667" customWidth="1"/>
    <col min="5898" max="5898" width="16.6666666666667" customWidth="1"/>
    <col min="5899" max="5899" width="18" customWidth="1"/>
    <col min="6145" max="6145" width="58.3333333333333" customWidth="1"/>
    <col min="6146" max="6147" width="18.1111111111111" customWidth="1"/>
    <col min="6148" max="6148" width="16.6666666666667" customWidth="1"/>
    <col min="6149" max="6149" width="15.8888888888889" customWidth="1"/>
    <col min="6150" max="6150" width="14.1111111111111" customWidth="1"/>
    <col min="6151" max="6153" width="14.6666666666667" customWidth="1"/>
    <col min="6154" max="6154" width="16.6666666666667" customWidth="1"/>
    <col min="6155" max="6155" width="18" customWidth="1"/>
    <col min="6401" max="6401" width="58.3333333333333" customWidth="1"/>
    <col min="6402" max="6403" width="18.1111111111111" customWidth="1"/>
    <col min="6404" max="6404" width="16.6666666666667" customWidth="1"/>
    <col min="6405" max="6405" width="15.8888888888889" customWidth="1"/>
    <col min="6406" max="6406" width="14.1111111111111" customWidth="1"/>
    <col min="6407" max="6409" width="14.6666666666667" customWidth="1"/>
    <col min="6410" max="6410" width="16.6666666666667" customWidth="1"/>
    <col min="6411" max="6411" width="18" customWidth="1"/>
    <col min="6657" max="6657" width="58.3333333333333" customWidth="1"/>
    <col min="6658" max="6659" width="18.1111111111111" customWidth="1"/>
    <col min="6660" max="6660" width="16.6666666666667" customWidth="1"/>
    <col min="6661" max="6661" width="15.8888888888889" customWidth="1"/>
    <col min="6662" max="6662" width="14.1111111111111" customWidth="1"/>
    <col min="6663" max="6665" width="14.6666666666667" customWidth="1"/>
    <col min="6666" max="6666" width="16.6666666666667" customWidth="1"/>
    <col min="6667" max="6667" width="18" customWidth="1"/>
    <col min="6913" max="6913" width="58.3333333333333" customWidth="1"/>
    <col min="6914" max="6915" width="18.1111111111111" customWidth="1"/>
    <col min="6916" max="6916" width="16.6666666666667" customWidth="1"/>
    <col min="6917" max="6917" width="15.8888888888889" customWidth="1"/>
    <col min="6918" max="6918" width="14.1111111111111" customWidth="1"/>
    <col min="6919" max="6921" width="14.6666666666667" customWidth="1"/>
    <col min="6922" max="6922" width="16.6666666666667" customWidth="1"/>
    <col min="6923" max="6923" width="18" customWidth="1"/>
    <col min="7169" max="7169" width="58.3333333333333" customWidth="1"/>
    <col min="7170" max="7171" width="18.1111111111111" customWidth="1"/>
    <col min="7172" max="7172" width="16.6666666666667" customWidth="1"/>
    <col min="7173" max="7173" width="15.8888888888889" customWidth="1"/>
    <col min="7174" max="7174" width="14.1111111111111" customWidth="1"/>
    <col min="7175" max="7177" width="14.6666666666667" customWidth="1"/>
    <col min="7178" max="7178" width="16.6666666666667" customWidth="1"/>
    <col min="7179" max="7179" width="18" customWidth="1"/>
    <col min="7425" max="7425" width="58.3333333333333" customWidth="1"/>
    <col min="7426" max="7427" width="18.1111111111111" customWidth="1"/>
    <col min="7428" max="7428" width="16.6666666666667" customWidth="1"/>
    <col min="7429" max="7429" width="15.8888888888889" customWidth="1"/>
    <col min="7430" max="7430" width="14.1111111111111" customWidth="1"/>
    <col min="7431" max="7433" width="14.6666666666667" customWidth="1"/>
    <col min="7434" max="7434" width="16.6666666666667" customWidth="1"/>
    <col min="7435" max="7435" width="18" customWidth="1"/>
    <col min="7681" max="7681" width="58.3333333333333" customWidth="1"/>
    <col min="7682" max="7683" width="18.1111111111111" customWidth="1"/>
    <col min="7684" max="7684" width="16.6666666666667" customWidth="1"/>
    <col min="7685" max="7685" width="15.8888888888889" customWidth="1"/>
    <col min="7686" max="7686" width="14.1111111111111" customWidth="1"/>
    <col min="7687" max="7689" width="14.6666666666667" customWidth="1"/>
    <col min="7690" max="7690" width="16.6666666666667" customWidth="1"/>
    <col min="7691" max="7691" width="18" customWidth="1"/>
    <col min="7937" max="7937" width="58.3333333333333" customWidth="1"/>
    <col min="7938" max="7939" width="18.1111111111111" customWidth="1"/>
    <col min="7940" max="7940" width="16.6666666666667" customWidth="1"/>
    <col min="7941" max="7941" width="15.8888888888889" customWidth="1"/>
    <col min="7942" max="7942" width="14.1111111111111" customWidth="1"/>
    <col min="7943" max="7945" width="14.6666666666667" customWidth="1"/>
    <col min="7946" max="7946" width="16.6666666666667" customWidth="1"/>
    <col min="7947" max="7947" width="18" customWidth="1"/>
    <col min="8193" max="8193" width="58.3333333333333" customWidth="1"/>
    <col min="8194" max="8195" width="18.1111111111111" customWidth="1"/>
    <col min="8196" max="8196" width="16.6666666666667" customWidth="1"/>
    <col min="8197" max="8197" width="15.8888888888889" customWidth="1"/>
    <col min="8198" max="8198" width="14.1111111111111" customWidth="1"/>
    <col min="8199" max="8201" width="14.6666666666667" customWidth="1"/>
    <col min="8202" max="8202" width="16.6666666666667" customWidth="1"/>
    <col min="8203" max="8203" width="18" customWidth="1"/>
    <col min="8449" max="8449" width="58.3333333333333" customWidth="1"/>
    <col min="8450" max="8451" width="18.1111111111111" customWidth="1"/>
    <col min="8452" max="8452" width="16.6666666666667" customWidth="1"/>
    <col min="8453" max="8453" width="15.8888888888889" customWidth="1"/>
    <col min="8454" max="8454" width="14.1111111111111" customWidth="1"/>
    <col min="8455" max="8457" width="14.6666666666667" customWidth="1"/>
    <col min="8458" max="8458" width="16.6666666666667" customWidth="1"/>
    <col min="8459" max="8459" width="18" customWidth="1"/>
    <col min="8705" max="8705" width="58.3333333333333" customWidth="1"/>
    <col min="8706" max="8707" width="18.1111111111111" customWidth="1"/>
    <col min="8708" max="8708" width="16.6666666666667" customWidth="1"/>
    <col min="8709" max="8709" width="15.8888888888889" customWidth="1"/>
    <col min="8710" max="8710" width="14.1111111111111" customWidth="1"/>
    <col min="8711" max="8713" width="14.6666666666667" customWidth="1"/>
    <col min="8714" max="8714" width="16.6666666666667" customWidth="1"/>
    <col min="8715" max="8715" width="18" customWidth="1"/>
    <col min="8961" max="8961" width="58.3333333333333" customWidth="1"/>
    <col min="8962" max="8963" width="18.1111111111111" customWidth="1"/>
    <col min="8964" max="8964" width="16.6666666666667" customWidth="1"/>
    <col min="8965" max="8965" width="15.8888888888889" customWidth="1"/>
    <col min="8966" max="8966" width="14.1111111111111" customWidth="1"/>
    <col min="8967" max="8969" width="14.6666666666667" customWidth="1"/>
    <col min="8970" max="8970" width="16.6666666666667" customWidth="1"/>
    <col min="8971" max="8971" width="18" customWidth="1"/>
    <col min="9217" max="9217" width="58.3333333333333" customWidth="1"/>
    <col min="9218" max="9219" width="18.1111111111111" customWidth="1"/>
    <col min="9220" max="9220" width="16.6666666666667" customWidth="1"/>
    <col min="9221" max="9221" width="15.8888888888889" customWidth="1"/>
    <col min="9222" max="9222" width="14.1111111111111" customWidth="1"/>
    <col min="9223" max="9225" width="14.6666666666667" customWidth="1"/>
    <col min="9226" max="9226" width="16.6666666666667" customWidth="1"/>
    <col min="9227" max="9227" width="18" customWidth="1"/>
    <col min="9473" max="9473" width="58.3333333333333" customWidth="1"/>
    <col min="9474" max="9475" width="18.1111111111111" customWidth="1"/>
    <col min="9476" max="9476" width="16.6666666666667" customWidth="1"/>
    <col min="9477" max="9477" width="15.8888888888889" customWidth="1"/>
    <col min="9478" max="9478" width="14.1111111111111" customWidth="1"/>
    <col min="9479" max="9481" width="14.6666666666667" customWidth="1"/>
    <col min="9482" max="9482" width="16.6666666666667" customWidth="1"/>
    <col min="9483" max="9483" width="18" customWidth="1"/>
    <col min="9729" max="9729" width="58.3333333333333" customWidth="1"/>
    <col min="9730" max="9731" width="18.1111111111111" customWidth="1"/>
    <col min="9732" max="9732" width="16.6666666666667" customWidth="1"/>
    <col min="9733" max="9733" width="15.8888888888889" customWidth="1"/>
    <col min="9734" max="9734" width="14.1111111111111" customWidth="1"/>
    <col min="9735" max="9737" width="14.6666666666667" customWidth="1"/>
    <col min="9738" max="9738" width="16.6666666666667" customWidth="1"/>
    <col min="9739" max="9739" width="18" customWidth="1"/>
    <col min="9985" max="9985" width="58.3333333333333" customWidth="1"/>
    <col min="9986" max="9987" width="18.1111111111111" customWidth="1"/>
    <col min="9988" max="9988" width="16.6666666666667" customWidth="1"/>
    <col min="9989" max="9989" width="15.8888888888889" customWidth="1"/>
    <col min="9990" max="9990" width="14.1111111111111" customWidth="1"/>
    <col min="9991" max="9993" width="14.6666666666667" customWidth="1"/>
    <col min="9994" max="9994" width="16.6666666666667" customWidth="1"/>
    <col min="9995" max="9995" width="18" customWidth="1"/>
    <col min="10241" max="10241" width="58.3333333333333" customWidth="1"/>
    <col min="10242" max="10243" width="18.1111111111111" customWidth="1"/>
    <col min="10244" max="10244" width="16.6666666666667" customWidth="1"/>
    <col min="10245" max="10245" width="15.8888888888889" customWidth="1"/>
    <col min="10246" max="10246" width="14.1111111111111" customWidth="1"/>
    <col min="10247" max="10249" width="14.6666666666667" customWidth="1"/>
    <col min="10250" max="10250" width="16.6666666666667" customWidth="1"/>
    <col min="10251" max="10251" width="18" customWidth="1"/>
    <col min="10497" max="10497" width="58.3333333333333" customWidth="1"/>
    <col min="10498" max="10499" width="18.1111111111111" customWidth="1"/>
    <col min="10500" max="10500" width="16.6666666666667" customWidth="1"/>
    <col min="10501" max="10501" width="15.8888888888889" customWidth="1"/>
    <col min="10502" max="10502" width="14.1111111111111" customWidth="1"/>
    <col min="10503" max="10505" width="14.6666666666667" customWidth="1"/>
    <col min="10506" max="10506" width="16.6666666666667" customWidth="1"/>
    <col min="10507" max="10507" width="18" customWidth="1"/>
    <col min="10753" max="10753" width="58.3333333333333" customWidth="1"/>
    <col min="10754" max="10755" width="18.1111111111111" customWidth="1"/>
    <col min="10756" max="10756" width="16.6666666666667" customWidth="1"/>
    <col min="10757" max="10757" width="15.8888888888889" customWidth="1"/>
    <col min="10758" max="10758" width="14.1111111111111" customWidth="1"/>
    <col min="10759" max="10761" width="14.6666666666667" customWidth="1"/>
    <col min="10762" max="10762" width="16.6666666666667" customWidth="1"/>
    <col min="10763" max="10763" width="18" customWidth="1"/>
    <col min="11009" max="11009" width="58.3333333333333" customWidth="1"/>
    <col min="11010" max="11011" width="18.1111111111111" customWidth="1"/>
    <col min="11012" max="11012" width="16.6666666666667" customWidth="1"/>
    <col min="11013" max="11013" width="15.8888888888889" customWidth="1"/>
    <col min="11014" max="11014" width="14.1111111111111" customWidth="1"/>
    <col min="11015" max="11017" width="14.6666666666667" customWidth="1"/>
    <col min="11018" max="11018" width="16.6666666666667" customWidth="1"/>
    <col min="11019" max="11019" width="18" customWidth="1"/>
    <col min="11265" max="11265" width="58.3333333333333" customWidth="1"/>
    <col min="11266" max="11267" width="18.1111111111111" customWidth="1"/>
    <col min="11268" max="11268" width="16.6666666666667" customWidth="1"/>
    <col min="11269" max="11269" width="15.8888888888889" customWidth="1"/>
    <col min="11270" max="11270" width="14.1111111111111" customWidth="1"/>
    <col min="11271" max="11273" width="14.6666666666667" customWidth="1"/>
    <col min="11274" max="11274" width="16.6666666666667" customWidth="1"/>
    <col min="11275" max="11275" width="18" customWidth="1"/>
    <col min="11521" max="11521" width="58.3333333333333" customWidth="1"/>
    <col min="11522" max="11523" width="18.1111111111111" customWidth="1"/>
    <col min="11524" max="11524" width="16.6666666666667" customWidth="1"/>
    <col min="11525" max="11525" width="15.8888888888889" customWidth="1"/>
    <col min="11526" max="11526" width="14.1111111111111" customWidth="1"/>
    <col min="11527" max="11529" width="14.6666666666667" customWidth="1"/>
    <col min="11530" max="11530" width="16.6666666666667" customWidth="1"/>
    <col min="11531" max="11531" width="18" customWidth="1"/>
    <col min="11777" max="11777" width="58.3333333333333" customWidth="1"/>
    <col min="11778" max="11779" width="18.1111111111111" customWidth="1"/>
    <col min="11780" max="11780" width="16.6666666666667" customWidth="1"/>
    <col min="11781" max="11781" width="15.8888888888889" customWidth="1"/>
    <col min="11782" max="11782" width="14.1111111111111" customWidth="1"/>
    <col min="11783" max="11785" width="14.6666666666667" customWidth="1"/>
    <col min="11786" max="11786" width="16.6666666666667" customWidth="1"/>
    <col min="11787" max="11787" width="18" customWidth="1"/>
    <col min="12033" max="12033" width="58.3333333333333" customWidth="1"/>
    <col min="12034" max="12035" width="18.1111111111111" customWidth="1"/>
    <col min="12036" max="12036" width="16.6666666666667" customWidth="1"/>
    <col min="12037" max="12037" width="15.8888888888889" customWidth="1"/>
    <col min="12038" max="12038" width="14.1111111111111" customWidth="1"/>
    <col min="12039" max="12041" width="14.6666666666667" customWidth="1"/>
    <col min="12042" max="12042" width="16.6666666666667" customWidth="1"/>
    <col min="12043" max="12043" width="18" customWidth="1"/>
    <col min="12289" max="12289" width="58.3333333333333" customWidth="1"/>
    <col min="12290" max="12291" width="18.1111111111111" customWidth="1"/>
    <col min="12292" max="12292" width="16.6666666666667" customWidth="1"/>
    <col min="12293" max="12293" width="15.8888888888889" customWidth="1"/>
    <col min="12294" max="12294" width="14.1111111111111" customWidth="1"/>
    <col min="12295" max="12297" width="14.6666666666667" customWidth="1"/>
    <col min="12298" max="12298" width="16.6666666666667" customWidth="1"/>
    <col min="12299" max="12299" width="18" customWidth="1"/>
    <col min="12545" max="12545" width="58.3333333333333" customWidth="1"/>
    <col min="12546" max="12547" width="18.1111111111111" customWidth="1"/>
    <col min="12548" max="12548" width="16.6666666666667" customWidth="1"/>
    <col min="12549" max="12549" width="15.8888888888889" customWidth="1"/>
    <col min="12550" max="12550" width="14.1111111111111" customWidth="1"/>
    <col min="12551" max="12553" width="14.6666666666667" customWidth="1"/>
    <col min="12554" max="12554" width="16.6666666666667" customWidth="1"/>
    <col min="12555" max="12555" width="18" customWidth="1"/>
    <col min="12801" max="12801" width="58.3333333333333" customWidth="1"/>
    <col min="12802" max="12803" width="18.1111111111111" customWidth="1"/>
    <col min="12804" max="12804" width="16.6666666666667" customWidth="1"/>
    <col min="12805" max="12805" width="15.8888888888889" customWidth="1"/>
    <col min="12806" max="12806" width="14.1111111111111" customWidth="1"/>
    <col min="12807" max="12809" width="14.6666666666667" customWidth="1"/>
    <col min="12810" max="12810" width="16.6666666666667" customWidth="1"/>
    <col min="12811" max="12811" width="18" customWidth="1"/>
    <col min="13057" max="13057" width="58.3333333333333" customWidth="1"/>
    <col min="13058" max="13059" width="18.1111111111111" customWidth="1"/>
    <col min="13060" max="13060" width="16.6666666666667" customWidth="1"/>
    <col min="13061" max="13061" width="15.8888888888889" customWidth="1"/>
    <col min="13062" max="13062" width="14.1111111111111" customWidth="1"/>
    <col min="13063" max="13065" width="14.6666666666667" customWidth="1"/>
    <col min="13066" max="13066" width="16.6666666666667" customWidth="1"/>
    <col min="13067" max="13067" width="18" customWidth="1"/>
    <col min="13313" max="13313" width="58.3333333333333" customWidth="1"/>
    <col min="13314" max="13315" width="18.1111111111111" customWidth="1"/>
    <col min="13316" max="13316" width="16.6666666666667" customWidth="1"/>
    <col min="13317" max="13317" width="15.8888888888889" customWidth="1"/>
    <col min="13318" max="13318" width="14.1111111111111" customWidth="1"/>
    <col min="13319" max="13321" width="14.6666666666667" customWidth="1"/>
    <col min="13322" max="13322" width="16.6666666666667" customWidth="1"/>
    <col min="13323" max="13323" width="18" customWidth="1"/>
    <col min="13569" max="13569" width="58.3333333333333" customWidth="1"/>
    <col min="13570" max="13571" width="18.1111111111111" customWidth="1"/>
    <col min="13572" max="13572" width="16.6666666666667" customWidth="1"/>
    <col min="13573" max="13573" width="15.8888888888889" customWidth="1"/>
    <col min="13574" max="13574" width="14.1111111111111" customWidth="1"/>
    <col min="13575" max="13577" width="14.6666666666667" customWidth="1"/>
    <col min="13578" max="13578" width="16.6666666666667" customWidth="1"/>
    <col min="13579" max="13579" width="18" customWidth="1"/>
    <col min="13825" max="13825" width="58.3333333333333" customWidth="1"/>
    <col min="13826" max="13827" width="18.1111111111111" customWidth="1"/>
    <col min="13828" max="13828" width="16.6666666666667" customWidth="1"/>
    <col min="13829" max="13829" width="15.8888888888889" customWidth="1"/>
    <col min="13830" max="13830" width="14.1111111111111" customWidth="1"/>
    <col min="13831" max="13833" width="14.6666666666667" customWidth="1"/>
    <col min="13834" max="13834" width="16.6666666666667" customWidth="1"/>
    <col min="13835" max="13835" width="18" customWidth="1"/>
    <col min="14081" max="14081" width="58.3333333333333" customWidth="1"/>
    <col min="14082" max="14083" width="18.1111111111111" customWidth="1"/>
    <col min="14084" max="14084" width="16.6666666666667" customWidth="1"/>
    <col min="14085" max="14085" width="15.8888888888889" customWidth="1"/>
    <col min="14086" max="14086" width="14.1111111111111" customWidth="1"/>
    <col min="14087" max="14089" width="14.6666666666667" customWidth="1"/>
    <col min="14090" max="14090" width="16.6666666666667" customWidth="1"/>
    <col min="14091" max="14091" width="18" customWidth="1"/>
    <col min="14337" max="14337" width="58.3333333333333" customWidth="1"/>
    <col min="14338" max="14339" width="18.1111111111111" customWidth="1"/>
    <col min="14340" max="14340" width="16.6666666666667" customWidth="1"/>
    <col min="14341" max="14341" width="15.8888888888889" customWidth="1"/>
    <col min="14342" max="14342" width="14.1111111111111" customWidth="1"/>
    <col min="14343" max="14345" width="14.6666666666667" customWidth="1"/>
    <col min="14346" max="14346" width="16.6666666666667" customWidth="1"/>
    <col min="14347" max="14347" width="18" customWidth="1"/>
    <col min="14593" max="14593" width="58.3333333333333" customWidth="1"/>
    <col min="14594" max="14595" width="18.1111111111111" customWidth="1"/>
    <col min="14596" max="14596" width="16.6666666666667" customWidth="1"/>
    <col min="14597" max="14597" width="15.8888888888889" customWidth="1"/>
    <col min="14598" max="14598" width="14.1111111111111" customWidth="1"/>
    <col min="14599" max="14601" width="14.6666666666667" customWidth="1"/>
    <col min="14602" max="14602" width="16.6666666666667" customWidth="1"/>
    <col min="14603" max="14603" width="18" customWidth="1"/>
    <col min="14849" max="14849" width="58.3333333333333" customWidth="1"/>
    <col min="14850" max="14851" width="18.1111111111111" customWidth="1"/>
    <col min="14852" max="14852" width="16.6666666666667" customWidth="1"/>
    <col min="14853" max="14853" width="15.8888888888889" customWidth="1"/>
    <col min="14854" max="14854" width="14.1111111111111" customWidth="1"/>
    <col min="14855" max="14857" width="14.6666666666667" customWidth="1"/>
    <col min="14858" max="14858" width="16.6666666666667" customWidth="1"/>
    <col min="14859" max="14859" width="18" customWidth="1"/>
    <col min="15105" max="15105" width="58.3333333333333" customWidth="1"/>
    <col min="15106" max="15107" width="18.1111111111111" customWidth="1"/>
    <col min="15108" max="15108" width="16.6666666666667" customWidth="1"/>
    <col min="15109" max="15109" width="15.8888888888889" customWidth="1"/>
    <col min="15110" max="15110" width="14.1111111111111" customWidth="1"/>
    <col min="15111" max="15113" width="14.6666666666667" customWidth="1"/>
    <col min="15114" max="15114" width="16.6666666666667" customWidth="1"/>
    <col min="15115" max="15115" width="18" customWidth="1"/>
    <col min="15361" max="15361" width="58.3333333333333" customWidth="1"/>
    <col min="15362" max="15363" width="18.1111111111111" customWidth="1"/>
    <col min="15364" max="15364" width="16.6666666666667" customWidth="1"/>
    <col min="15365" max="15365" width="15.8888888888889" customWidth="1"/>
    <col min="15366" max="15366" width="14.1111111111111" customWidth="1"/>
    <col min="15367" max="15369" width="14.6666666666667" customWidth="1"/>
    <col min="15370" max="15370" width="16.6666666666667" customWidth="1"/>
    <col min="15371" max="15371" width="18" customWidth="1"/>
    <col min="15617" max="15617" width="58.3333333333333" customWidth="1"/>
    <col min="15618" max="15619" width="18.1111111111111" customWidth="1"/>
    <col min="15620" max="15620" width="16.6666666666667" customWidth="1"/>
    <col min="15621" max="15621" width="15.8888888888889" customWidth="1"/>
    <col min="15622" max="15622" width="14.1111111111111" customWidth="1"/>
    <col min="15623" max="15625" width="14.6666666666667" customWidth="1"/>
    <col min="15626" max="15626" width="16.6666666666667" customWidth="1"/>
    <col min="15627" max="15627" width="18" customWidth="1"/>
    <col min="15873" max="15873" width="58.3333333333333" customWidth="1"/>
    <col min="15874" max="15875" width="18.1111111111111" customWidth="1"/>
    <col min="15876" max="15876" width="16.6666666666667" customWidth="1"/>
    <col min="15877" max="15877" width="15.8888888888889" customWidth="1"/>
    <col min="15878" max="15878" width="14.1111111111111" customWidth="1"/>
    <col min="15879" max="15881" width="14.6666666666667" customWidth="1"/>
    <col min="15882" max="15882" width="16.6666666666667" customWidth="1"/>
    <col min="15883" max="15883" width="18" customWidth="1"/>
    <col min="16129" max="16129" width="58.3333333333333" customWidth="1"/>
    <col min="16130" max="16131" width="18.1111111111111" customWidth="1"/>
    <col min="16132" max="16132" width="16.6666666666667" customWidth="1"/>
    <col min="16133" max="16133" width="15.8888888888889" customWidth="1"/>
    <col min="16134" max="16134" width="14.1111111111111" customWidth="1"/>
    <col min="16135" max="16137" width="14.6666666666667" customWidth="1"/>
    <col min="16138" max="16138" width="16.6666666666667" customWidth="1"/>
    <col min="16139" max="16139" width="18" customWidth="1"/>
  </cols>
  <sheetData>
    <row r="1" ht="21" spans="1:11">
      <c r="A1" s="6" t="s">
        <v>0</v>
      </c>
      <c r="K1" s="58"/>
    </row>
    <row r="2" spans="1:11">
      <c r="A2" s="7"/>
      <c r="K2" s="58"/>
    </row>
    <row r="3" ht="11.25" customHeight="1" spans="1:11">
      <c r="A3" s="7"/>
      <c r="K3" s="58"/>
    </row>
    <row r="4" s="1" customFormat="1" ht="17.4" spans="1:11">
      <c r="A4" s="8" t="s">
        <v>1</v>
      </c>
      <c r="K4" s="59" t="s">
        <v>2</v>
      </c>
    </row>
    <row r="5" ht="20.1" customHeight="1" spans="1:11">
      <c r="A5" s="9" t="s">
        <v>3</v>
      </c>
      <c r="B5" s="10" t="s">
        <v>4</v>
      </c>
      <c r="C5" s="11"/>
      <c r="D5" s="11"/>
      <c r="E5" s="11"/>
      <c r="F5" s="11"/>
      <c r="G5" s="11"/>
      <c r="H5" s="11"/>
      <c r="I5" s="11"/>
      <c r="J5" s="11"/>
      <c r="K5" s="60" t="s">
        <v>5</v>
      </c>
    </row>
    <row r="6" ht="87" customHeight="1" spans="1:18">
      <c r="A6" s="12"/>
      <c r="B6" s="13" t="s">
        <v>6</v>
      </c>
      <c r="C6" s="13" t="s">
        <v>7</v>
      </c>
      <c r="D6" s="13" t="s">
        <v>8</v>
      </c>
      <c r="E6" s="13" t="s">
        <v>9</v>
      </c>
      <c r="F6" s="13" t="s">
        <v>10</v>
      </c>
      <c r="G6" s="13" t="s">
        <v>11</v>
      </c>
      <c r="H6" s="13" t="s">
        <v>12</v>
      </c>
      <c r="I6" s="13" t="s">
        <v>13</v>
      </c>
      <c r="J6" s="13" t="s">
        <v>14</v>
      </c>
      <c r="K6" s="61"/>
      <c r="L6" s="62"/>
      <c r="M6" s="62"/>
      <c r="N6" s="62"/>
      <c r="O6" s="62"/>
      <c r="P6" s="62"/>
      <c r="Q6" s="62"/>
      <c r="R6" s="62"/>
    </row>
    <row r="7" ht="20.1" customHeight="1" spans="1:11">
      <c r="A7" s="14" t="s">
        <v>15</v>
      </c>
      <c r="B7" s="15"/>
      <c r="C7" s="15"/>
      <c r="D7" s="15"/>
      <c r="E7" s="15"/>
      <c r="F7" s="15"/>
      <c r="G7" s="15"/>
      <c r="H7" s="15"/>
      <c r="I7" s="15"/>
      <c r="J7" s="15"/>
      <c r="K7" s="15"/>
    </row>
    <row r="8" ht="20.1" customHeight="1" spans="1:11">
      <c r="A8" s="16" t="s">
        <v>16</v>
      </c>
      <c r="B8" s="17">
        <v>864182</v>
      </c>
      <c r="C8" s="17">
        <v>318304</v>
      </c>
      <c r="D8" s="17">
        <v>14612</v>
      </c>
      <c r="E8" s="17">
        <v>17776</v>
      </c>
      <c r="F8" s="17">
        <v>903</v>
      </c>
      <c r="G8" s="17">
        <v>0</v>
      </c>
      <c r="H8" s="17">
        <v>0</v>
      </c>
      <c r="I8" s="17">
        <v>4433</v>
      </c>
      <c r="J8" s="17">
        <v>1459553</v>
      </c>
      <c r="K8" s="63">
        <f>SUM(B8:J8)</f>
        <v>2679763</v>
      </c>
    </row>
    <row r="9" ht="20.1" customHeight="1" spans="1:11">
      <c r="A9" s="18" t="s">
        <v>17</v>
      </c>
      <c r="B9" s="19">
        <v>86491</v>
      </c>
      <c r="C9" s="19">
        <v>137751</v>
      </c>
      <c r="D9" s="19">
        <v>121</v>
      </c>
      <c r="E9" s="19">
        <v>33064</v>
      </c>
      <c r="F9" s="19">
        <v>445</v>
      </c>
      <c r="G9" s="19">
        <v>720</v>
      </c>
      <c r="H9" s="19">
        <v>0</v>
      </c>
      <c r="I9" s="19">
        <v>6</v>
      </c>
      <c r="J9" s="19">
        <v>12937</v>
      </c>
      <c r="K9" s="64">
        <f t="shared" ref="K9:K41" si="0">SUM(B9:J9)</f>
        <v>271535</v>
      </c>
    </row>
    <row r="10" ht="20.1" customHeight="1" spans="1:11">
      <c r="A10" s="16" t="s">
        <v>18</v>
      </c>
      <c r="B10" s="17">
        <v>2283</v>
      </c>
      <c r="C10" s="17">
        <v>7811</v>
      </c>
      <c r="D10" s="17">
        <v>1112</v>
      </c>
      <c r="E10" s="17">
        <v>122</v>
      </c>
      <c r="F10" s="17">
        <v>100</v>
      </c>
      <c r="G10" s="17">
        <v>0</v>
      </c>
      <c r="H10" s="17">
        <v>0</v>
      </c>
      <c r="I10" s="17">
        <v>109</v>
      </c>
      <c r="J10" s="17">
        <v>0</v>
      </c>
      <c r="K10" s="63">
        <f t="shared" si="0"/>
        <v>11537</v>
      </c>
    </row>
    <row r="11" ht="20.1" customHeight="1" spans="1:11">
      <c r="A11" s="18" t="s">
        <v>19</v>
      </c>
      <c r="B11" s="19">
        <v>883</v>
      </c>
      <c r="C11" s="19">
        <v>787</v>
      </c>
      <c r="D11" s="19">
        <v>118</v>
      </c>
      <c r="E11" s="19">
        <v>206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65">
        <f t="shared" si="0"/>
        <v>1994</v>
      </c>
    </row>
    <row r="12" ht="20.1" customHeight="1" spans="1:11">
      <c r="A12" s="16" t="s">
        <v>20</v>
      </c>
      <c r="B12" s="17">
        <v>508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63">
        <f t="shared" si="0"/>
        <v>508</v>
      </c>
    </row>
    <row r="13" ht="20.1" customHeight="1" spans="1:11">
      <c r="A13" s="18" t="s">
        <v>21</v>
      </c>
      <c r="B13" s="19">
        <v>2969</v>
      </c>
      <c r="C13" s="19">
        <v>214</v>
      </c>
      <c r="D13" s="19">
        <v>60</v>
      </c>
      <c r="E13" s="19">
        <v>653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64">
        <f t="shared" si="0"/>
        <v>3896</v>
      </c>
    </row>
    <row r="14" ht="20.1" customHeight="1" spans="1:11">
      <c r="A14" s="16" t="s">
        <v>22</v>
      </c>
      <c r="B14" s="17">
        <v>1467</v>
      </c>
      <c r="C14" s="17">
        <v>8346</v>
      </c>
      <c r="D14" s="17">
        <v>2373</v>
      </c>
      <c r="E14" s="17">
        <v>1767</v>
      </c>
      <c r="F14" s="17">
        <v>20</v>
      </c>
      <c r="G14" s="17">
        <v>0</v>
      </c>
      <c r="H14" s="17">
        <v>0</v>
      </c>
      <c r="I14" s="17">
        <v>1462</v>
      </c>
      <c r="J14" s="17">
        <v>26</v>
      </c>
      <c r="K14" s="63">
        <f t="shared" si="0"/>
        <v>15461</v>
      </c>
    </row>
    <row r="15" ht="20.1" customHeight="1" spans="1:11">
      <c r="A15" s="18" t="s">
        <v>23</v>
      </c>
      <c r="B15" s="19">
        <v>207</v>
      </c>
      <c r="C15" s="19">
        <v>0</v>
      </c>
      <c r="D15" s="19">
        <v>28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64">
        <f t="shared" si="0"/>
        <v>235</v>
      </c>
    </row>
    <row r="16" ht="20.1" customHeight="1" spans="1:11">
      <c r="A16" s="16" t="s">
        <v>24</v>
      </c>
      <c r="B16" s="17"/>
      <c r="C16" s="17"/>
      <c r="D16" s="17"/>
      <c r="E16" s="17"/>
      <c r="F16" s="17"/>
      <c r="G16" s="17"/>
      <c r="H16" s="17"/>
      <c r="I16" s="17"/>
      <c r="J16" s="17"/>
      <c r="K16" s="63"/>
    </row>
    <row r="17" ht="20.1" customHeight="1" spans="1:11">
      <c r="A17" s="20" t="s">
        <v>25</v>
      </c>
      <c r="B17" s="19">
        <v>125</v>
      </c>
      <c r="C17" s="19">
        <v>3811</v>
      </c>
      <c r="D17" s="19">
        <v>229</v>
      </c>
      <c r="E17" s="19">
        <v>193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64">
        <f t="shared" si="0"/>
        <v>4358</v>
      </c>
    </row>
    <row r="18" ht="20.1" customHeight="1" spans="1:11">
      <c r="A18" s="21" t="s">
        <v>26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63">
        <f t="shared" si="0"/>
        <v>0</v>
      </c>
    </row>
    <row r="19" ht="20.1" customHeight="1" spans="1:11">
      <c r="A19" s="20" t="s">
        <v>27</v>
      </c>
      <c r="B19" s="19">
        <v>158</v>
      </c>
      <c r="C19" s="19">
        <v>0</v>
      </c>
      <c r="D19" s="19">
        <v>36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64">
        <f t="shared" si="0"/>
        <v>194</v>
      </c>
    </row>
    <row r="20" s="2" customFormat="1" ht="20.1" customHeight="1" spans="1:11">
      <c r="A20" s="16" t="s">
        <v>28</v>
      </c>
      <c r="B20" s="17">
        <v>285</v>
      </c>
      <c r="C20" s="17">
        <v>380</v>
      </c>
      <c r="D20" s="17">
        <v>4</v>
      </c>
      <c r="E20" s="17">
        <v>0</v>
      </c>
      <c r="F20" s="17">
        <v>13</v>
      </c>
      <c r="G20" s="17">
        <v>0</v>
      </c>
      <c r="H20" s="17">
        <v>0</v>
      </c>
      <c r="I20" s="17">
        <v>9</v>
      </c>
      <c r="J20" s="17">
        <v>0</v>
      </c>
      <c r="K20" s="63">
        <f t="shared" si="0"/>
        <v>691</v>
      </c>
    </row>
    <row r="21" ht="20.1" customHeight="1" spans="1:11">
      <c r="A21" s="18" t="s">
        <v>29</v>
      </c>
      <c r="B21" s="19">
        <v>565</v>
      </c>
      <c r="C21" s="19">
        <v>0</v>
      </c>
      <c r="D21" s="19">
        <v>68</v>
      </c>
      <c r="E21" s="19">
        <v>162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64">
        <f t="shared" si="0"/>
        <v>795</v>
      </c>
    </row>
    <row r="22" ht="20.1" customHeight="1" spans="1:11">
      <c r="A22" s="22" t="s">
        <v>30</v>
      </c>
      <c r="B22" s="17">
        <v>144</v>
      </c>
      <c r="C22" s="17">
        <v>0</v>
      </c>
      <c r="D22" s="17">
        <v>308</v>
      </c>
      <c r="E22" s="17">
        <v>0</v>
      </c>
      <c r="F22" s="17">
        <v>0</v>
      </c>
      <c r="G22" s="17">
        <v>0</v>
      </c>
      <c r="H22" s="17">
        <v>0</v>
      </c>
      <c r="I22" s="17">
        <v>7928</v>
      </c>
      <c r="J22" s="17">
        <v>0</v>
      </c>
      <c r="K22" s="63">
        <f t="shared" si="0"/>
        <v>8380</v>
      </c>
    </row>
    <row r="23" ht="20.1" customHeight="1" spans="1:11">
      <c r="A23" s="18" t="s">
        <v>31</v>
      </c>
      <c r="B23" s="19">
        <v>1371</v>
      </c>
      <c r="C23" s="19">
        <v>908</v>
      </c>
      <c r="D23" s="19">
        <v>1976</v>
      </c>
      <c r="E23" s="19">
        <v>24</v>
      </c>
      <c r="F23" s="19">
        <v>0</v>
      </c>
      <c r="G23" s="19">
        <v>0</v>
      </c>
      <c r="H23" s="19">
        <v>0</v>
      </c>
      <c r="I23" s="19">
        <v>0</v>
      </c>
      <c r="J23" s="19">
        <v>61</v>
      </c>
      <c r="K23" s="64">
        <f t="shared" si="0"/>
        <v>4340</v>
      </c>
    </row>
    <row r="24" ht="20.1" customHeight="1" spans="1:11">
      <c r="A24" s="16" t="s">
        <v>32</v>
      </c>
      <c r="B24" s="17">
        <v>113</v>
      </c>
      <c r="C24" s="17">
        <v>5</v>
      </c>
      <c r="D24" s="17">
        <v>2</v>
      </c>
      <c r="E24" s="17">
        <v>7</v>
      </c>
      <c r="F24" s="17">
        <v>0</v>
      </c>
      <c r="G24" s="17">
        <v>0</v>
      </c>
      <c r="H24" s="17">
        <v>0</v>
      </c>
      <c r="I24" s="17">
        <v>69</v>
      </c>
      <c r="J24" s="17">
        <v>0</v>
      </c>
      <c r="K24" s="63">
        <f t="shared" si="0"/>
        <v>196</v>
      </c>
    </row>
    <row r="25" ht="20.1" customHeight="1" spans="1:11">
      <c r="A25" s="18" t="s">
        <v>33</v>
      </c>
      <c r="B25" s="19">
        <v>4306</v>
      </c>
      <c r="C25" s="19">
        <v>699</v>
      </c>
      <c r="D25" s="19">
        <v>1263</v>
      </c>
      <c r="E25" s="19">
        <v>82</v>
      </c>
      <c r="F25" s="19">
        <v>0</v>
      </c>
      <c r="G25" s="19">
        <v>0</v>
      </c>
      <c r="H25" s="19">
        <v>0</v>
      </c>
      <c r="I25" s="19">
        <v>31183</v>
      </c>
      <c r="J25" s="19">
        <v>181</v>
      </c>
      <c r="K25" s="64">
        <f t="shared" si="0"/>
        <v>37714</v>
      </c>
    </row>
    <row r="26" ht="20.1" customHeight="1" spans="1:11">
      <c r="A26" s="16" t="s">
        <v>34</v>
      </c>
      <c r="B26" s="17">
        <v>3410</v>
      </c>
      <c r="C26" s="17">
        <v>0</v>
      </c>
      <c r="D26" s="17">
        <v>1551</v>
      </c>
      <c r="E26" s="17">
        <v>21</v>
      </c>
      <c r="F26" s="17">
        <v>0</v>
      </c>
      <c r="G26" s="17">
        <v>0</v>
      </c>
      <c r="H26" s="17">
        <v>0</v>
      </c>
      <c r="I26" s="17">
        <v>120</v>
      </c>
      <c r="J26" s="17">
        <v>0</v>
      </c>
      <c r="K26" s="63">
        <f t="shared" si="0"/>
        <v>5102</v>
      </c>
    </row>
    <row r="27" ht="20.1" customHeight="1" spans="1:11">
      <c r="A27" s="18" t="s">
        <v>35</v>
      </c>
      <c r="B27" s="19">
        <v>50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64">
        <f t="shared" si="0"/>
        <v>50</v>
      </c>
    </row>
    <row r="28" ht="20.1" customHeight="1" spans="1:11">
      <c r="A28" s="16" t="s">
        <v>36</v>
      </c>
      <c r="B28" s="17">
        <v>257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63">
        <f t="shared" si="0"/>
        <v>257</v>
      </c>
    </row>
    <row r="29" ht="20.1" customHeight="1" spans="1:11">
      <c r="A29" s="23" t="s">
        <v>37</v>
      </c>
      <c r="B29" s="24">
        <v>12</v>
      </c>
      <c r="C29" s="24">
        <v>0</v>
      </c>
      <c r="D29" s="24">
        <v>0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66">
        <f t="shared" si="0"/>
        <v>12</v>
      </c>
    </row>
    <row r="30" ht="23" customHeight="1" spans="1:11">
      <c r="A30" s="25" t="s">
        <v>38</v>
      </c>
      <c r="B30" s="26"/>
      <c r="C30" s="26"/>
      <c r="D30" s="26"/>
      <c r="E30" s="26"/>
      <c r="F30" s="26"/>
      <c r="G30" s="26"/>
      <c r="H30" s="26"/>
      <c r="I30" s="26"/>
      <c r="J30" s="26"/>
      <c r="K30" s="64"/>
    </row>
    <row r="31" ht="21" customHeight="1" spans="1:11">
      <c r="A31" s="27" t="s">
        <v>39</v>
      </c>
      <c r="B31" s="28">
        <v>0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63">
        <f>SUM(B31:J31)</f>
        <v>0</v>
      </c>
    </row>
    <row r="32" ht="20" customHeight="1" spans="1:11">
      <c r="A32" s="29" t="s">
        <v>40</v>
      </c>
      <c r="B32" s="30"/>
      <c r="C32" s="30"/>
      <c r="D32" s="30"/>
      <c r="E32" s="30"/>
      <c r="F32" s="30"/>
      <c r="G32" s="30"/>
      <c r="H32" s="30"/>
      <c r="I32" s="30"/>
      <c r="J32" s="30"/>
      <c r="K32" s="64"/>
    </row>
    <row r="33" s="1" customFormat="1" ht="17.4" spans="1:11">
      <c r="A33" s="27" t="s">
        <v>41</v>
      </c>
      <c r="B33" s="28">
        <v>154</v>
      </c>
      <c r="C33" s="28">
        <v>197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63">
        <f>SUM(B33:J33)</f>
        <v>351</v>
      </c>
    </row>
    <row r="34" ht="20.1" customHeight="1" spans="1:11">
      <c r="A34" s="31" t="s">
        <v>42</v>
      </c>
      <c r="B34" s="30">
        <v>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67">
        <f>SUM(B34:J34)</f>
        <v>0</v>
      </c>
    </row>
    <row r="35" ht="25" customHeight="1" spans="1:11">
      <c r="A35" s="32" t="s">
        <v>43</v>
      </c>
      <c r="B35" s="28">
        <v>0</v>
      </c>
      <c r="C35" s="28">
        <v>0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63">
        <f>SUM(B35:J35)</f>
        <v>0</v>
      </c>
    </row>
    <row r="36" s="2" customFormat="1" ht="20.1" customHeight="1" spans="1:11">
      <c r="A36" s="33" t="s">
        <v>44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</row>
    <row r="37" s="2" customFormat="1" ht="20.1" customHeight="1" spans="1:11">
      <c r="A37" s="27" t="s">
        <v>45</v>
      </c>
      <c r="B37" s="28">
        <v>177</v>
      </c>
      <c r="C37" s="28">
        <v>1652</v>
      </c>
      <c r="D37" s="28">
        <v>0</v>
      </c>
      <c r="E37" s="28">
        <v>287</v>
      </c>
      <c r="F37" s="28">
        <v>0</v>
      </c>
      <c r="G37" s="28">
        <v>0</v>
      </c>
      <c r="H37" s="28">
        <v>0</v>
      </c>
      <c r="I37" s="28">
        <v>8</v>
      </c>
      <c r="J37" s="28">
        <v>0</v>
      </c>
      <c r="K37" s="68">
        <f>SUM(B37:J37)</f>
        <v>2124</v>
      </c>
    </row>
    <row r="38" s="2" customFormat="1" ht="20.1" customHeight="1" spans="1:11">
      <c r="A38" s="35" t="s">
        <v>46</v>
      </c>
      <c r="B38" s="36">
        <v>0</v>
      </c>
      <c r="C38" s="36">
        <v>0</v>
      </c>
      <c r="D38" s="36">
        <v>0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64">
        <f t="shared" ref="K38:K43" si="1">SUM(B38:J38)</f>
        <v>0</v>
      </c>
    </row>
    <row r="39" s="2" customFormat="1" ht="20.1" customHeight="1" spans="1:11">
      <c r="A39" s="37" t="s">
        <v>47</v>
      </c>
      <c r="B39" s="28">
        <v>0</v>
      </c>
      <c r="C39" s="28">
        <v>0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68">
        <f t="shared" si="1"/>
        <v>0</v>
      </c>
    </row>
    <row r="40" s="2" customFormat="1" ht="20.1" customHeight="1" spans="1:11">
      <c r="A40" s="33" t="s">
        <v>48</v>
      </c>
      <c r="B40" s="36"/>
      <c r="C40" s="36"/>
      <c r="D40" s="36"/>
      <c r="E40" s="36"/>
      <c r="F40" s="36"/>
      <c r="G40" s="36"/>
      <c r="H40" s="36"/>
      <c r="I40" s="36"/>
      <c r="J40" s="36"/>
      <c r="K40" s="69"/>
    </row>
    <row r="41" s="3" customFormat="1" ht="20.1" customHeight="1" spans="1:11">
      <c r="A41" s="27" t="s">
        <v>49</v>
      </c>
      <c r="B41" s="28">
        <v>0</v>
      </c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68">
        <f t="shared" si="1"/>
        <v>0</v>
      </c>
    </row>
    <row r="42" ht="20.1" customHeight="1" spans="1:11">
      <c r="A42" s="35" t="s">
        <v>50</v>
      </c>
      <c r="B42" s="36">
        <v>0</v>
      </c>
      <c r="C42" s="36">
        <v>0</v>
      </c>
      <c r="D42" s="36">
        <v>0</v>
      </c>
      <c r="E42" s="36">
        <v>0</v>
      </c>
      <c r="F42" s="36">
        <v>0</v>
      </c>
      <c r="G42" s="36">
        <v>0</v>
      </c>
      <c r="H42" s="36">
        <v>0</v>
      </c>
      <c r="I42" s="36">
        <v>0</v>
      </c>
      <c r="J42" s="36">
        <v>0</v>
      </c>
      <c r="K42" s="64">
        <f t="shared" si="1"/>
        <v>0</v>
      </c>
    </row>
    <row r="43" ht="20.1" customHeight="1" spans="1:11">
      <c r="A43" s="38" t="s">
        <v>51</v>
      </c>
      <c r="B43" s="28">
        <v>525</v>
      </c>
      <c r="C43" s="28">
        <v>0</v>
      </c>
      <c r="D43" s="28">
        <v>20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68">
        <f t="shared" si="1"/>
        <v>545</v>
      </c>
    </row>
    <row r="44" ht="20.1" customHeight="1" spans="1:11">
      <c r="A44" s="14" t="s">
        <v>52</v>
      </c>
      <c r="B44" s="36"/>
      <c r="C44" s="36"/>
      <c r="D44" s="36"/>
      <c r="E44" s="36"/>
      <c r="F44" s="36"/>
      <c r="G44" s="36"/>
      <c r="H44" s="36"/>
      <c r="I44" s="36"/>
      <c r="J44" s="36"/>
      <c r="K44" s="69"/>
    </row>
    <row r="45" ht="20.1" customHeight="1" spans="1:11">
      <c r="A45" s="27" t="s">
        <v>53</v>
      </c>
      <c r="B45" s="28">
        <v>6234</v>
      </c>
      <c r="C45" s="28">
        <v>28</v>
      </c>
      <c r="D45" s="28">
        <v>140529</v>
      </c>
      <c r="E45" s="28">
        <v>274</v>
      </c>
      <c r="F45" s="28">
        <v>0</v>
      </c>
      <c r="G45" s="28">
        <v>0</v>
      </c>
      <c r="H45" s="28">
        <v>0</v>
      </c>
      <c r="I45" s="28">
        <v>1377</v>
      </c>
      <c r="J45" s="28">
        <v>602</v>
      </c>
      <c r="K45" s="68">
        <f>SUM(B45:J45)</f>
        <v>149044</v>
      </c>
    </row>
    <row r="46" ht="20.1" customHeight="1" spans="1:11">
      <c r="A46" s="35" t="s">
        <v>54</v>
      </c>
      <c r="B46" s="36">
        <v>460</v>
      </c>
      <c r="C46" s="36">
        <v>171</v>
      </c>
      <c r="D46" s="36">
        <v>2628</v>
      </c>
      <c r="E46" s="36">
        <v>0</v>
      </c>
      <c r="F46" s="36">
        <v>0</v>
      </c>
      <c r="G46" s="36">
        <v>0</v>
      </c>
      <c r="H46" s="36">
        <v>0</v>
      </c>
      <c r="I46" s="36">
        <v>150</v>
      </c>
      <c r="J46" s="36">
        <v>0</v>
      </c>
      <c r="K46" s="69">
        <f t="shared" ref="K46:K53" si="2">SUM(B46:J46)</f>
        <v>3409</v>
      </c>
    </row>
    <row r="47" ht="20.1" customHeight="1" spans="1:11">
      <c r="A47" s="27" t="s">
        <v>55</v>
      </c>
      <c r="B47" s="28">
        <v>34</v>
      </c>
      <c r="C47" s="28">
        <v>0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68">
        <f t="shared" si="2"/>
        <v>34</v>
      </c>
    </row>
    <row r="48" ht="20.1" customHeight="1" spans="1:11">
      <c r="A48" s="35" t="s">
        <v>56</v>
      </c>
      <c r="B48" s="36">
        <v>131</v>
      </c>
      <c r="C48" s="36">
        <v>0</v>
      </c>
      <c r="D48" s="36">
        <v>0</v>
      </c>
      <c r="E48" s="36">
        <v>752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69">
        <f t="shared" si="2"/>
        <v>883</v>
      </c>
    </row>
    <row r="49" ht="20.1" customHeight="1" spans="1:11">
      <c r="A49" s="27" t="s">
        <v>57</v>
      </c>
      <c r="B49" s="28">
        <v>6680</v>
      </c>
      <c r="C49" s="28">
        <v>0</v>
      </c>
      <c r="D49" s="28">
        <v>0</v>
      </c>
      <c r="E49" s="28">
        <v>2099</v>
      </c>
      <c r="F49" s="28">
        <v>0</v>
      </c>
      <c r="G49" s="28">
        <v>0</v>
      </c>
      <c r="H49" s="28">
        <v>0</v>
      </c>
      <c r="I49" s="28">
        <v>469</v>
      </c>
      <c r="J49" s="28">
        <v>0</v>
      </c>
      <c r="K49" s="68">
        <f t="shared" si="2"/>
        <v>9248</v>
      </c>
    </row>
    <row r="50" ht="20.1" customHeight="1" spans="1:11">
      <c r="A50" s="39" t="s">
        <v>58</v>
      </c>
      <c r="B50" s="30">
        <v>383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70">
        <f t="shared" si="2"/>
        <v>383</v>
      </c>
    </row>
    <row r="51" ht="20.1" customHeight="1" spans="1:11">
      <c r="A51" s="40" t="s">
        <v>59</v>
      </c>
      <c r="B51" s="28">
        <v>11867</v>
      </c>
      <c r="C51" s="28">
        <v>0</v>
      </c>
      <c r="D51" s="28">
        <v>0</v>
      </c>
      <c r="E51" s="28">
        <v>419</v>
      </c>
      <c r="F51" s="28">
        <v>0</v>
      </c>
      <c r="G51" s="28">
        <v>0</v>
      </c>
      <c r="H51" s="28">
        <v>0</v>
      </c>
      <c r="I51" s="28">
        <v>0</v>
      </c>
      <c r="J51" s="28">
        <v>3629</v>
      </c>
      <c r="K51" s="68">
        <f t="shared" si="2"/>
        <v>15915</v>
      </c>
    </row>
    <row r="52" ht="20.1" customHeight="1" spans="1:11">
      <c r="A52" s="41" t="s">
        <v>60</v>
      </c>
      <c r="B52" s="30">
        <v>342442</v>
      </c>
      <c r="C52" s="30">
        <v>1731</v>
      </c>
      <c r="D52" s="30">
        <v>19975</v>
      </c>
      <c r="E52" s="30">
        <v>58908</v>
      </c>
      <c r="F52" s="30">
        <v>0</v>
      </c>
      <c r="G52" s="30">
        <v>0</v>
      </c>
      <c r="H52" s="30">
        <v>23</v>
      </c>
      <c r="I52" s="30">
        <v>0</v>
      </c>
      <c r="J52" s="30">
        <v>140824</v>
      </c>
      <c r="K52" s="70">
        <f t="shared" si="2"/>
        <v>563903</v>
      </c>
    </row>
    <row r="53" ht="20.1" customHeight="1" spans="1:11">
      <c r="A53" s="42" t="s">
        <v>61</v>
      </c>
      <c r="B53" s="43">
        <v>0</v>
      </c>
      <c r="C53" s="43">
        <v>0</v>
      </c>
      <c r="D53" s="43">
        <v>0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68">
        <f t="shared" si="2"/>
        <v>0</v>
      </c>
    </row>
    <row r="54" ht="20.1" customHeight="1" spans="1:11">
      <c r="A54" s="44" t="s">
        <v>5</v>
      </c>
      <c r="B54" s="45">
        <f>SUM(B8:B35)+SUM(B36:B53)</f>
        <v>1338873</v>
      </c>
      <c r="C54" s="45">
        <f t="shared" ref="C54:K54" si="3">SUM(C7:C35)+SUM(C36:C53)</f>
        <v>482795</v>
      </c>
      <c r="D54" s="45">
        <f t="shared" si="3"/>
        <v>187013</v>
      </c>
      <c r="E54" s="45">
        <f t="shared" si="3"/>
        <v>116816</v>
      </c>
      <c r="F54" s="45">
        <f t="shared" si="3"/>
        <v>1481</v>
      </c>
      <c r="G54" s="45">
        <f t="shared" si="3"/>
        <v>720</v>
      </c>
      <c r="H54" s="45">
        <f t="shared" si="3"/>
        <v>23</v>
      </c>
      <c r="I54" s="45">
        <f t="shared" si="3"/>
        <v>47323</v>
      </c>
      <c r="J54" s="45">
        <f t="shared" si="3"/>
        <v>1617813</v>
      </c>
      <c r="K54" s="45">
        <f t="shared" si="3"/>
        <v>3792857</v>
      </c>
    </row>
    <row r="55" ht="20.1" customHeight="1" spans="1:11">
      <c r="A55" s="46" t="s">
        <v>62</v>
      </c>
      <c r="B55" s="47">
        <f t="shared" ref="B55:K55" si="4">SUM(B54-B58)</f>
        <v>44370</v>
      </c>
      <c r="C55" s="47">
        <f t="shared" si="4"/>
        <v>-40593</v>
      </c>
      <c r="D55" s="47">
        <f t="shared" si="4"/>
        <v>26531</v>
      </c>
      <c r="E55" s="47">
        <f t="shared" si="4"/>
        <v>41019</v>
      </c>
      <c r="F55" s="47">
        <f t="shared" si="4"/>
        <v>-679</v>
      </c>
      <c r="G55" s="47">
        <f t="shared" si="4"/>
        <v>43</v>
      </c>
      <c r="H55" s="47">
        <f t="shared" si="4"/>
        <v>23</v>
      </c>
      <c r="I55" s="47">
        <f t="shared" si="4"/>
        <v>616</v>
      </c>
      <c r="J55" s="47">
        <f t="shared" si="4"/>
        <v>-3199</v>
      </c>
      <c r="K55" s="47">
        <f t="shared" si="4"/>
        <v>68131</v>
      </c>
    </row>
    <row r="56" ht="20.1" customHeight="1" spans="1:11">
      <c r="A56" s="46" t="s">
        <v>63</v>
      </c>
      <c r="B56" s="48">
        <f>(B54-B58)/ABS(B58)</f>
        <v>0.0342757027214305</v>
      </c>
      <c r="C56" s="48">
        <f t="shared" ref="C56:K56" si="5">(C54-C58)/ABS(C58)</f>
        <v>-0.0775581404235481</v>
      </c>
      <c r="D56" s="48">
        <f t="shared" si="5"/>
        <v>0.165320721327002</v>
      </c>
      <c r="E56" s="48">
        <f t="shared" si="5"/>
        <v>0.541169175561038</v>
      </c>
      <c r="F56" s="48">
        <f t="shared" si="5"/>
        <v>-0.314351851851852</v>
      </c>
      <c r="G56" s="48">
        <f t="shared" si="5"/>
        <v>0.0635155096011817</v>
      </c>
      <c r="H56" s="48" t="s">
        <v>64</v>
      </c>
      <c r="I56" s="48">
        <f t="shared" si="5"/>
        <v>0.013188601280322</v>
      </c>
      <c r="J56" s="48">
        <f t="shared" si="5"/>
        <v>-0.00197345855551964</v>
      </c>
      <c r="K56" s="48">
        <f t="shared" si="5"/>
        <v>0.0182915468144502</v>
      </c>
    </row>
    <row r="57" ht="20.1" customHeight="1" spans="1:11">
      <c r="A57" s="46" t="s">
        <v>65</v>
      </c>
      <c r="B57" s="49">
        <f>B54/$K54</f>
        <v>0.35299854436906</v>
      </c>
      <c r="C57" s="49">
        <f t="shared" ref="C57:K57" si="6">C54/$K54</f>
        <v>0.127290588598516</v>
      </c>
      <c r="D57" s="49">
        <f t="shared" si="6"/>
        <v>0.0493066308590068</v>
      </c>
      <c r="E57" s="49">
        <f t="shared" si="6"/>
        <v>0.0307989465460997</v>
      </c>
      <c r="F57" s="50">
        <f t="shared" si="6"/>
        <v>0.000390470824499843</v>
      </c>
      <c r="G57" s="50">
        <f t="shared" si="6"/>
        <v>0.000189830515624502</v>
      </c>
      <c r="H57" s="49">
        <f t="shared" si="6"/>
        <v>6.06403036022713e-6</v>
      </c>
      <c r="I57" s="49">
        <f t="shared" si="6"/>
        <v>0.0124768742929143</v>
      </c>
      <c r="J57" s="49">
        <f t="shared" si="6"/>
        <v>0.426542049963919</v>
      </c>
      <c r="K57" s="49">
        <f t="shared" si="6"/>
        <v>1</v>
      </c>
    </row>
    <row r="58" ht="20.1" customHeight="1" spans="1:11">
      <c r="A58" s="51" t="s">
        <v>66</v>
      </c>
      <c r="B58" s="52">
        <v>1294503</v>
      </c>
      <c r="C58" s="52">
        <v>523388</v>
      </c>
      <c r="D58" s="52">
        <v>160482</v>
      </c>
      <c r="E58" s="52">
        <v>75797</v>
      </c>
      <c r="F58" s="52">
        <v>2160</v>
      </c>
      <c r="G58" s="52">
        <v>677</v>
      </c>
      <c r="H58" s="52">
        <v>0</v>
      </c>
      <c r="I58" s="52">
        <v>46707</v>
      </c>
      <c r="J58" s="52">
        <v>1621012</v>
      </c>
      <c r="K58" s="52">
        <v>3724726</v>
      </c>
    </row>
    <row r="59" s="4" customFormat="1" ht="20.1" customHeight="1" spans="1:11">
      <c r="A59" s="53"/>
      <c r="B59" s="54"/>
      <c r="C59" s="54"/>
      <c r="D59" s="54"/>
      <c r="E59" s="54"/>
      <c r="F59" s="54"/>
      <c r="G59" s="54"/>
      <c r="H59" s="54"/>
      <c r="I59" s="54"/>
      <c r="J59" s="54"/>
      <c r="K59" s="56"/>
    </row>
    <row r="60" s="4" customFormat="1" ht="36.75" customHeight="1" spans="1:11">
      <c r="A60" s="55" t="s">
        <v>67</v>
      </c>
      <c r="B60" s="56"/>
      <c r="C60" s="54"/>
      <c r="D60" s="54"/>
      <c r="E60" s="54"/>
      <c r="F60" s="54"/>
      <c r="G60" s="54"/>
      <c r="H60" s="54"/>
      <c r="I60" s="54"/>
      <c r="J60" s="54"/>
      <c r="K60" s="56"/>
    </row>
    <row r="61" ht="29.25" customHeight="1" spans="1:11">
      <c r="A61" s="54"/>
      <c r="B61" s="54"/>
      <c r="C61" s="54"/>
      <c r="D61" s="54"/>
      <c r="E61" s="57"/>
      <c r="F61" s="54"/>
      <c r="G61" s="54"/>
      <c r="H61" s="54"/>
      <c r="I61" s="54"/>
      <c r="J61" s="54"/>
      <c r="K61" s="56"/>
    </row>
    <row r="62" ht="29.25" customHeight="1" spans="1:1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6"/>
    </row>
    <row r="63" ht="29.25" customHeight="1" spans="1:1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6"/>
    </row>
    <row r="64" ht="24.75" customHeight="1" spans="1:1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6"/>
    </row>
    <row r="65" ht="15" spans="1:1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6"/>
    </row>
    <row r="203" ht="17.4" spans="7:8">
      <c r="G203" s="19"/>
      <c r="H203" s="19"/>
    </row>
  </sheetData>
  <printOptions horizontalCentered="1"/>
  <pageMargins left="0.65" right="0.52" top="0.75" bottom="1" header="0.5" footer="0.5"/>
  <pageSetup paperSize="9" scale="59" fitToHeight="2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吴鹏佐</cp:lastModifiedBy>
  <dcterms:created xsi:type="dcterms:W3CDTF">2024-11-20T08:25:00Z</dcterms:created>
  <dcterms:modified xsi:type="dcterms:W3CDTF">2025-01-10T06:00:08Z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77846193CC34423585F2200092B4C3B6_12</vt:lpwstr>
  </property>
  <property fmtid="{D5CDD505-2E9C-101B-9397-08002B2CF9AE}" pid="3" name="KSOProductBuildVer">
    <vt:lpwstr>2052-12.1.0.19302</vt:lpwstr>
  </property>
</Properties>
</file>