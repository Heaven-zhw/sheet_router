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<sst xmlns="http://schemas.openxmlformats.org/spreadsheetml/2006/main" count="25" uniqueCount="22">
  <si>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Expt-2</t>
  </si>
  <si>
    <t>Expt-1</t>
  </si>
  <si>
    <t>Liver LDU</t>
  </si>
  <si>
    <t>Replicate1</t>
  </si>
  <si>
    <t>Replicate2</t>
  </si>
  <si>
    <t>Replicate3</t>
  </si>
  <si>
    <t>Mean</t>
  </si>
  <si>
    <t>SD</t>
  </si>
  <si>
    <t>Set1</t>
  </si>
  <si>
    <t>Inf mice (no DC trnf)</t>
  </si>
  <si>
    <t>Set2</t>
  </si>
  <si>
    <t>Inf mice ( DC + PBS)</t>
  </si>
  <si>
    <t>Set3</t>
  </si>
  <si>
    <t>Inf mice (DC + SAG)</t>
  </si>
  <si>
    <t>Set4</t>
  </si>
  <si>
    <t>Inf mice  [DC (Ctrl siRNA) + SAG]</t>
  </si>
  <si>
    <t>Set5</t>
  </si>
  <si>
    <t>Inf mice [DC (Runx1+3 siRNA) + SAG]</t>
  </si>
  <si>
    <t>Set6</t>
  </si>
  <si>
    <t>Inf mice [DC (Runx1+3 siRNA + Vec) + SAG]</t>
  </si>
  <si>
    <t>Set7</t>
  </si>
  <si>
    <t>Inf mice [DC (Runx1+3 siRNA + CD40) + SAG]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</si>
</sst>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3" xfId="0" applyFill="1" applyBorder="1" applyAlignment="1"/>
    <xf numFmtId="0" fontId="2" fillId="0" borderId="0" xfId="0" applyFont="1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0" borderId="2" xfId="0" applyFill="1" applyBorder="1" applyAlignment="1"/>
    <xf numFmtId="0" fontId="3" fillId="0" borderId="7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 applyBorder="1" applyAlignment="1"/>
    <xf numFmtId="0" fontId="0" fillId="0" borderId="7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5" xfId="0" applyFill="1" applyBorder="1" applyAlignment="1"/>
    <xf numFmtId="0" fontId="0" fillId="0" borderId="5" xfId="0" applyFont="1" applyFill="1" applyBorder="1" applyAlignment="1">
      <alignment horizontal="center"/>
    </xf>
    <xf numFmtId="0" fontId="0" fillId="0" borderId="6" xfId="0" applyFill="1" applyBorder="1" applyAlignment="1"/>
    <xf numFmtId="0" fontId="3" fillId="0" borderId="7" xfId="0" applyFont="1" applyFill="1" applyBorder="1" applyAlignment="1">
      <alignment horizontal="center"/>
    </xf>
    <xf numFmtId="0" fontId="0" fillId="0" borderId="7" xfId="0" applyFill="1" applyBorder="1" applyAlignment="1"/>
    <xf numFmtId="0" fontId="0" fillId="0" borderId="8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F12" sqref="F12"/>
    </sheetView>
  </sheetViews>
  <sheetFormatPr defaultColWidth="8.73076923076923" defaultRowHeight="16.8"/>
  <cols>
    <col min="1" max="1" width="5.54807692307692" customWidth="1"/>
    <col min="2" max="2" width="47.8173076923077" customWidth="1"/>
    <col min="3" max="12" width="12.8173076923077" customWidth="1"/>
    <col min="14" max="14" width="12.8173076923077"/>
  </cols>
  <sheetData>
    <row r="1" ht="20.4" spans="1:12">
      <c r="A1" s="1"/>
      <c r="B1" s="2"/>
      <c r="C1" s="3" t="s">
        <v>0</v>
      </c>
      <c r="D1" s="4"/>
      <c r="E1" s="16"/>
      <c r="F1" s="17"/>
      <c r="G1" s="3" t="s">
        <v>1</v>
      </c>
      <c r="H1" s="4"/>
      <c r="I1" s="16"/>
      <c r="J1" s="17"/>
      <c r="K1" s="2"/>
      <c r="L1" s="26"/>
    </row>
    <row r="2" ht="17.6" spans="1:12">
      <c r="A2" s="5"/>
      <c r="B2" s="6" t="s">
        <v>2</v>
      </c>
      <c r="C2" s="7" t="s">
        <v>3</v>
      </c>
      <c r="D2" s="8" t="s">
        <v>4</v>
      </c>
      <c r="E2" s="18" t="s">
        <v>5</v>
      </c>
      <c r="F2" s="19"/>
      <c r="G2" s="7" t="s">
        <v>3</v>
      </c>
      <c r="H2" s="8" t="s">
        <v>4</v>
      </c>
      <c r="I2" s="18" t="s">
        <v>5</v>
      </c>
      <c r="J2" s="19"/>
      <c r="K2" s="8" t="s">
        <v>6</v>
      </c>
      <c r="L2" s="27" t="s">
        <v>7</v>
      </c>
    </row>
    <row r="3" spans="1:12">
      <c r="A3" s="5" t="s">
        <v>8</v>
      </c>
      <c r="B3" s="9" t="s">
        <v>9</v>
      </c>
      <c r="C3" s="10">
        <v>5724.71</v>
      </c>
      <c r="D3" s="11">
        <v>5692.23</v>
      </c>
      <c r="E3" s="20">
        <v>5670.7</v>
      </c>
      <c r="F3" s="21"/>
      <c r="G3" s="10">
        <v>5365.81</v>
      </c>
      <c r="H3" s="11">
        <v>5636.21</v>
      </c>
      <c r="I3" s="20">
        <v>6204.71</v>
      </c>
      <c r="J3" s="21"/>
      <c r="K3" s="9">
        <f t="shared" ref="K3:K9" si="0">AVERAGE(C3:E3)</f>
        <v>5695.88</v>
      </c>
      <c r="L3" s="28">
        <f t="shared" ref="L3:L9" si="1">STDEV(C3:E3)</f>
        <v>27.18937108504</v>
      </c>
    </row>
    <row r="4" spans="1:12">
      <c r="A4" s="5" t="s">
        <v>10</v>
      </c>
      <c r="B4" s="9" t="s">
        <v>11</v>
      </c>
      <c r="C4" s="10">
        <v>5799.64</v>
      </c>
      <c r="D4" s="11">
        <v>5596.33</v>
      </c>
      <c r="E4" s="20">
        <v>5876.8</v>
      </c>
      <c r="F4" s="21"/>
      <c r="G4" s="10">
        <v>5421.31</v>
      </c>
      <c r="H4" s="11">
        <v>4867.14</v>
      </c>
      <c r="I4" s="20">
        <v>5960.43</v>
      </c>
      <c r="J4" s="21"/>
      <c r="K4" s="9">
        <f t="shared" si="0"/>
        <v>5757.59</v>
      </c>
      <c r="L4" s="28">
        <f t="shared" si="1"/>
        <v>144.886186712192</v>
      </c>
    </row>
    <row r="5" spans="1:12">
      <c r="A5" s="5" t="s">
        <v>12</v>
      </c>
      <c r="B5" s="9" t="s">
        <v>13</v>
      </c>
      <c r="C5" s="10">
        <v>2549.14</v>
      </c>
      <c r="D5" s="11">
        <v>2382.2</v>
      </c>
      <c r="E5" s="20">
        <v>2490</v>
      </c>
      <c r="F5" s="21"/>
      <c r="G5" s="10">
        <v>1973.75</v>
      </c>
      <c r="H5" s="11">
        <v>2838.16</v>
      </c>
      <c r="I5" s="20">
        <v>2421.85</v>
      </c>
      <c r="J5" s="21"/>
      <c r="K5" s="9">
        <f t="shared" si="0"/>
        <v>2473.78</v>
      </c>
      <c r="L5" s="28">
        <f t="shared" si="1"/>
        <v>84.6437073857236</v>
      </c>
    </row>
    <row r="6" spans="1:12">
      <c r="A6" s="5" t="s">
        <v>14</v>
      </c>
      <c r="B6" s="9" t="s">
        <v>15</v>
      </c>
      <c r="C6" s="10">
        <v>2370.03</v>
      </c>
      <c r="D6" s="11">
        <v>2501.72</v>
      </c>
      <c r="E6" s="20">
        <v>2272.2</v>
      </c>
      <c r="F6" s="21"/>
      <c r="G6" s="10">
        <v>2486.78</v>
      </c>
      <c r="H6" s="11">
        <v>2495.7</v>
      </c>
      <c r="I6" s="20">
        <v>2841.23</v>
      </c>
      <c r="J6" s="21"/>
      <c r="K6" s="9">
        <f t="shared" si="0"/>
        <v>2381.31666666667</v>
      </c>
      <c r="L6" s="28">
        <f t="shared" si="1"/>
        <v>115.175514903704</v>
      </c>
    </row>
    <row r="7" spans="1:12">
      <c r="A7" s="5" t="s">
        <v>16</v>
      </c>
      <c r="B7" s="9" t="s">
        <v>17</v>
      </c>
      <c r="C7" s="10">
        <v>5647.84</v>
      </c>
      <c r="D7" s="11">
        <v>4936.71</v>
      </c>
      <c r="E7" s="20">
        <v>4896.32</v>
      </c>
      <c r="F7" s="21"/>
      <c r="G7" s="10">
        <v>4631.67</v>
      </c>
      <c r="H7" s="11">
        <v>5299.13</v>
      </c>
      <c r="I7" s="20">
        <v>6052.73</v>
      </c>
      <c r="J7" s="21"/>
      <c r="K7" s="9">
        <f t="shared" si="0"/>
        <v>5160.29</v>
      </c>
      <c r="L7" s="28">
        <f t="shared" si="1"/>
        <v>422.713366124139</v>
      </c>
    </row>
    <row r="8" spans="1:12">
      <c r="A8" s="5" t="s">
        <v>18</v>
      </c>
      <c r="B8" s="9" t="s">
        <v>19</v>
      </c>
      <c r="C8" s="10">
        <v>6136.12</v>
      </c>
      <c r="D8" s="11">
        <v>5146.7</v>
      </c>
      <c r="E8" s="22">
        <v>5095.65</v>
      </c>
      <c r="F8" s="21"/>
      <c r="G8" s="10">
        <v>4971.55</v>
      </c>
      <c r="H8" s="11">
        <v>6836.22</v>
      </c>
      <c r="I8" s="20">
        <v>5283.59</v>
      </c>
      <c r="J8" s="21"/>
      <c r="K8" s="9">
        <f t="shared" si="0"/>
        <v>5459.49</v>
      </c>
      <c r="L8" s="28">
        <f t="shared" si="1"/>
        <v>586.534434879999</v>
      </c>
    </row>
    <row r="9" spans="1:12">
      <c r="A9" s="12" t="s">
        <v>20</v>
      </c>
      <c r="B9" s="13" t="s">
        <v>21</v>
      </c>
      <c r="C9" s="14">
        <v>2182.7</v>
      </c>
      <c r="D9" s="15">
        <v>2230.25</v>
      </c>
      <c r="E9" s="23">
        <v>2530.3</v>
      </c>
      <c r="F9" s="24"/>
      <c r="G9" s="14">
        <v>2667.68</v>
      </c>
      <c r="H9" s="25">
        <v>2219.7</v>
      </c>
      <c r="I9" s="23">
        <v>2543.98</v>
      </c>
      <c r="J9" s="24"/>
      <c r="K9" s="13">
        <f t="shared" si="0"/>
        <v>2314.41666666667</v>
      </c>
      <c r="L9" s="29">
        <f t="shared" si="1"/>
        <v>188.466073427907</v>
      </c>
    </row>
  </sheetData>
  <mergeCells count="2">
    <mergeCell ref="C1:E1"/>
    <mergeCell ref="G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2025-01-15T10:30:00Z</dcterms:created>
  <dcterms:modified xsi:type="dcterms:W3CDTF">2025-02-01T22:53:12Z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3A9BF22AA61C41B39E0E4D053C192DFF_11</vt:lpwstr>
  </property>
  <property fmtid="{D5CDD505-2E9C-101B-9397-08002B2CF9AE}" pid="3" name="KSOProductBuildVer">
    <vt:lpwstr>2052-6.14.0.8924</vt:lpwstr>
  </property>
</Properties>
</file>