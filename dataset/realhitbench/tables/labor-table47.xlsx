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40" windowHeight="13060"/>
  </bookViews>
  <sheets>
    <sheet name="Sheet1" sheetId="1" r:id="rId1"/>
  </sheets>
  <externalReferences>
    <externalReference r:id="rId2"/>
  </externalReferences>
  <definedNames>
    <definedName name="Div_List">'[1]Contract Data'!$I$22:$I$58</definedName>
    <definedName name="Division1">Sheet1!$M$13</definedName>
    <definedName name="Job_Level_List">[1]Lookups!$B$8747:$B$8976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<sst xmlns="http://schemas.openxmlformats.org/spreadsheetml/2006/main" count="31" uniqueCount="18">
  <si>
    <t>Level / Source</t>
  </si>
  <si>
    <t>Personnel</t>
  </si>
  <si>
    <t>ID</t>
  </si>
  <si>
    <t>FY-15</t>
  </si>
  <si>
    <t>Budget Hour</t>
  </si>
  <si>
    <t>Plan Hour</t>
  </si>
  <si>
    <t>Actual Hour</t>
  </si>
  <si>
    <t>01-1000</t>
  </si>
  <si>
    <t>Director</t>
  </si>
  <si>
    <t>Kevin</t>
  </si>
  <si>
    <t>Manager</t>
  </si>
  <si>
    <t>Indranil</t>
  </si>
  <si>
    <t>Consultant PC</t>
  </si>
  <si>
    <t>Vikas</t>
  </si>
  <si>
    <t>Employee</t>
  </si>
  <si>
    <t>Eric</t>
  </si>
  <si>
    <t>Ali</t>
  </si>
  <si>
    <t>Andrew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</si>
</sst>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8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23"/>
      </right>
      <top style="thin">
        <color auto="1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auto="1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theme="0" tint="-0.249946592608417"/>
      </bottom>
      <diagonal/>
    </border>
    <border>
      <left/>
      <right/>
      <top style="thin">
        <color auto="1"/>
      </top>
      <bottom style="thin">
        <color theme="0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1" applyNumberFormat="0" applyAlignment="0" applyProtection="0">
      <alignment vertical="center"/>
    </xf>
    <xf numFmtId="0" fontId="13" fillId="7" borderId="12" applyNumberFormat="0" applyAlignment="0" applyProtection="0">
      <alignment vertical="center"/>
    </xf>
    <xf numFmtId="0" fontId="14" fillId="7" borderId="11" applyNumberFormat="0" applyAlignment="0" applyProtection="0">
      <alignment vertical="center"/>
    </xf>
    <xf numFmtId="0" fontId="15" fillId="8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3" fillId="0" borderId="0"/>
    <xf numFmtId="9" fontId="23" fillId="0" borderId="0" applyFont="0" applyFill="0" applyBorder="0" applyAlignment="0" applyProtection="0"/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49" applyNumberFormat="1" applyFont="1" applyFill="1" applyBorder="1" applyAlignment="1" applyProtection="1">
      <alignment horizontal="left" wrapText="1"/>
      <protection locked="0"/>
    </xf>
    <xf numFmtId="0" fontId="1" fillId="2" borderId="2" xfId="49" applyNumberFormat="1" applyFont="1" applyFill="1" applyBorder="1" applyAlignment="1" applyProtection="1">
      <alignment horizontal="left"/>
      <protection locked="0"/>
    </xf>
    <xf numFmtId="0" fontId="1" fillId="2" borderId="3" xfId="49" applyNumberFormat="1" applyFont="1" applyFill="1" applyBorder="1" applyAlignment="1" applyProtection="1">
      <alignment horizontal="left"/>
      <protection locked="0"/>
    </xf>
    <xf numFmtId="0" fontId="1" fillId="2" borderId="4" xfId="49" applyNumberFormat="1" applyFont="1" applyFill="1" applyBorder="1" applyAlignment="1" applyProtection="1">
      <alignment horizontal="left"/>
      <protection locked="0"/>
    </xf>
    <xf numFmtId="0" fontId="1" fillId="2" borderId="5" xfId="49" applyNumberFormat="1" applyFont="1" applyFill="1" applyBorder="1" applyAlignment="1" applyProtection="1">
      <alignment horizontal="center"/>
      <protection locked="0"/>
    </xf>
    <xf numFmtId="0" fontId="2" fillId="3" borderId="0" xfId="49" applyNumberFormat="1" applyFont="1" applyFill="1" applyBorder="1" applyAlignment="1" applyProtection="1">
      <protection locked="0"/>
    </xf>
    <xf numFmtId="0" fontId="2" fillId="3" borderId="0" xfId="49" applyNumberFormat="1" applyFont="1" applyFill="1" applyBorder="1" applyAlignment="1" applyProtection="1">
      <alignment horizontal="left"/>
      <protection locked="0"/>
    </xf>
    <xf numFmtId="1" fontId="1" fillId="2" borderId="5" xfId="49" applyNumberFormat="1" applyFont="1" applyFill="1" applyBorder="1" applyAlignment="1" applyProtection="1">
      <alignment horizontal="center"/>
      <protection locked="0"/>
    </xf>
    <xf numFmtId="14" fontId="1" fillId="4" borderId="6" xfId="49" applyNumberFormat="1" applyFont="1" applyFill="1" applyBorder="1" applyAlignment="1" applyProtection="1">
      <alignment horizontal="center"/>
      <protection locked="0"/>
    </xf>
    <xf numFmtId="14" fontId="1" fillId="4" borderId="7" xfId="49" applyNumberFormat="1" applyFont="1" applyFill="1" applyBorder="1" applyAlignment="1" applyProtection="1">
      <alignment horizontal="center"/>
      <protection locked="0"/>
    </xf>
    <xf numFmtId="0" fontId="3" fillId="0" borderId="0" xfId="0" applyFont="1" applyFill="1" applyAlignment="1"/>
    <xf numFmtId="0" fontId="3" fillId="0" borderId="0" xfId="0" applyFont="1" applyFill="1" applyAlignment="1">
      <alignment horizontal="center" vertical="center"/>
    </xf>
    <xf numFmtId="0" fontId="1" fillId="2" borderId="5" xfId="49" applyNumberFormat="1" applyFont="1" applyFill="1" applyBorder="1" applyAlignment="1" applyProtection="1" quotePrefix="1">
      <alignment horizontal="center"/>
      <protection locked="0"/>
    </xf>
    <xf numFmtId="1" fontId="1" fillId="2" borderId="5" xfId="49" applyNumberFormat="1" applyFont="1" applyFill="1" applyBorder="1" applyAlignment="1" applyProtection="1" quotePrefix="1">
      <alignment horizontal="center"/>
      <protection locked="0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Percent 2" xfId="50"/>
  </cellStyles>
  <dxfs count="18">
    <dxf>
      <font>
        <b val="1"/>
        <i val="0"/>
        <color theme="0"/>
      </font>
      <fill>
        <patternFill patternType="solid">
          <bgColor rgb="FFFF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akkothari/Downloads/UNT11417-01 New STT 05-02-2015.xlsb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tract Data"/>
      <sheetName val="Partner Dashboard"/>
      <sheetName val="Basic Scorecard"/>
      <sheetName val="Project Scorecard"/>
      <sheetName val="Actual vs Plan"/>
      <sheetName val="BurnMacro"/>
      <sheetName val="Profit Interest"/>
      <sheetName val="Historical"/>
      <sheetName val="Queries"/>
      <sheetName val="Pivots (Adjustable)"/>
      <sheetName val="Lookups"/>
      <sheetName val="AR Tool"/>
      <sheetName val="Fixed Fee"/>
      <sheetName val="SAPBEXqueries"/>
      <sheetName val="SAPBEXfilters"/>
      <sheetName val="Subcontractor"/>
      <sheetName val="International"/>
      <sheetName val="Reports"/>
      <sheetName val="Create Forecast"/>
      <sheetName val="Pivots (Do Not Change)"/>
      <sheetName val="EAC"/>
      <sheetName val="Data Sheet (Collapsed)"/>
      <sheetName val="Data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tabSelected="1" workbookViewId="0">
      <selection activeCell="D12" sqref="D12"/>
    </sheetView>
  </sheetViews>
  <sheetFormatPr defaultColWidth="9.23076923076923" defaultRowHeight="16.8" outlineLevelRow="7"/>
  <cols>
    <col min="2" max="2" width="14.0961538461538" customWidth="1"/>
    <col min="3" max="3" width="12.4903846153846" customWidth="1"/>
    <col min="6" max="14" width="12.6923076923077" customWidth="1"/>
  </cols>
  <sheetData>
    <row r="1" spans="1:14">
      <c r="A1" s="1"/>
      <c r="B1" s="2" t="s">
        <v>0</v>
      </c>
      <c r="C1" s="3" t="s">
        <v>1</v>
      </c>
      <c r="D1" s="3" t="s">
        <v>2</v>
      </c>
      <c r="E1" s="3" t="s">
        <v>3</v>
      </c>
      <c r="F1" s="10">
        <v>42049</v>
      </c>
      <c r="G1" s="11"/>
      <c r="H1" s="11"/>
      <c r="I1" s="10">
        <v>42056</v>
      </c>
      <c r="J1" s="11"/>
      <c r="K1" s="11"/>
      <c r="L1" s="10">
        <v>42063</v>
      </c>
      <c r="M1" s="11"/>
      <c r="N1" s="11"/>
    </row>
    <row r="2" spans="1:14">
      <c r="A2" s="1"/>
      <c r="B2" s="4"/>
      <c r="C2" s="5"/>
      <c r="D2" s="5"/>
      <c r="E2" s="5"/>
      <c r="F2" s="12" t="s">
        <v>4</v>
      </c>
      <c r="G2" s="12" t="s">
        <v>5</v>
      </c>
      <c r="H2" s="12" t="s">
        <v>6</v>
      </c>
      <c r="I2" s="12" t="s">
        <v>4</v>
      </c>
      <c r="J2" s="12" t="s">
        <v>5</v>
      </c>
      <c r="K2" s="12" t="s">
        <v>6</v>
      </c>
      <c r="L2" s="12" t="s">
        <v>4</v>
      </c>
      <c r="M2" s="12" t="s">
        <v>5</v>
      </c>
      <c r="N2" s="12" t="s">
        <v>6</v>
      </c>
    </row>
    <row r="3" spans="1:14">
      <c r="A3" s="14" t="s">
        <v>7</v>
      </c>
      <c r="B3" s="7" t="s">
        <v>8</v>
      </c>
      <c r="C3" s="7" t="s">
        <v>9</v>
      </c>
      <c r="D3" s="8">
        <v>1001</v>
      </c>
      <c r="E3" s="12">
        <v>100</v>
      </c>
      <c r="F3" s="13">
        <v>25</v>
      </c>
      <c r="G3" s="13">
        <v>25</v>
      </c>
      <c r="H3" s="13">
        <v>25</v>
      </c>
      <c r="I3" s="13">
        <v>25</v>
      </c>
      <c r="J3" s="13">
        <v>25</v>
      </c>
      <c r="K3" s="12">
        <v>0</v>
      </c>
      <c r="L3" s="13">
        <v>25</v>
      </c>
      <c r="M3" s="13">
        <v>25</v>
      </c>
      <c r="N3" s="13">
        <v>45</v>
      </c>
    </row>
    <row r="4" spans="1:14">
      <c r="A4" s="15" t="s">
        <v>7</v>
      </c>
      <c r="B4" s="7" t="s">
        <v>10</v>
      </c>
      <c r="C4" s="7" t="s">
        <v>11</v>
      </c>
      <c r="D4" s="8">
        <v>1002</v>
      </c>
      <c r="E4" s="12">
        <v>80</v>
      </c>
      <c r="F4" s="13">
        <v>40</v>
      </c>
      <c r="G4" s="13">
        <v>40</v>
      </c>
      <c r="H4" s="13">
        <v>45</v>
      </c>
      <c r="I4" s="13">
        <v>40</v>
      </c>
      <c r="J4" s="13">
        <v>40</v>
      </c>
      <c r="K4" s="12">
        <v>45</v>
      </c>
      <c r="L4" s="13">
        <v>40</v>
      </c>
      <c r="M4" s="13">
        <v>40</v>
      </c>
      <c r="N4" s="13">
        <v>45</v>
      </c>
    </row>
    <row r="5" spans="1:14">
      <c r="A5" s="14" t="s">
        <v>7</v>
      </c>
      <c r="B5" s="7" t="s">
        <v>12</v>
      </c>
      <c r="C5" s="7" t="s">
        <v>13</v>
      </c>
      <c r="D5" s="8">
        <v>1003</v>
      </c>
      <c r="E5" s="12">
        <v>60</v>
      </c>
      <c r="F5" s="13">
        <v>45</v>
      </c>
      <c r="G5" s="13">
        <v>45</v>
      </c>
      <c r="H5" s="13">
        <v>45</v>
      </c>
      <c r="I5" s="13">
        <v>45</v>
      </c>
      <c r="J5" s="13">
        <v>45</v>
      </c>
      <c r="K5" s="12">
        <v>20</v>
      </c>
      <c r="L5" s="13">
        <v>45</v>
      </c>
      <c r="M5" s="13">
        <v>45</v>
      </c>
      <c r="N5" s="13">
        <v>45</v>
      </c>
    </row>
    <row r="6" spans="1:14">
      <c r="A6" s="14" t="s">
        <v>7</v>
      </c>
      <c r="B6" s="7" t="s">
        <v>14</v>
      </c>
      <c r="C6" s="7" t="s">
        <v>15</v>
      </c>
      <c r="D6" s="8">
        <v>1004</v>
      </c>
      <c r="E6" s="12">
        <v>40</v>
      </c>
      <c r="F6" s="13">
        <v>45</v>
      </c>
      <c r="G6" s="13">
        <v>45</v>
      </c>
      <c r="H6" s="13">
        <v>45</v>
      </c>
      <c r="I6" s="13">
        <v>45</v>
      </c>
      <c r="J6" s="13">
        <v>45</v>
      </c>
      <c r="K6" s="12">
        <v>45</v>
      </c>
      <c r="L6" s="13">
        <v>45</v>
      </c>
      <c r="M6" s="13">
        <v>45</v>
      </c>
      <c r="N6" s="13">
        <v>50</v>
      </c>
    </row>
    <row r="7" spans="1:14">
      <c r="A7" s="14" t="s">
        <v>7</v>
      </c>
      <c r="B7" s="7" t="s">
        <v>14</v>
      </c>
      <c r="C7" s="7" t="s">
        <v>16</v>
      </c>
      <c r="D7" s="8">
        <v>1005</v>
      </c>
      <c r="E7" s="12">
        <v>40</v>
      </c>
      <c r="F7" s="13">
        <v>45</v>
      </c>
      <c r="G7" s="13">
        <v>45</v>
      </c>
      <c r="H7" s="13">
        <v>48</v>
      </c>
      <c r="I7" s="13">
        <v>45</v>
      </c>
      <c r="J7" s="13">
        <v>45</v>
      </c>
      <c r="K7" s="12">
        <v>45</v>
      </c>
      <c r="L7" s="13">
        <v>45</v>
      </c>
      <c r="M7" s="13">
        <v>45</v>
      </c>
      <c r="N7" s="13">
        <v>45</v>
      </c>
    </row>
    <row r="8" spans="1:14">
      <c r="A8" s="14" t="s">
        <v>7</v>
      </c>
      <c r="B8" s="7" t="s">
        <v>14</v>
      </c>
      <c r="C8" s="7" t="s">
        <v>17</v>
      </c>
      <c r="D8" s="8">
        <v>1006</v>
      </c>
      <c r="E8" s="12">
        <v>40</v>
      </c>
      <c r="F8" s="13">
        <v>45</v>
      </c>
      <c r="G8" s="13">
        <v>45</v>
      </c>
      <c r="H8" s="13">
        <v>52</v>
      </c>
      <c r="I8" s="13">
        <v>45</v>
      </c>
      <c r="J8" s="13">
        <v>45</v>
      </c>
      <c r="K8" s="12">
        <v>45</v>
      </c>
      <c r="L8" s="13">
        <v>45</v>
      </c>
      <c r="M8" s="13">
        <v>30</v>
      </c>
      <c r="N8" s="13">
        <v>20</v>
      </c>
    </row>
  </sheetData>
  <mergeCells count="8">
    <mergeCell ref="F1:H1"/>
    <mergeCell ref="I1:K1"/>
    <mergeCell ref="L1:N1"/>
    <mergeCell ref="A1:A2"/>
    <mergeCell ref="B1:B2"/>
    <mergeCell ref="C1:C2"/>
    <mergeCell ref="D1:D2"/>
    <mergeCell ref="E1:E2"/>
  </mergeCells>
  <conditionalFormatting sqref="B6">
    <cfRule type="expression" dxfId="0" priority="3">
      <formula>OR(AND(ROUND(AHI6,2)&lt;&gt;0,AHH6&lt;&gt;0),AND(ROUND(AHF6,2)&lt;&gt;0,AHE6&lt;&gt;0))</formula>
    </cfRule>
  </conditionalFormatting>
  <conditionalFormatting sqref="B7">
    <cfRule type="expression" dxfId="0" priority="2">
      <formula>OR(AND(ROUND(AHI7,2)&lt;&gt;0,AHH7&lt;&gt;0),AND(ROUND(AHF7,2)&lt;&gt;0,AHE7&lt;&gt;0))</formula>
    </cfRule>
  </conditionalFormatting>
  <conditionalFormatting sqref="B8">
    <cfRule type="expression" dxfId="0" priority="1">
      <formula>OR(AND(ROUND(AHI8,2)&lt;&gt;0,AHH8&lt;&gt;0),AND(ROUND(AHF8,2)&lt;&gt;0,AHE8&lt;&gt;0))</formula>
    </cfRule>
  </conditionalFormatting>
  <conditionalFormatting sqref="B3:B5">
    <cfRule type="expression" dxfId="0" priority="5">
      <formula>OR(AND(ROUND(AHI3,2)&lt;&gt;0,AHH3&lt;&gt;0),AND(ROUND(AHF3,2)&lt;&gt;0,AHE3&lt;&gt;0))</formula>
    </cfRule>
  </conditionalFormatting>
  <dataValidations count="1">
    <dataValidation type="list" allowBlank="1" showInputMessage="1" showErrorMessage="1" sqref="B6 B7 B8 B3:B5">
      <formula1>Job_Level_List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2025-01-14T16:35:02Z</dcterms:created>
  <dcterms:modified xsi:type="dcterms:W3CDTF">2025-01-14T16:43:56Z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B3CCAA324BE72039B62186673E95014E_41</vt:lpwstr>
  </property>
  <property fmtid="{D5CDD505-2E9C-101B-9397-08002B2CF9AE}" pid="3" name="KSOProductBuildVer">
    <vt:lpwstr>2052-6.8.2.8850</vt:lpwstr>
  </property>
</Properties>
</file>