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<sst xmlns="http://schemas.openxmlformats.org/spreadsheetml/2006/main" count="220" uniqueCount="18">
  <si>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</si>
  <si>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</si>
  <si>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</si>
  <si>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</si>
  <si>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</si>
  <si>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</si>
  <si>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</si>
  <si>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</si>
  <si>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</si>
  <si>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</si>
  <si>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</si>
  <si>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</si>
  <si>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</si>
  <si>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</si>
  <si>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</si>
  <si>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15 min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</si>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</sst>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5"/>
      <color rgb="FF44546A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12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6" fillId="0" borderId="11" xfId="13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zoomScale="40" zoomScaleNormal="40" workbookViewId="0">
      <selection activeCell="V28" sqref="$A1:$XFD1048576"/>
    </sheetView>
  </sheetViews>
  <sheetFormatPr defaultColWidth="13" defaultRowHeight="15"/>
  <cols>
    <col min="1" max="1" width="40.8181818181818" style="1" customWidth="1"/>
    <col min="2" max="2" width="7" style="1" customWidth="1"/>
    <col min="3" max="3" width="8.09090909090909" style="1" customWidth="1"/>
    <col min="4" max="4" width="9.18181818181818" style="1" customWidth="1"/>
    <col min="5" max="5" width="7" style="1" customWidth="1"/>
    <col min="6" max="6" width="12.8" style="1"/>
    <col min="7" max="7" width="40.8181818181818" style="1" customWidth="1"/>
    <col min="8" max="8" width="9.18181818181818" style="1" customWidth="1"/>
    <col min="9" max="9" width="8.09090909090909" style="1" customWidth="1"/>
    <col min="10" max="11" width="7" style="1" customWidth="1"/>
    <col min="12" max="12" width="12.8" style="1"/>
    <col min="13" max="13" width="35.2545454545455" style="1" customWidth="1"/>
    <col min="14" max="18" width="12.8" style="1"/>
    <col min="19" max="19" width="35.2545454545455" style="1" customWidth="1"/>
    <col min="20" max="24" width="12.8" style="1"/>
    <col min="25" max="25" width="35.2545454545455" style="1" customWidth="1"/>
    <col min="26" max="30" width="12.8" style="1"/>
    <col min="31" max="31" width="35.2545454545455" style="1" customWidth="1"/>
    <col min="32" max="16362" width="12.8" style="1"/>
    <col min="16363" max="16384" width="13" style="1"/>
  </cols>
  <sheetData>
    <row r="1" s="1" customFormat="1" ht="15.75"/>
    <row r="2" s="1" customFormat="1" ht="19.25" spans="1:1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19"/>
    </row>
    <row r="3" s="1" customFormat="1" ht="19.25" spans="1:11">
      <c r="A3" s="4" t="s">
        <v>1</v>
      </c>
      <c r="B3" s="5"/>
      <c r="C3" s="5"/>
      <c r="D3" s="5"/>
      <c r="E3" s="5"/>
      <c r="F3" s="6"/>
      <c r="G3" s="5" t="s">
        <v>2</v>
      </c>
      <c r="H3" s="5"/>
      <c r="I3" s="5"/>
      <c r="J3" s="5"/>
      <c r="K3" s="20"/>
    </row>
    <row r="4" s="1" customFormat="1" ht="17.25" spans="1:11">
      <c r="A4" s="7"/>
      <c r="B4" s="8" t="s">
        <v>3</v>
      </c>
      <c r="C4" s="8" t="s">
        <v>4</v>
      </c>
      <c r="D4" s="9" t="s">
        <v>5</v>
      </c>
      <c r="E4" s="9" t="s">
        <v>6</v>
      </c>
      <c r="F4" s="6"/>
      <c r="G4" s="6"/>
      <c r="H4" s="8" t="s">
        <v>3</v>
      </c>
      <c r="I4" s="8" t="s">
        <v>4</v>
      </c>
      <c r="J4" s="21" t="s">
        <v>5</v>
      </c>
      <c r="K4" s="22" t="s">
        <v>6</v>
      </c>
    </row>
    <row r="5" s="1" customFormat="1" ht="18" spans="1:11">
      <c r="A5" s="10" t="s">
        <v>7</v>
      </c>
      <c r="B5" s="6">
        <v>5</v>
      </c>
      <c r="C5" s="6">
        <v>4</v>
      </c>
      <c r="D5" s="6">
        <v>0</v>
      </c>
      <c r="E5" s="6">
        <v>24</v>
      </c>
      <c r="F5" s="6"/>
      <c r="G5" s="9" t="s">
        <v>7</v>
      </c>
      <c r="H5" s="6">
        <v>1</v>
      </c>
      <c r="I5" s="6">
        <v>30</v>
      </c>
      <c r="J5" s="6">
        <v>15</v>
      </c>
      <c r="K5" s="23">
        <v>10</v>
      </c>
    </row>
    <row r="6" s="1" customFormat="1" ht="18" spans="1:11">
      <c r="A6" s="10" t="s">
        <v>8</v>
      </c>
      <c r="B6" s="6">
        <v>0</v>
      </c>
      <c r="C6" s="6">
        <v>0</v>
      </c>
      <c r="D6" s="6">
        <v>0</v>
      </c>
      <c r="E6" s="6">
        <v>0</v>
      </c>
      <c r="F6" s="6"/>
      <c r="G6" s="9" t="s">
        <v>8</v>
      </c>
      <c r="H6" s="6">
        <v>0</v>
      </c>
      <c r="I6" s="6">
        <v>20</v>
      </c>
      <c r="J6" s="6">
        <v>4</v>
      </c>
      <c r="K6" s="23">
        <v>0</v>
      </c>
    </row>
    <row r="7" s="1" customFormat="1" ht="18" spans="1:11">
      <c r="A7" s="10" t="s">
        <v>9</v>
      </c>
      <c r="B7" s="6">
        <v>0</v>
      </c>
      <c r="C7" s="6">
        <v>0</v>
      </c>
      <c r="D7" s="6">
        <v>0</v>
      </c>
      <c r="E7" s="6">
        <v>0</v>
      </c>
      <c r="F7" s="6"/>
      <c r="G7" s="9" t="s">
        <v>9</v>
      </c>
      <c r="H7" s="6">
        <v>0</v>
      </c>
      <c r="I7" s="6">
        <v>41</v>
      </c>
      <c r="J7" s="6">
        <v>16</v>
      </c>
      <c r="K7" s="23">
        <v>0</v>
      </c>
    </row>
    <row r="8" s="1" customFormat="1" ht="18" spans="1:11">
      <c r="A8" s="10" t="s">
        <v>10</v>
      </c>
      <c r="B8" s="11">
        <f>(B6/B5)*100</f>
        <v>0</v>
      </c>
      <c r="C8" s="11">
        <f t="shared" ref="C8:K8" si="0">(C6/C5)*100</f>
        <v>0</v>
      </c>
      <c r="D8" s="11" t="e">
        <f t="shared" si="0"/>
        <v>#DIV/0!</v>
      </c>
      <c r="E8" s="11">
        <f t="shared" si="0"/>
        <v>0</v>
      </c>
      <c r="F8" s="6"/>
      <c r="G8" s="9" t="s">
        <v>10</v>
      </c>
      <c r="H8" s="11">
        <f t="shared" si="0"/>
        <v>0</v>
      </c>
      <c r="I8" s="11">
        <f t="shared" si="0"/>
        <v>66.6666666666667</v>
      </c>
      <c r="J8" s="11">
        <f t="shared" si="0"/>
        <v>26.6666666666667</v>
      </c>
      <c r="K8" s="24">
        <f t="shared" si="0"/>
        <v>0</v>
      </c>
    </row>
    <row r="9" s="1" customFormat="1" ht="15.75" spans="1:11">
      <c r="A9" s="7"/>
      <c r="B9" s="6"/>
      <c r="C9" s="6"/>
      <c r="D9" s="6"/>
      <c r="E9" s="6"/>
      <c r="F9" s="6"/>
      <c r="G9" s="6"/>
      <c r="H9" s="6"/>
      <c r="I9" s="6"/>
      <c r="J9" s="6"/>
      <c r="K9" s="23"/>
    </row>
    <row r="10" s="1" customFormat="1" ht="18.5" spans="1:11">
      <c r="A10" s="4" t="s">
        <v>11</v>
      </c>
      <c r="B10" s="5"/>
      <c r="C10" s="5"/>
      <c r="D10" s="5"/>
      <c r="E10" s="5"/>
      <c r="F10" s="6"/>
      <c r="G10" s="5" t="s">
        <v>12</v>
      </c>
      <c r="H10" s="5"/>
      <c r="I10" s="5"/>
      <c r="J10" s="5"/>
      <c r="K10" s="20"/>
    </row>
    <row r="11" s="1" customFormat="1" ht="17.25" spans="1:11">
      <c r="A11" s="7"/>
      <c r="B11" s="8" t="s">
        <v>3</v>
      </c>
      <c r="C11" s="8" t="s">
        <v>4</v>
      </c>
      <c r="D11" s="9" t="s">
        <v>5</v>
      </c>
      <c r="E11" s="9" t="s">
        <v>6</v>
      </c>
      <c r="F11" s="6"/>
      <c r="G11" s="6"/>
      <c r="H11" s="8" t="s">
        <v>3</v>
      </c>
      <c r="I11" s="8" t="s">
        <v>4</v>
      </c>
      <c r="J11" s="21" t="s">
        <v>5</v>
      </c>
      <c r="K11" s="22" t="s">
        <v>6</v>
      </c>
    </row>
    <row r="12" s="1" customFormat="1" ht="18" spans="1:11">
      <c r="A12" s="10" t="s">
        <v>7</v>
      </c>
      <c r="B12" s="6">
        <v>1</v>
      </c>
      <c r="C12" s="6">
        <v>21</v>
      </c>
      <c r="D12" s="12">
        <v>19</v>
      </c>
      <c r="E12" s="6">
        <v>12</v>
      </c>
      <c r="F12" s="6"/>
      <c r="G12" s="9" t="s">
        <v>7</v>
      </c>
      <c r="H12" s="12">
        <v>8</v>
      </c>
      <c r="I12" s="6">
        <v>238</v>
      </c>
      <c r="J12" s="6">
        <v>44</v>
      </c>
      <c r="K12" s="23">
        <v>9</v>
      </c>
    </row>
    <row r="13" s="1" customFormat="1" ht="18" spans="1:11">
      <c r="A13" s="10" t="s">
        <v>8</v>
      </c>
      <c r="B13" s="6">
        <v>0</v>
      </c>
      <c r="C13" s="6">
        <v>8</v>
      </c>
      <c r="D13" s="12">
        <v>4</v>
      </c>
      <c r="E13" s="6">
        <v>0</v>
      </c>
      <c r="F13" s="6"/>
      <c r="G13" s="9" t="s">
        <v>8</v>
      </c>
      <c r="H13" s="12">
        <v>7</v>
      </c>
      <c r="I13" s="6">
        <v>116</v>
      </c>
      <c r="J13" s="6">
        <v>15</v>
      </c>
      <c r="K13" s="23">
        <v>4</v>
      </c>
    </row>
    <row r="14" s="1" customFormat="1" ht="18" spans="1:11">
      <c r="A14" s="10" t="s">
        <v>9</v>
      </c>
      <c r="B14" s="6">
        <v>0</v>
      </c>
      <c r="C14" s="6">
        <v>59</v>
      </c>
      <c r="D14" s="12">
        <v>14</v>
      </c>
      <c r="E14" s="6">
        <v>0</v>
      </c>
      <c r="F14" s="6"/>
      <c r="G14" s="9" t="s">
        <v>9</v>
      </c>
      <c r="H14" s="12">
        <v>38</v>
      </c>
      <c r="I14" s="6">
        <v>640</v>
      </c>
      <c r="J14" s="6">
        <v>51</v>
      </c>
      <c r="K14" s="23">
        <v>8</v>
      </c>
    </row>
    <row r="15" s="1" customFormat="1" ht="18" spans="1:11">
      <c r="A15" s="10" t="s">
        <v>10</v>
      </c>
      <c r="B15" s="11">
        <f>(B13/B12)*100</f>
        <v>0</v>
      </c>
      <c r="C15" s="11">
        <f t="shared" ref="C15:K15" si="1">(C13/C12)*100</f>
        <v>38.0952380952381</v>
      </c>
      <c r="D15" s="11">
        <f t="shared" si="1"/>
        <v>21.0526315789474</v>
      </c>
      <c r="E15" s="11">
        <f t="shared" si="1"/>
        <v>0</v>
      </c>
      <c r="F15" s="6"/>
      <c r="G15" s="9" t="s">
        <v>10</v>
      </c>
      <c r="H15" s="11">
        <f t="shared" si="1"/>
        <v>87.5</v>
      </c>
      <c r="I15" s="11">
        <f t="shared" si="1"/>
        <v>48.7394957983193</v>
      </c>
      <c r="J15" s="11">
        <f t="shared" si="1"/>
        <v>34.0909090909091</v>
      </c>
      <c r="K15" s="24">
        <f t="shared" si="1"/>
        <v>44.4444444444444</v>
      </c>
    </row>
    <row r="16" s="1" customFormat="1" ht="15.75" spans="1:11">
      <c r="A16" s="7"/>
      <c r="B16" s="6"/>
      <c r="C16" s="6"/>
      <c r="D16" s="6"/>
      <c r="E16" s="6"/>
      <c r="F16" s="6"/>
      <c r="G16" s="6"/>
      <c r="H16" s="6"/>
      <c r="I16" s="6"/>
      <c r="J16" s="6"/>
      <c r="K16" s="23"/>
    </row>
    <row r="17" s="1" customFormat="1" ht="18.5" spans="1:11">
      <c r="A17" s="4" t="s">
        <v>13</v>
      </c>
      <c r="B17" s="5"/>
      <c r="C17" s="5"/>
      <c r="D17" s="5"/>
      <c r="E17" s="5"/>
      <c r="F17" s="6"/>
      <c r="G17" s="5" t="s">
        <v>14</v>
      </c>
      <c r="H17" s="5"/>
      <c r="I17" s="5"/>
      <c r="J17" s="5"/>
      <c r="K17" s="20"/>
    </row>
    <row r="18" s="1" customFormat="1" ht="17.25" spans="1:11">
      <c r="A18" s="7"/>
      <c r="B18" s="8" t="s">
        <v>3</v>
      </c>
      <c r="C18" s="8" t="s">
        <v>4</v>
      </c>
      <c r="D18" s="9" t="s">
        <v>5</v>
      </c>
      <c r="E18" s="9" t="s">
        <v>6</v>
      </c>
      <c r="F18" s="6"/>
      <c r="G18" s="6"/>
      <c r="H18" s="8" t="s">
        <v>3</v>
      </c>
      <c r="I18" s="9" t="s">
        <v>4</v>
      </c>
      <c r="J18" s="21" t="s">
        <v>5</v>
      </c>
      <c r="K18" s="22" t="s">
        <v>6</v>
      </c>
    </row>
    <row r="19" s="1" customFormat="1" ht="18" spans="1:11">
      <c r="A19" s="10" t="s">
        <v>7</v>
      </c>
      <c r="B19" s="6">
        <v>7</v>
      </c>
      <c r="C19" s="6">
        <v>28</v>
      </c>
      <c r="D19" s="6">
        <v>40</v>
      </c>
      <c r="E19" s="6">
        <v>4</v>
      </c>
      <c r="F19" s="6"/>
      <c r="G19" s="9" t="s">
        <v>7</v>
      </c>
      <c r="H19" s="6">
        <v>0</v>
      </c>
      <c r="I19" s="6">
        <v>27</v>
      </c>
      <c r="J19" s="6">
        <v>38</v>
      </c>
      <c r="K19" s="23">
        <v>8</v>
      </c>
    </row>
    <row r="20" s="1" customFormat="1" ht="18" spans="1:11">
      <c r="A20" s="10" t="s">
        <v>8</v>
      </c>
      <c r="B20" s="6">
        <v>6</v>
      </c>
      <c r="C20" s="6">
        <v>26</v>
      </c>
      <c r="D20" s="6">
        <v>7</v>
      </c>
      <c r="E20" s="6">
        <v>0</v>
      </c>
      <c r="F20" s="6"/>
      <c r="G20" s="9" t="s">
        <v>8</v>
      </c>
      <c r="H20" s="6">
        <v>0</v>
      </c>
      <c r="I20" s="6">
        <v>22</v>
      </c>
      <c r="J20" s="6">
        <v>2</v>
      </c>
      <c r="K20" s="23">
        <v>2</v>
      </c>
    </row>
    <row r="21" s="1" customFormat="1" ht="18" spans="1:11">
      <c r="A21" s="10" t="s">
        <v>9</v>
      </c>
      <c r="B21" s="6">
        <v>19</v>
      </c>
      <c r="C21" s="6">
        <v>78</v>
      </c>
      <c r="D21" s="6">
        <v>21</v>
      </c>
      <c r="E21" s="6">
        <v>0</v>
      </c>
      <c r="F21" s="6"/>
      <c r="G21" s="9" t="s">
        <v>9</v>
      </c>
      <c r="H21" s="6">
        <v>0</v>
      </c>
      <c r="I21" s="6">
        <v>96</v>
      </c>
      <c r="J21" s="6">
        <v>4</v>
      </c>
      <c r="K21" s="23">
        <v>4</v>
      </c>
    </row>
    <row r="22" ht="18" spans="1:11">
      <c r="A22" s="13" t="s">
        <v>10</v>
      </c>
      <c r="B22" s="14">
        <f>(B20/B19)*100</f>
        <v>85.7142857142857</v>
      </c>
      <c r="C22" s="14">
        <f t="shared" ref="C22:K22" si="2">(C20/C19)*100</f>
        <v>92.8571428571429</v>
      </c>
      <c r="D22" s="14">
        <f t="shared" si="2"/>
        <v>17.5</v>
      </c>
      <c r="E22" s="14">
        <f t="shared" si="2"/>
        <v>0</v>
      </c>
      <c r="F22" s="15"/>
      <c r="G22" s="16" t="s">
        <v>10</v>
      </c>
      <c r="H22" s="14" t="e">
        <f t="shared" si="2"/>
        <v>#DIV/0!</v>
      </c>
      <c r="I22" s="14">
        <f t="shared" si="2"/>
        <v>81.4814814814815</v>
      </c>
      <c r="J22" s="14">
        <f t="shared" si="2"/>
        <v>5.26315789473684</v>
      </c>
      <c r="K22" s="25">
        <f t="shared" si="2"/>
        <v>25</v>
      </c>
    </row>
    <row r="23" s="1" customFormat="1" ht="15.75"/>
    <row r="24" s="1" customFormat="1" ht="19.25" spans="1:11">
      <c r="A24" s="2" t="s">
        <v>15</v>
      </c>
      <c r="B24" s="3"/>
      <c r="C24" s="3"/>
      <c r="D24" s="3"/>
      <c r="E24" s="3"/>
      <c r="F24" s="3"/>
      <c r="G24" s="3"/>
      <c r="H24" s="3"/>
      <c r="I24" s="3"/>
      <c r="J24" s="3"/>
      <c r="K24" s="19"/>
    </row>
    <row r="25" s="1" customFormat="1" ht="19.25" spans="1:11">
      <c r="A25" s="4" t="s">
        <v>1</v>
      </c>
      <c r="B25" s="5"/>
      <c r="C25" s="5"/>
      <c r="D25" s="5"/>
      <c r="E25" s="5"/>
      <c r="F25" s="6"/>
      <c r="G25" s="5" t="s">
        <v>2</v>
      </c>
      <c r="H25" s="5"/>
      <c r="I25" s="5"/>
      <c r="J25" s="5"/>
      <c r="K25" s="20"/>
    </row>
    <row r="26" s="1" customFormat="1" ht="17.25" spans="1:11">
      <c r="A26" s="7"/>
      <c r="B26" s="9" t="s">
        <v>3</v>
      </c>
      <c r="C26" s="9" t="s">
        <v>4</v>
      </c>
      <c r="D26" s="9" t="s">
        <v>5</v>
      </c>
      <c r="E26" s="9" t="s">
        <v>6</v>
      </c>
      <c r="F26" s="6"/>
      <c r="G26" s="6"/>
      <c r="H26" s="9" t="s">
        <v>3</v>
      </c>
      <c r="I26" s="9" t="s">
        <v>4</v>
      </c>
      <c r="J26" s="21" t="s">
        <v>5</v>
      </c>
      <c r="K26" s="22" t="s">
        <v>6</v>
      </c>
    </row>
    <row r="27" s="1" customFormat="1" ht="18" spans="1:11">
      <c r="A27" s="10" t="s">
        <v>7</v>
      </c>
      <c r="B27" s="6">
        <v>7</v>
      </c>
      <c r="C27" s="6">
        <v>4</v>
      </c>
      <c r="D27" s="6">
        <v>0</v>
      </c>
      <c r="E27" s="6">
        <v>24</v>
      </c>
      <c r="F27" s="6"/>
      <c r="G27" s="9" t="s">
        <v>7</v>
      </c>
      <c r="H27" s="6">
        <v>1</v>
      </c>
      <c r="I27" s="6">
        <v>24</v>
      </c>
      <c r="J27" s="6">
        <v>15</v>
      </c>
      <c r="K27" s="23">
        <v>10</v>
      </c>
    </row>
    <row r="28" s="1" customFormat="1" ht="18" spans="1:11">
      <c r="A28" s="10" t="s">
        <v>8</v>
      </c>
      <c r="B28" s="6">
        <v>3</v>
      </c>
      <c r="C28" s="6">
        <v>0</v>
      </c>
      <c r="D28" s="6">
        <v>0</v>
      </c>
      <c r="E28" s="6">
        <v>0</v>
      </c>
      <c r="F28" s="6"/>
      <c r="G28" s="9" t="s">
        <v>8</v>
      </c>
      <c r="H28" s="6">
        <v>0</v>
      </c>
      <c r="I28" s="6">
        <v>1</v>
      </c>
      <c r="J28" s="6">
        <v>4</v>
      </c>
      <c r="K28" s="23">
        <v>0</v>
      </c>
    </row>
    <row r="29" s="1" customFormat="1" ht="18" spans="1:11">
      <c r="A29" s="10" t="s">
        <v>9</v>
      </c>
      <c r="B29" s="6">
        <v>5</v>
      </c>
      <c r="C29" s="6">
        <v>0</v>
      </c>
      <c r="D29" s="6">
        <v>0</v>
      </c>
      <c r="E29" s="6">
        <v>0</v>
      </c>
      <c r="F29" s="6"/>
      <c r="G29" s="9" t="s">
        <v>9</v>
      </c>
      <c r="H29" s="6">
        <v>0</v>
      </c>
      <c r="I29" s="6">
        <v>1</v>
      </c>
      <c r="J29" s="6">
        <v>22</v>
      </c>
      <c r="K29" s="23">
        <v>0</v>
      </c>
    </row>
    <row r="30" s="1" customFormat="1" ht="18" spans="1:11">
      <c r="A30" s="10" t="s">
        <v>10</v>
      </c>
      <c r="B30" s="11">
        <f t="shared" ref="B30:E30" si="3">(B28/B27)*100</f>
        <v>42.8571428571429</v>
      </c>
      <c r="C30" s="11">
        <f t="shared" si="3"/>
        <v>0</v>
      </c>
      <c r="D30" s="11" t="e">
        <f t="shared" si="3"/>
        <v>#DIV/0!</v>
      </c>
      <c r="E30" s="11">
        <f t="shared" si="3"/>
        <v>0</v>
      </c>
      <c r="F30" s="6"/>
      <c r="G30" s="9" t="s">
        <v>10</v>
      </c>
      <c r="H30" s="11">
        <f t="shared" ref="H30:K30" si="4">(H28/H27)*100</f>
        <v>0</v>
      </c>
      <c r="I30" s="11">
        <f t="shared" si="4"/>
        <v>4.16666666666667</v>
      </c>
      <c r="J30" s="11">
        <f t="shared" si="4"/>
        <v>26.6666666666667</v>
      </c>
      <c r="K30" s="24">
        <f t="shared" si="4"/>
        <v>0</v>
      </c>
    </row>
    <row r="31" s="1" customFormat="1" ht="15.75" spans="1:11">
      <c r="A31" s="7"/>
      <c r="B31" s="6"/>
      <c r="C31" s="6"/>
      <c r="D31" s="6"/>
      <c r="E31" s="6"/>
      <c r="F31" s="6"/>
      <c r="G31" s="6"/>
      <c r="H31" s="6"/>
      <c r="I31" s="6"/>
      <c r="J31" s="6"/>
      <c r="K31" s="23"/>
    </row>
    <row r="32" s="1" customFormat="1" ht="18.5" spans="1:11">
      <c r="A32" s="4" t="s">
        <v>11</v>
      </c>
      <c r="B32" s="5"/>
      <c r="C32" s="5"/>
      <c r="D32" s="5"/>
      <c r="E32" s="5"/>
      <c r="F32" s="6"/>
      <c r="G32" s="5" t="s">
        <v>12</v>
      </c>
      <c r="H32" s="5"/>
      <c r="I32" s="5"/>
      <c r="J32" s="5"/>
      <c r="K32" s="20"/>
    </row>
    <row r="33" s="1" customFormat="1" ht="17.25" spans="1:11">
      <c r="A33" s="7"/>
      <c r="B33" s="9" t="s">
        <v>3</v>
      </c>
      <c r="C33" s="9" t="s">
        <v>4</v>
      </c>
      <c r="D33" s="9" t="s">
        <v>5</v>
      </c>
      <c r="E33" s="9" t="s">
        <v>6</v>
      </c>
      <c r="F33" s="6"/>
      <c r="G33" s="6"/>
      <c r="H33" s="9" t="s">
        <v>3</v>
      </c>
      <c r="I33" s="9" t="s">
        <v>4</v>
      </c>
      <c r="J33" s="21" t="s">
        <v>5</v>
      </c>
      <c r="K33" s="22" t="s">
        <v>6</v>
      </c>
    </row>
    <row r="34" s="1" customFormat="1" ht="18" spans="1:11">
      <c r="A34" s="10" t="s">
        <v>7</v>
      </c>
      <c r="B34" s="6">
        <v>1</v>
      </c>
      <c r="C34" s="6">
        <v>23</v>
      </c>
      <c r="D34" s="12">
        <v>19</v>
      </c>
      <c r="E34" s="6">
        <v>11</v>
      </c>
      <c r="F34" s="6"/>
      <c r="G34" s="9" t="s">
        <v>7</v>
      </c>
      <c r="H34" s="12">
        <v>8</v>
      </c>
      <c r="I34" s="6">
        <v>120</v>
      </c>
      <c r="J34" s="6">
        <v>42</v>
      </c>
      <c r="K34" s="23">
        <v>9</v>
      </c>
    </row>
    <row r="35" s="1" customFormat="1" ht="18" spans="1:11">
      <c r="A35" s="10" t="s">
        <v>8</v>
      </c>
      <c r="B35" s="6">
        <v>0</v>
      </c>
      <c r="C35" s="6">
        <v>17</v>
      </c>
      <c r="D35" s="12">
        <v>2</v>
      </c>
      <c r="E35" s="6">
        <v>0</v>
      </c>
      <c r="F35" s="6"/>
      <c r="G35" s="9" t="s">
        <v>8</v>
      </c>
      <c r="H35" s="12">
        <v>5</v>
      </c>
      <c r="I35" s="6">
        <v>60</v>
      </c>
      <c r="J35" s="6">
        <v>5</v>
      </c>
      <c r="K35" s="23">
        <v>4</v>
      </c>
    </row>
    <row r="36" s="1" customFormat="1" ht="18" spans="1:11">
      <c r="A36" s="10" t="s">
        <v>9</v>
      </c>
      <c r="B36" s="6">
        <v>0</v>
      </c>
      <c r="C36" s="6">
        <v>68</v>
      </c>
      <c r="D36" s="12">
        <v>4</v>
      </c>
      <c r="E36" s="6">
        <v>0</v>
      </c>
      <c r="F36" s="6"/>
      <c r="G36" s="9" t="s">
        <v>9</v>
      </c>
      <c r="H36" s="12">
        <v>43</v>
      </c>
      <c r="I36" s="6">
        <v>220</v>
      </c>
      <c r="J36" s="6">
        <v>28</v>
      </c>
      <c r="K36" s="23">
        <v>8</v>
      </c>
    </row>
    <row r="37" s="1" customFormat="1" ht="18" spans="1:11">
      <c r="A37" s="10" t="s">
        <v>10</v>
      </c>
      <c r="B37" s="11">
        <f t="shared" ref="B37:E37" si="5">(B35/B34)*100</f>
        <v>0</v>
      </c>
      <c r="C37" s="11">
        <f t="shared" si="5"/>
        <v>73.9130434782609</v>
      </c>
      <c r="D37" s="11">
        <f t="shared" si="5"/>
        <v>10.5263157894737</v>
      </c>
      <c r="E37" s="11">
        <f t="shared" si="5"/>
        <v>0</v>
      </c>
      <c r="F37" s="6"/>
      <c r="G37" s="9" t="s">
        <v>10</v>
      </c>
      <c r="H37" s="11">
        <f t="shared" ref="H37:K37" si="6">(H35/H34)*100</f>
        <v>62.5</v>
      </c>
      <c r="I37" s="11">
        <f t="shared" si="6"/>
        <v>50</v>
      </c>
      <c r="J37" s="11">
        <f t="shared" si="6"/>
        <v>11.9047619047619</v>
      </c>
      <c r="K37" s="24">
        <f t="shared" si="6"/>
        <v>44.4444444444444</v>
      </c>
    </row>
    <row r="38" s="1" customFormat="1" ht="15.75" spans="1:11">
      <c r="A38" s="7"/>
      <c r="B38" s="6"/>
      <c r="C38" s="6"/>
      <c r="D38" s="6"/>
      <c r="E38" s="6"/>
      <c r="F38" s="6"/>
      <c r="G38" s="6"/>
      <c r="H38" s="6"/>
      <c r="I38" s="6"/>
      <c r="J38" s="6"/>
      <c r="K38" s="23"/>
    </row>
    <row r="39" s="1" customFormat="1" ht="18.5" spans="1:11">
      <c r="A39" s="4" t="s">
        <v>13</v>
      </c>
      <c r="B39" s="5"/>
      <c r="C39" s="5"/>
      <c r="D39" s="5"/>
      <c r="E39" s="5"/>
      <c r="F39" s="6"/>
      <c r="G39" s="5" t="s">
        <v>14</v>
      </c>
      <c r="H39" s="5"/>
      <c r="I39" s="5"/>
      <c r="J39" s="5"/>
      <c r="K39" s="20"/>
    </row>
    <row r="40" s="1" customFormat="1" ht="17.25" spans="1:11">
      <c r="A40" s="7"/>
      <c r="B40" s="9" t="s">
        <v>3</v>
      </c>
      <c r="C40" s="9" t="s">
        <v>4</v>
      </c>
      <c r="D40" s="9" t="s">
        <v>5</v>
      </c>
      <c r="E40" s="9" t="s">
        <v>6</v>
      </c>
      <c r="F40" s="6"/>
      <c r="G40" s="6"/>
      <c r="H40" s="9" t="s">
        <v>3</v>
      </c>
      <c r="I40" s="9" t="s">
        <v>4</v>
      </c>
      <c r="J40" s="21" t="s">
        <v>5</v>
      </c>
      <c r="K40" s="22" t="s">
        <v>6</v>
      </c>
    </row>
    <row r="41" s="1" customFormat="1" ht="18" spans="1:11">
      <c r="A41" s="10" t="s">
        <v>7</v>
      </c>
      <c r="B41" s="6">
        <v>7</v>
      </c>
      <c r="C41" s="6">
        <v>37</v>
      </c>
      <c r="D41" s="6">
        <v>34</v>
      </c>
      <c r="E41" s="6">
        <v>4</v>
      </c>
      <c r="F41" s="6"/>
      <c r="G41" s="9" t="s">
        <v>7</v>
      </c>
      <c r="H41" s="6">
        <v>0</v>
      </c>
      <c r="I41" s="6">
        <v>27</v>
      </c>
      <c r="J41" s="6">
        <v>45</v>
      </c>
      <c r="K41" s="23">
        <v>8</v>
      </c>
    </row>
    <row r="42" s="1" customFormat="1" ht="18" spans="1:11">
      <c r="A42" s="10" t="s">
        <v>8</v>
      </c>
      <c r="B42" s="6">
        <v>6</v>
      </c>
      <c r="C42" s="6">
        <v>19</v>
      </c>
      <c r="D42" s="6">
        <v>0</v>
      </c>
      <c r="E42" s="6">
        <v>1</v>
      </c>
      <c r="F42" s="6"/>
      <c r="G42" s="9" t="s">
        <v>8</v>
      </c>
      <c r="H42" s="6">
        <v>0</v>
      </c>
      <c r="I42" s="6">
        <v>24</v>
      </c>
      <c r="J42" s="6">
        <v>5</v>
      </c>
      <c r="K42" s="23">
        <v>2</v>
      </c>
    </row>
    <row r="43" s="1" customFormat="1" ht="18" spans="1:11">
      <c r="A43" s="10" t="s">
        <v>9</v>
      </c>
      <c r="B43" s="6">
        <v>41</v>
      </c>
      <c r="C43" s="6">
        <v>70</v>
      </c>
      <c r="D43" s="6">
        <v>0</v>
      </c>
      <c r="E43" s="6">
        <v>1</v>
      </c>
      <c r="F43" s="6"/>
      <c r="G43" s="9" t="s">
        <v>9</v>
      </c>
      <c r="H43" s="6">
        <v>0</v>
      </c>
      <c r="I43" s="6">
        <v>98</v>
      </c>
      <c r="J43" s="6">
        <v>25</v>
      </c>
      <c r="K43" s="23">
        <v>4</v>
      </c>
    </row>
    <row r="44" ht="18" spans="1:11">
      <c r="A44" s="13" t="s">
        <v>10</v>
      </c>
      <c r="B44" s="14">
        <f t="shared" ref="B44:E44" si="7">(B42/B41)*100</f>
        <v>85.7142857142857</v>
      </c>
      <c r="C44" s="14">
        <f t="shared" si="7"/>
        <v>51.3513513513513</v>
      </c>
      <c r="D44" s="14">
        <f t="shared" si="7"/>
        <v>0</v>
      </c>
      <c r="E44" s="14">
        <f t="shared" si="7"/>
        <v>25</v>
      </c>
      <c r="F44" s="15"/>
      <c r="G44" s="16" t="s">
        <v>10</v>
      </c>
      <c r="H44" s="14" t="e">
        <f t="shared" ref="H44:K44" si="8">(H42/H41)*100</f>
        <v>#DIV/0!</v>
      </c>
      <c r="I44" s="14">
        <f t="shared" si="8"/>
        <v>88.8888888888889</v>
      </c>
      <c r="J44" s="14">
        <f t="shared" si="8"/>
        <v>11.1111111111111</v>
      </c>
      <c r="K44" s="25">
        <f t="shared" si="8"/>
        <v>25</v>
      </c>
    </row>
    <row r="46" ht="19.25" spans="1:11">
      <c r="A46" s="17" t="s">
        <v>16</v>
      </c>
      <c r="B46" s="18"/>
      <c r="C46" s="18"/>
      <c r="D46" s="18"/>
      <c r="E46" s="18"/>
      <c r="F46" s="18"/>
      <c r="G46" s="18"/>
      <c r="H46" s="18"/>
      <c r="I46" s="18"/>
      <c r="J46" s="18"/>
      <c r="K46" s="26"/>
    </row>
    <row r="47" ht="19.25" spans="1:11">
      <c r="A47" s="4" t="s">
        <v>1</v>
      </c>
      <c r="B47" s="5"/>
      <c r="C47" s="5"/>
      <c r="D47" s="5"/>
      <c r="E47" s="5"/>
      <c r="F47" s="6"/>
      <c r="G47" s="5" t="s">
        <v>2</v>
      </c>
      <c r="H47" s="5"/>
      <c r="I47" s="5"/>
      <c r="J47" s="5"/>
      <c r="K47" s="20"/>
    </row>
    <row r="48" ht="17.25" spans="1:11">
      <c r="A48" s="7"/>
      <c r="B48" s="9" t="s">
        <v>3</v>
      </c>
      <c r="C48" s="9" t="s">
        <v>4</v>
      </c>
      <c r="D48" s="9" t="s">
        <v>5</v>
      </c>
      <c r="E48" s="9" t="s">
        <v>6</v>
      </c>
      <c r="F48" s="6"/>
      <c r="G48" s="6"/>
      <c r="H48" s="9" t="s">
        <v>3</v>
      </c>
      <c r="I48" s="9" t="s">
        <v>4</v>
      </c>
      <c r="J48" s="9" t="s">
        <v>5</v>
      </c>
      <c r="K48" s="22" t="s">
        <v>6</v>
      </c>
    </row>
    <row r="49" ht="18" spans="1:11">
      <c r="A49" s="10" t="s">
        <v>7</v>
      </c>
      <c r="B49" s="6">
        <v>7</v>
      </c>
      <c r="C49" s="6">
        <v>4</v>
      </c>
      <c r="D49" s="6">
        <v>0</v>
      </c>
      <c r="E49" s="6">
        <v>25</v>
      </c>
      <c r="F49" s="6"/>
      <c r="G49" s="9" t="s">
        <v>7</v>
      </c>
      <c r="H49" s="6">
        <v>1</v>
      </c>
      <c r="I49" s="6">
        <v>26</v>
      </c>
      <c r="J49" s="6">
        <v>15</v>
      </c>
      <c r="K49" s="27">
        <v>11</v>
      </c>
    </row>
    <row r="50" ht="18" spans="1:11">
      <c r="A50" s="10" t="s">
        <v>8</v>
      </c>
      <c r="B50" s="6">
        <v>2</v>
      </c>
      <c r="C50" s="6">
        <v>0</v>
      </c>
      <c r="D50" s="6">
        <v>0</v>
      </c>
      <c r="E50" s="6">
        <v>0</v>
      </c>
      <c r="F50" s="6"/>
      <c r="G50" s="9" t="s">
        <v>8</v>
      </c>
      <c r="H50" s="6">
        <v>0</v>
      </c>
      <c r="I50" s="6">
        <v>0</v>
      </c>
      <c r="J50" s="6">
        <v>0</v>
      </c>
      <c r="K50" s="27">
        <v>0</v>
      </c>
    </row>
    <row r="51" ht="18" spans="1:11">
      <c r="A51" s="10" t="s">
        <v>9</v>
      </c>
      <c r="B51" s="6">
        <v>2</v>
      </c>
      <c r="C51" s="6">
        <v>0</v>
      </c>
      <c r="D51" s="6">
        <v>0</v>
      </c>
      <c r="E51" s="6">
        <v>0</v>
      </c>
      <c r="F51" s="6"/>
      <c r="G51" s="9" t="s">
        <v>9</v>
      </c>
      <c r="H51" s="6">
        <v>0</v>
      </c>
      <c r="I51" s="6">
        <v>0</v>
      </c>
      <c r="J51" s="6">
        <v>0</v>
      </c>
      <c r="K51" s="27">
        <v>0</v>
      </c>
    </row>
    <row r="52" ht="18" spans="1:11">
      <c r="A52" s="10" t="s">
        <v>10</v>
      </c>
      <c r="B52" s="11">
        <f t="shared" ref="B52:E52" si="9">(B50/B49)*100</f>
        <v>28.5714285714286</v>
      </c>
      <c r="C52" s="11">
        <f t="shared" si="9"/>
        <v>0</v>
      </c>
      <c r="D52" s="11" t="e">
        <f t="shared" si="9"/>
        <v>#DIV/0!</v>
      </c>
      <c r="E52" s="11">
        <f t="shared" si="9"/>
        <v>0</v>
      </c>
      <c r="F52" s="6"/>
      <c r="G52" s="9" t="s">
        <v>10</v>
      </c>
      <c r="H52" s="11">
        <f t="shared" ref="H52:K52" si="10">(H50/H49)*100</f>
        <v>0</v>
      </c>
      <c r="I52" s="11">
        <f t="shared" si="10"/>
        <v>0</v>
      </c>
      <c r="J52" s="11">
        <f t="shared" si="10"/>
        <v>0</v>
      </c>
      <c r="K52" s="24">
        <f t="shared" si="10"/>
        <v>0</v>
      </c>
    </row>
    <row r="53" ht="15.75" spans="1:11">
      <c r="A53" s="7"/>
      <c r="B53" s="6"/>
      <c r="C53" s="6"/>
      <c r="D53" s="6"/>
      <c r="E53" s="6"/>
      <c r="F53" s="6"/>
      <c r="G53" s="6"/>
      <c r="H53" s="6"/>
      <c r="I53" s="6"/>
      <c r="J53" s="6"/>
      <c r="K53" s="27"/>
    </row>
    <row r="54" ht="18.5" spans="1:11">
      <c r="A54" s="4" t="s">
        <v>11</v>
      </c>
      <c r="B54" s="5"/>
      <c r="C54" s="5"/>
      <c r="D54" s="5"/>
      <c r="E54" s="5"/>
      <c r="F54" s="6"/>
      <c r="G54" s="5" t="s">
        <v>12</v>
      </c>
      <c r="H54" s="5"/>
      <c r="I54" s="5"/>
      <c r="J54" s="5"/>
      <c r="K54" s="20"/>
    </row>
    <row r="55" ht="17.25" spans="1:11">
      <c r="A55" s="7"/>
      <c r="B55" s="9" t="s">
        <v>3</v>
      </c>
      <c r="C55" s="9" t="s">
        <v>4</v>
      </c>
      <c r="D55" s="9" t="s">
        <v>5</v>
      </c>
      <c r="E55" s="9" t="s">
        <v>6</v>
      </c>
      <c r="F55" s="6"/>
      <c r="G55" s="6"/>
      <c r="H55" s="9" t="s">
        <v>3</v>
      </c>
      <c r="I55" s="9" t="s">
        <v>4</v>
      </c>
      <c r="J55" s="9" t="s">
        <v>5</v>
      </c>
      <c r="K55" s="22" t="s">
        <v>6</v>
      </c>
    </row>
    <row r="56" ht="18" spans="1:11">
      <c r="A56" s="10" t="s">
        <v>7</v>
      </c>
      <c r="B56" s="6">
        <v>1</v>
      </c>
      <c r="C56" s="6">
        <v>17</v>
      </c>
      <c r="D56" s="6">
        <v>19</v>
      </c>
      <c r="E56" s="6">
        <v>11</v>
      </c>
      <c r="F56" s="6"/>
      <c r="G56" s="9" t="s">
        <v>7</v>
      </c>
      <c r="H56" s="6">
        <v>10</v>
      </c>
      <c r="I56" s="6">
        <v>200</v>
      </c>
      <c r="J56" s="6">
        <v>44</v>
      </c>
      <c r="K56" s="27">
        <v>9</v>
      </c>
    </row>
    <row r="57" ht="18" spans="1:11">
      <c r="A57" s="10" t="s">
        <v>8</v>
      </c>
      <c r="B57" s="6">
        <v>0</v>
      </c>
      <c r="C57" s="6">
        <v>4</v>
      </c>
      <c r="D57" s="6">
        <v>1</v>
      </c>
      <c r="E57" s="6">
        <v>0</v>
      </c>
      <c r="F57" s="6"/>
      <c r="G57" s="9" t="s">
        <v>8</v>
      </c>
      <c r="H57" s="6">
        <v>8</v>
      </c>
      <c r="I57" s="6">
        <v>110</v>
      </c>
      <c r="J57" s="6">
        <v>0</v>
      </c>
      <c r="K57" s="27">
        <v>5</v>
      </c>
    </row>
    <row r="58" ht="18" spans="1:11">
      <c r="A58" s="10" t="s">
        <v>9</v>
      </c>
      <c r="B58" s="6">
        <v>0</v>
      </c>
      <c r="C58" s="6">
        <v>40</v>
      </c>
      <c r="D58" s="6">
        <v>2</v>
      </c>
      <c r="E58" s="6">
        <v>0</v>
      </c>
      <c r="F58" s="6"/>
      <c r="G58" s="9" t="s">
        <v>9</v>
      </c>
      <c r="H58" s="6">
        <v>38</v>
      </c>
      <c r="I58" s="6">
        <v>450</v>
      </c>
      <c r="J58" s="6">
        <v>0</v>
      </c>
      <c r="K58" s="27">
        <v>13</v>
      </c>
    </row>
    <row r="59" ht="18" spans="1:11">
      <c r="A59" s="10" t="s">
        <v>10</v>
      </c>
      <c r="B59" s="11">
        <f t="shared" ref="B59:E59" si="11">(B57/B56)*100</f>
        <v>0</v>
      </c>
      <c r="C59" s="11">
        <f t="shared" si="11"/>
        <v>23.5294117647059</v>
      </c>
      <c r="D59" s="11">
        <f t="shared" si="11"/>
        <v>5.26315789473684</v>
      </c>
      <c r="E59" s="11">
        <f t="shared" si="11"/>
        <v>0</v>
      </c>
      <c r="F59" s="6"/>
      <c r="G59" s="9" t="s">
        <v>10</v>
      </c>
      <c r="H59" s="11">
        <f t="shared" ref="H59:K59" si="12">(H57/H56)*100</f>
        <v>80</v>
      </c>
      <c r="I59" s="11">
        <f t="shared" si="12"/>
        <v>55</v>
      </c>
      <c r="J59" s="11">
        <f t="shared" si="12"/>
        <v>0</v>
      </c>
      <c r="K59" s="24">
        <f t="shared" si="12"/>
        <v>55.5555555555556</v>
      </c>
    </row>
    <row r="60" ht="15.75" spans="1:11">
      <c r="A60" s="7"/>
      <c r="B60" s="6"/>
      <c r="C60" s="6"/>
      <c r="D60" s="6"/>
      <c r="E60" s="6"/>
      <c r="F60" s="6"/>
      <c r="G60" s="6"/>
      <c r="H60" s="6"/>
      <c r="I60" s="6"/>
      <c r="J60" s="6"/>
      <c r="K60" s="27"/>
    </row>
    <row r="61" ht="18.5" spans="1:11">
      <c r="A61" s="4" t="s">
        <v>13</v>
      </c>
      <c r="B61" s="5"/>
      <c r="C61" s="5"/>
      <c r="D61" s="5"/>
      <c r="E61" s="5"/>
      <c r="F61" s="6"/>
      <c r="G61" s="5" t="s">
        <v>14</v>
      </c>
      <c r="H61" s="5"/>
      <c r="I61" s="5"/>
      <c r="J61" s="5"/>
      <c r="K61" s="20"/>
    </row>
    <row r="62" ht="17.25" spans="1:11">
      <c r="A62" s="7"/>
      <c r="B62" s="9" t="s">
        <v>3</v>
      </c>
      <c r="C62" s="9" t="s">
        <v>4</v>
      </c>
      <c r="D62" s="9" t="s">
        <v>5</v>
      </c>
      <c r="E62" s="9" t="s">
        <v>6</v>
      </c>
      <c r="F62" s="6"/>
      <c r="G62" s="6"/>
      <c r="H62" s="9" t="s">
        <v>3</v>
      </c>
      <c r="I62" s="9" t="s">
        <v>4</v>
      </c>
      <c r="J62" s="9" t="s">
        <v>5</v>
      </c>
      <c r="K62" s="22" t="s">
        <v>6</v>
      </c>
    </row>
    <row r="63" ht="18" spans="1:11">
      <c r="A63" s="10" t="s">
        <v>7</v>
      </c>
      <c r="B63" s="6">
        <v>8</v>
      </c>
      <c r="C63" s="6">
        <v>44</v>
      </c>
      <c r="D63" s="6">
        <v>29</v>
      </c>
      <c r="E63" s="6">
        <v>4</v>
      </c>
      <c r="F63" s="6"/>
      <c r="G63" s="9" t="s">
        <v>7</v>
      </c>
      <c r="H63" s="6">
        <v>0</v>
      </c>
      <c r="I63" s="6">
        <v>39</v>
      </c>
      <c r="J63" s="6">
        <v>42</v>
      </c>
      <c r="K63" s="27">
        <v>9</v>
      </c>
    </row>
    <row r="64" ht="18" spans="1:11">
      <c r="A64" s="10" t="s">
        <v>8</v>
      </c>
      <c r="B64" s="6">
        <v>6</v>
      </c>
      <c r="C64" s="6">
        <v>36</v>
      </c>
      <c r="D64" s="6">
        <v>0</v>
      </c>
      <c r="E64" s="6">
        <v>0</v>
      </c>
      <c r="F64" s="6"/>
      <c r="G64" s="9" t="s">
        <v>8</v>
      </c>
      <c r="H64" s="6">
        <v>0</v>
      </c>
      <c r="I64" s="6">
        <v>29</v>
      </c>
      <c r="J64" s="6">
        <v>9</v>
      </c>
      <c r="K64" s="27">
        <v>1</v>
      </c>
    </row>
    <row r="65" ht="18" spans="1:11">
      <c r="A65" s="10" t="s">
        <v>9</v>
      </c>
      <c r="B65" s="6">
        <v>34</v>
      </c>
      <c r="C65" s="6">
        <v>61</v>
      </c>
      <c r="D65" s="6">
        <v>0</v>
      </c>
      <c r="E65" s="6">
        <v>0</v>
      </c>
      <c r="F65" s="6"/>
      <c r="G65" s="9" t="s">
        <v>9</v>
      </c>
      <c r="H65" s="6">
        <v>0</v>
      </c>
      <c r="I65" s="6">
        <v>14</v>
      </c>
      <c r="J65" s="6">
        <v>69</v>
      </c>
      <c r="K65" s="27">
        <v>6</v>
      </c>
    </row>
    <row r="66" ht="18" spans="1:11">
      <c r="A66" s="13" t="s">
        <v>10</v>
      </c>
      <c r="B66" s="14">
        <f t="shared" ref="B66:E66" si="13">(B64/B63)*100</f>
        <v>75</v>
      </c>
      <c r="C66" s="14">
        <f t="shared" si="13"/>
        <v>81.8181818181818</v>
      </c>
      <c r="D66" s="14">
        <f t="shared" si="13"/>
        <v>0</v>
      </c>
      <c r="E66" s="14">
        <f t="shared" si="13"/>
        <v>0</v>
      </c>
      <c r="F66" s="15"/>
      <c r="G66" s="16" t="s">
        <v>10</v>
      </c>
      <c r="H66" s="14" t="e">
        <f t="shared" ref="H66:K66" si="14">(H64/H63)*100</f>
        <v>#DIV/0!</v>
      </c>
      <c r="I66" s="14">
        <f t="shared" si="14"/>
        <v>74.3589743589744</v>
      </c>
      <c r="J66" s="14">
        <f t="shared" si="14"/>
        <v>21.4285714285714</v>
      </c>
      <c r="K66" s="25">
        <f t="shared" si="14"/>
        <v>11.1111111111111</v>
      </c>
    </row>
    <row r="68" ht="19.25" spans="1:11">
      <c r="A68" s="17" t="s">
        <v>17</v>
      </c>
      <c r="B68" s="18"/>
      <c r="C68" s="18"/>
      <c r="D68" s="18"/>
      <c r="E68" s="18"/>
      <c r="F68" s="18"/>
      <c r="G68" s="18"/>
      <c r="H68" s="18"/>
      <c r="I68" s="18"/>
      <c r="J68" s="18"/>
      <c r="K68" s="26"/>
    </row>
    <row r="69" ht="19.25" spans="1:11">
      <c r="A69" s="4" t="s">
        <v>1</v>
      </c>
      <c r="B69" s="5"/>
      <c r="C69" s="5"/>
      <c r="D69" s="5"/>
      <c r="E69" s="5"/>
      <c r="F69" s="6"/>
      <c r="G69" s="5" t="s">
        <v>2</v>
      </c>
      <c r="H69" s="5"/>
      <c r="I69" s="5"/>
      <c r="J69" s="5"/>
      <c r="K69" s="20"/>
    </row>
    <row r="70" ht="17.25" spans="1:11">
      <c r="A70" s="7"/>
      <c r="B70" s="9" t="s">
        <v>3</v>
      </c>
      <c r="C70" s="9" t="s">
        <v>4</v>
      </c>
      <c r="D70" s="9" t="s">
        <v>5</v>
      </c>
      <c r="E70" s="9" t="s">
        <v>6</v>
      </c>
      <c r="F70" s="6"/>
      <c r="G70" s="6"/>
      <c r="H70" s="9" t="s">
        <v>3</v>
      </c>
      <c r="I70" s="9" t="s">
        <v>4</v>
      </c>
      <c r="J70" s="9" t="s">
        <v>5</v>
      </c>
      <c r="K70" s="22" t="s">
        <v>6</v>
      </c>
    </row>
    <row r="71" ht="18" spans="1:11">
      <c r="A71" s="10" t="s">
        <v>7</v>
      </c>
      <c r="B71" s="6">
        <v>6</v>
      </c>
      <c r="C71" s="6">
        <v>4</v>
      </c>
      <c r="D71" s="6">
        <v>0</v>
      </c>
      <c r="E71" s="6">
        <v>25</v>
      </c>
      <c r="F71" s="6"/>
      <c r="G71" s="9" t="s">
        <v>7</v>
      </c>
      <c r="H71" s="6">
        <v>1</v>
      </c>
      <c r="I71" s="6">
        <v>27</v>
      </c>
      <c r="J71" s="6">
        <v>15</v>
      </c>
      <c r="K71" s="27">
        <v>10</v>
      </c>
    </row>
    <row r="72" ht="18" spans="1:11">
      <c r="A72" s="10" t="s">
        <v>8</v>
      </c>
      <c r="B72" s="6">
        <v>1</v>
      </c>
      <c r="C72" s="6">
        <v>0</v>
      </c>
      <c r="D72" s="6">
        <v>0</v>
      </c>
      <c r="E72" s="6">
        <v>0</v>
      </c>
      <c r="F72" s="6"/>
      <c r="G72" s="9" t="s">
        <v>8</v>
      </c>
      <c r="H72" s="6">
        <v>0</v>
      </c>
      <c r="I72" s="6">
        <v>0</v>
      </c>
      <c r="J72" s="6">
        <v>0</v>
      </c>
      <c r="K72" s="27">
        <v>0</v>
      </c>
    </row>
    <row r="73" ht="18" spans="1:11">
      <c r="A73" s="10" t="s">
        <v>9</v>
      </c>
      <c r="B73" s="6">
        <v>12</v>
      </c>
      <c r="C73" s="6">
        <v>0</v>
      </c>
      <c r="D73" s="6">
        <v>0</v>
      </c>
      <c r="E73" s="6">
        <v>0</v>
      </c>
      <c r="F73" s="6"/>
      <c r="G73" s="9" t="s">
        <v>9</v>
      </c>
      <c r="H73" s="6">
        <v>0</v>
      </c>
      <c r="I73" s="6">
        <v>0</v>
      </c>
      <c r="J73" s="6">
        <v>0</v>
      </c>
      <c r="K73" s="27">
        <v>0</v>
      </c>
    </row>
    <row r="74" ht="18" spans="1:11">
      <c r="A74" s="10" t="s">
        <v>10</v>
      </c>
      <c r="B74" s="11">
        <f>(B72/B71)*100</f>
        <v>16.6666666666667</v>
      </c>
      <c r="C74" s="11">
        <f t="shared" ref="C74:K74" si="15">(C72/C71)*100</f>
        <v>0</v>
      </c>
      <c r="D74" s="11" t="e">
        <f t="shared" si="15"/>
        <v>#DIV/0!</v>
      </c>
      <c r="E74" s="11">
        <f t="shared" si="15"/>
        <v>0</v>
      </c>
      <c r="F74" s="6"/>
      <c r="G74" s="9" t="s">
        <v>10</v>
      </c>
      <c r="H74" s="11">
        <f t="shared" si="15"/>
        <v>0</v>
      </c>
      <c r="I74" s="11">
        <f t="shared" si="15"/>
        <v>0</v>
      </c>
      <c r="J74" s="11">
        <f t="shared" si="15"/>
        <v>0</v>
      </c>
      <c r="K74" s="24">
        <f t="shared" si="15"/>
        <v>0</v>
      </c>
    </row>
    <row r="75" ht="15.75" spans="1:11">
      <c r="A75" s="7"/>
      <c r="B75" s="6"/>
      <c r="C75" s="6"/>
      <c r="D75" s="6"/>
      <c r="E75" s="6"/>
      <c r="F75" s="6"/>
      <c r="G75" s="6"/>
      <c r="H75" s="6"/>
      <c r="I75" s="6"/>
      <c r="J75" s="6"/>
      <c r="K75" s="27"/>
    </row>
    <row r="76" ht="18.5" spans="1:11">
      <c r="A76" s="4" t="s">
        <v>11</v>
      </c>
      <c r="B76" s="5"/>
      <c r="C76" s="5"/>
      <c r="D76" s="5"/>
      <c r="E76" s="5"/>
      <c r="F76" s="6"/>
      <c r="G76" s="5" t="s">
        <v>12</v>
      </c>
      <c r="H76" s="5"/>
      <c r="I76" s="5"/>
      <c r="J76" s="5"/>
      <c r="K76" s="20"/>
    </row>
    <row r="77" ht="17.25" spans="1:11">
      <c r="A77" s="7"/>
      <c r="B77" s="9" t="s">
        <v>3</v>
      </c>
      <c r="C77" s="9" t="s">
        <v>4</v>
      </c>
      <c r="D77" s="9" t="s">
        <v>5</v>
      </c>
      <c r="E77" s="9" t="s">
        <v>6</v>
      </c>
      <c r="F77" s="6"/>
      <c r="G77" s="6"/>
      <c r="H77" s="9" t="s">
        <v>3</v>
      </c>
      <c r="I77" s="9" t="s">
        <v>4</v>
      </c>
      <c r="J77" s="9" t="s">
        <v>5</v>
      </c>
      <c r="K77" s="22" t="s">
        <v>6</v>
      </c>
    </row>
    <row r="78" ht="18" spans="1:11">
      <c r="A78" s="10" t="s">
        <v>7</v>
      </c>
      <c r="B78" s="6">
        <v>1</v>
      </c>
      <c r="C78" s="6">
        <v>18</v>
      </c>
      <c r="D78" s="6">
        <v>20</v>
      </c>
      <c r="E78" s="6">
        <v>12</v>
      </c>
      <c r="F78" s="6"/>
      <c r="G78" s="9" t="s">
        <v>7</v>
      </c>
      <c r="H78" s="6">
        <v>12</v>
      </c>
      <c r="I78" s="6">
        <v>230</v>
      </c>
      <c r="J78" s="6">
        <v>40</v>
      </c>
      <c r="K78" s="27">
        <v>9</v>
      </c>
    </row>
    <row r="79" ht="18" spans="1:11">
      <c r="A79" s="10" t="s">
        <v>8</v>
      </c>
      <c r="B79" s="6">
        <v>0</v>
      </c>
      <c r="C79" s="6">
        <v>0</v>
      </c>
      <c r="D79" s="6">
        <v>1</v>
      </c>
      <c r="E79" s="6">
        <v>0</v>
      </c>
      <c r="F79" s="6"/>
      <c r="G79" s="9" t="s">
        <v>8</v>
      </c>
      <c r="H79" s="6">
        <v>9</v>
      </c>
      <c r="I79" s="6">
        <v>90</v>
      </c>
      <c r="J79" s="6">
        <v>0</v>
      </c>
      <c r="K79" s="27">
        <v>3</v>
      </c>
    </row>
    <row r="80" ht="18" spans="1:11">
      <c r="A80" s="10" t="s">
        <v>9</v>
      </c>
      <c r="B80" s="6">
        <v>0</v>
      </c>
      <c r="C80" s="6">
        <v>0</v>
      </c>
      <c r="D80" s="6">
        <v>2</v>
      </c>
      <c r="E80" s="6">
        <v>0</v>
      </c>
      <c r="F80" s="6"/>
      <c r="G80" s="9" t="s">
        <v>9</v>
      </c>
      <c r="H80" s="6">
        <v>37</v>
      </c>
      <c r="I80" s="6">
        <v>230</v>
      </c>
      <c r="J80" s="6">
        <v>0</v>
      </c>
      <c r="K80" s="27">
        <v>18</v>
      </c>
    </row>
    <row r="81" ht="18" spans="1:11">
      <c r="A81" s="10" t="s">
        <v>10</v>
      </c>
      <c r="B81" s="11">
        <f>(B79/B78)*100</f>
        <v>0</v>
      </c>
      <c r="C81" s="11">
        <f t="shared" ref="C81:K81" si="16">(C79/C78)*100</f>
        <v>0</v>
      </c>
      <c r="D81" s="11">
        <f t="shared" si="16"/>
        <v>5</v>
      </c>
      <c r="E81" s="11">
        <f t="shared" si="16"/>
        <v>0</v>
      </c>
      <c r="F81" s="6"/>
      <c r="G81" s="9" t="s">
        <v>10</v>
      </c>
      <c r="H81" s="11">
        <f t="shared" si="16"/>
        <v>75</v>
      </c>
      <c r="I81" s="11">
        <f t="shared" si="16"/>
        <v>39.1304347826087</v>
      </c>
      <c r="J81" s="11">
        <f t="shared" si="16"/>
        <v>0</v>
      </c>
      <c r="K81" s="24">
        <f t="shared" si="16"/>
        <v>33.3333333333333</v>
      </c>
    </row>
    <row r="82" ht="15.75" spans="1:11">
      <c r="A82" s="7"/>
      <c r="B82" s="6"/>
      <c r="C82" s="6"/>
      <c r="D82" s="6"/>
      <c r="E82" s="6"/>
      <c r="F82" s="6"/>
      <c r="G82" s="6"/>
      <c r="H82" s="6"/>
      <c r="I82" s="6"/>
      <c r="J82" s="6"/>
      <c r="K82" s="27"/>
    </row>
    <row r="83" ht="18.5" spans="1:11">
      <c r="A83" s="4" t="s">
        <v>13</v>
      </c>
      <c r="B83" s="5"/>
      <c r="C83" s="5"/>
      <c r="D83" s="5"/>
      <c r="E83" s="5"/>
      <c r="F83" s="6"/>
      <c r="G83" s="5" t="s">
        <v>14</v>
      </c>
      <c r="H83" s="5"/>
      <c r="I83" s="5"/>
      <c r="J83" s="5"/>
      <c r="K83" s="20"/>
    </row>
    <row r="84" ht="17.25" spans="1:11">
      <c r="A84" s="7"/>
      <c r="B84" s="9" t="s">
        <v>3</v>
      </c>
      <c r="C84" s="9" t="s">
        <v>4</v>
      </c>
      <c r="D84" s="9" t="s">
        <v>5</v>
      </c>
      <c r="E84" s="9" t="s">
        <v>6</v>
      </c>
      <c r="F84" s="6"/>
      <c r="G84" s="6"/>
      <c r="H84" s="9" t="s">
        <v>3</v>
      </c>
      <c r="I84" s="9" t="s">
        <v>4</v>
      </c>
      <c r="J84" s="9" t="s">
        <v>5</v>
      </c>
      <c r="K84" s="22" t="s">
        <v>6</v>
      </c>
    </row>
    <row r="85" ht="18" spans="1:11">
      <c r="A85" s="10" t="s">
        <v>7</v>
      </c>
      <c r="B85" s="6">
        <v>7</v>
      </c>
      <c r="C85" s="6">
        <v>38</v>
      </c>
      <c r="D85" s="6">
        <v>16</v>
      </c>
      <c r="E85" s="6">
        <v>4</v>
      </c>
      <c r="F85" s="6"/>
      <c r="G85" s="9" t="s">
        <v>7</v>
      </c>
      <c r="H85" s="6">
        <v>0</v>
      </c>
      <c r="I85" s="6">
        <v>28</v>
      </c>
      <c r="J85" s="6">
        <v>47</v>
      </c>
      <c r="K85" s="27">
        <v>8</v>
      </c>
    </row>
    <row r="86" ht="18" spans="1:11">
      <c r="A86" s="10" t="s">
        <v>8</v>
      </c>
      <c r="B86" s="6">
        <v>5</v>
      </c>
      <c r="C86" s="6">
        <v>26</v>
      </c>
      <c r="D86" s="6">
        <v>0</v>
      </c>
      <c r="E86" s="6">
        <v>0</v>
      </c>
      <c r="F86" s="6"/>
      <c r="G86" s="9" t="s">
        <v>8</v>
      </c>
      <c r="H86" s="6">
        <v>0</v>
      </c>
      <c r="I86" s="6">
        <v>22</v>
      </c>
      <c r="J86" s="6">
        <v>8</v>
      </c>
      <c r="K86" s="27">
        <v>0</v>
      </c>
    </row>
    <row r="87" ht="18" spans="1:11">
      <c r="A87" s="10" t="s">
        <v>9</v>
      </c>
      <c r="B87" s="6">
        <v>21</v>
      </c>
      <c r="C87" s="6">
        <v>116</v>
      </c>
      <c r="D87" s="6">
        <v>0</v>
      </c>
      <c r="E87" s="6">
        <v>0</v>
      </c>
      <c r="F87" s="6"/>
      <c r="G87" s="9" t="s">
        <v>9</v>
      </c>
      <c r="H87" s="6">
        <v>0</v>
      </c>
      <c r="I87" s="6">
        <v>82</v>
      </c>
      <c r="J87" s="6">
        <v>38</v>
      </c>
      <c r="K87" s="27">
        <v>0</v>
      </c>
    </row>
    <row r="88" ht="18" spans="1:11">
      <c r="A88" s="13" t="s">
        <v>10</v>
      </c>
      <c r="B88" s="14">
        <f>(B86/B85)*100</f>
        <v>71.4285714285714</v>
      </c>
      <c r="C88" s="14">
        <f t="shared" ref="C88:K88" si="17">(C86/C85)*100</f>
        <v>68.4210526315789</v>
      </c>
      <c r="D88" s="14">
        <f t="shared" si="17"/>
        <v>0</v>
      </c>
      <c r="E88" s="14">
        <f t="shared" si="17"/>
        <v>0</v>
      </c>
      <c r="F88" s="15"/>
      <c r="G88" s="16" t="s">
        <v>10</v>
      </c>
      <c r="H88" s="14" t="e">
        <f t="shared" si="17"/>
        <v>#DIV/0!</v>
      </c>
      <c r="I88" s="14">
        <f t="shared" si="17"/>
        <v>78.5714285714286</v>
      </c>
      <c r="J88" s="14">
        <f t="shared" si="17"/>
        <v>17.0212765957447</v>
      </c>
      <c r="K88" s="25">
        <f t="shared" si="17"/>
        <v>0</v>
      </c>
    </row>
  </sheetData>
  <mergeCells count="24">
    <mergeCell ref="A3:E3"/>
    <mergeCell ref="G3:K3"/>
    <mergeCell ref="A10:E10"/>
    <mergeCell ref="G10:K10"/>
    <mergeCell ref="A17:E17"/>
    <mergeCell ref="G17:K17"/>
    <mergeCell ref="A25:E25"/>
    <mergeCell ref="G25:K25"/>
    <mergeCell ref="A32:E32"/>
    <mergeCell ref="G32:K32"/>
    <mergeCell ref="A39:E39"/>
    <mergeCell ref="G39:K39"/>
    <mergeCell ref="A47:E47"/>
    <mergeCell ref="G47:K47"/>
    <mergeCell ref="A54:E54"/>
    <mergeCell ref="G54:K54"/>
    <mergeCell ref="A61:E61"/>
    <mergeCell ref="G61:K61"/>
    <mergeCell ref="A69:E69"/>
    <mergeCell ref="G69:K69"/>
    <mergeCell ref="A76:E76"/>
    <mergeCell ref="G76:K76"/>
    <mergeCell ref="A83:E83"/>
    <mergeCell ref="G83:K8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程</cp:lastModifiedBy>
  <dcterms:created xsi:type="dcterms:W3CDTF">2023-05-12T11:15:00Z</dcterms:created>
  <dcterms:modified xsi:type="dcterms:W3CDTF">2024-12-26T09:29:39Z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214F1DC4AA124B4D9EEAC7D19549CE2A_12</vt:lpwstr>
  </property>
</Properties>
</file>