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  <externalReference r:id="rId3"/>
  </externalReferences>
  <definedNames>
    <definedName name="Contacts_During_Travel_to_Facility">'[2]Detailed COVID Calculations - 1'!$C$16</definedName>
    <definedName name="Number_of_Patients">'[2]Detailed COVID Calculations - 1'!$C$5</definedName>
    <definedName name="Package_or_Individual">'[2]2. COVID Impact on Coverage'!$W$3:$W$4</definedName>
    <definedName name="Percent_Prevalence_at_Beginning_of_Projection_Period">'[2]Detailed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<sst xmlns="http://schemas.openxmlformats.org/spreadsheetml/2006/main" count="100" uniqueCount="94">
  <si>
    <t>Lives Lost Due to Disruption in Coverage of Essential Services</t>
  </si>
  <si>
    <t>HIDDEN</t>
  </si>
  <si>
    <t>Selected</t>
  </si>
  <si>
    <t>Int#</t>
  </si>
  <si>
    <t>LiST#</t>
  </si>
  <si>
    <t>Newborn Lives Lost</t>
  </si>
  <si>
    <t>Child Lives Lost</t>
  </si>
  <si>
    <t>Maternal Lives Lost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</si>
  <si>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</si>
  <si>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</si>
  <si>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</si>
  <si>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</si>
  <si>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</si>
  <si>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</si>
  <si>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</si>
  <si>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</si>
  <si>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</si>
  <si>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</si>
  <si>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</si>
  <si>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</si>
  <si>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</si>
  <si>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Combined, allocated 100% to micronutrient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</si>
  <si>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</si>
  <si>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</si>
  <si>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</si>
  <si>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</si>
  <si>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</si>
  <si>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</si>
  <si>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</si>
  <si>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</si>
  <si>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</si>
  <si>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</si>
  <si>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</si>
  <si>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</si>
  <si>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</si>
  <si>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</si>
  <si>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</si>
  <si>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</si>
  <si>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</si>
  <si>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</si>
  <si>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</si>
  <si>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</si>
  <si>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</si>
  <si>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</si>
  <si>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</si>
  <si>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</si>
  <si>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</si>
  <si>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</si>
  <si>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</si>
  <si>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</si>
  <si>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</si>
  <si>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</si>
  <si>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</si>
  <si>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</si>
  <si>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</si>
  <si>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Results only available as summary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</si>
  <si>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</si>
  <si>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</si>
  <si>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</si>
  <si>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</si>
  <si>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</si>
  <si>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</si>
  <si>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</si>
  <si>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</si>
  <si>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Age-appropriate and prevalence of early initiation</t>
  </si>
  <si>
    <t>Complementary feeding - Education only</t>
  </si>
  <si>
    <t>Complementary feeding combines impact of Appropriate complementary feeding, Complementary feeding (via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</si>
  <si>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</si>
  <si>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</si>
  <si>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</si>
  <si>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</si>
  <si>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</si>
  <si>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</si>
  <si>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</si>
  <si>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</si>
  <si>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</si>
  <si>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</si>
  <si>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</si>
  <si>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</si>
  <si>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</si>
  <si>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</si>
  <si>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</si>
  <si>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</si>
  <si>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</si>
  <si>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</si>
  <si>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</si>
  <si>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</si>
  <si>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</si>
  <si>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</si>
  <si>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</si>
  <si>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</si>
  <si>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SAM 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</si>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</sst>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[Red]\(#,##0\);\-\-"/>
  </numFmts>
  <fonts count="32">
    <font>
      <sz val="11"/>
      <color theme="1"/>
      <name val="宋体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宋体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  <border>
      <left style="hair">
        <color theme="9"/>
      </left>
      <right style="hair">
        <color theme="9"/>
      </right>
      <top style="hair">
        <color theme="9"/>
      </top>
      <bottom/>
      <diagonal/>
    </border>
    <border>
      <left style="hair">
        <color theme="9"/>
      </left>
      <right style="hair">
        <color theme="9"/>
      </right>
      <top/>
      <bottom style="hair">
        <color theme="9"/>
      </bottom>
      <diagonal/>
    </border>
    <border>
      <left style="thin">
        <color theme="9"/>
      </left>
      <right/>
      <top/>
      <bottom/>
      <diagonal/>
    </border>
    <border>
      <left style="hair">
        <color theme="9"/>
      </left>
      <right style="hair">
        <color theme="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15" applyNumberFormat="0" applyAlignment="0" applyProtection="0">
      <alignment vertical="center"/>
    </xf>
    <xf numFmtId="0" fontId="22" fillId="15" borderId="16" applyNumberFormat="0" applyAlignment="0" applyProtection="0">
      <alignment vertical="center"/>
    </xf>
    <xf numFmtId="0" fontId="23" fillId="15" borderId="15" applyNumberFormat="0" applyAlignment="0" applyProtection="0">
      <alignment vertical="center"/>
    </xf>
    <xf numFmtId="0" fontId="24" fillId="16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0" fillId="0" borderId="0"/>
    <xf numFmtId="0" fontId="6" fillId="0" borderId="0"/>
  </cellStyleXfs>
  <cellXfs count="5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176" fontId="0" fillId="0" borderId="0" xfId="0" applyNumberFormat="1" applyFont="1" applyFill="1" applyAlignment="1"/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176" fontId="3" fillId="2" borderId="1" xfId="0" applyNumberFormat="1" applyFont="1" applyFill="1" applyBorder="1" applyAlignment="1">
      <alignment horizontal="center" wrapText="1"/>
    </xf>
    <xf numFmtId="0" fontId="0" fillId="0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vertical="center"/>
    </xf>
    <xf numFmtId="0" fontId="7" fillId="3" borderId="2" xfId="50" applyFont="1" applyFill="1" applyBorder="1" applyAlignment="1">
      <alignment horizontal="center" vertical="center"/>
    </xf>
    <xf numFmtId="176" fontId="6" fillId="0" borderId="2" xfId="0" applyNumberFormat="1" applyFont="1" applyFill="1" applyBorder="1" applyAlignment="1"/>
    <xf numFmtId="0" fontId="8" fillId="4" borderId="2" xfId="49" applyFont="1" applyFill="1" applyBorder="1" applyAlignment="1"/>
    <xf numFmtId="0" fontId="7" fillId="4" borderId="2" xfId="50" applyFont="1" applyFill="1" applyBorder="1" applyAlignment="1">
      <alignment horizontal="center" vertical="center"/>
    </xf>
    <xf numFmtId="0" fontId="8" fillId="5" borderId="2" xfId="49" applyFont="1" applyFill="1" applyBorder="1" applyAlignment="1"/>
    <xf numFmtId="0" fontId="7" fillId="5" borderId="1" xfId="50" applyFont="1" applyFill="1" applyBorder="1" applyAlignment="1">
      <alignment horizontal="center" vertical="center"/>
    </xf>
    <xf numFmtId="0" fontId="6" fillId="5" borderId="2" xfId="0" applyFont="1" applyFill="1" applyBorder="1" applyAlignment="1"/>
    <xf numFmtId="0" fontId="7" fillId="5" borderId="3" xfId="50" applyFont="1" applyFill="1" applyBorder="1" applyAlignment="1">
      <alignment horizontal="center" vertical="center"/>
    </xf>
    <xf numFmtId="0" fontId="8" fillId="5" borderId="4" xfId="49" applyFont="1" applyFill="1" applyBorder="1" applyAlignment="1"/>
    <xf numFmtId="0" fontId="6" fillId="5" borderId="4" xfId="0" applyFont="1" applyFill="1" applyBorder="1" applyAlignment="1"/>
    <xf numFmtId="0" fontId="7" fillId="5" borderId="5" xfId="50" applyFont="1" applyFill="1" applyBorder="1" applyAlignment="1">
      <alignment horizontal="center" vertical="center"/>
    </xf>
    <xf numFmtId="0" fontId="6" fillId="3" borderId="4" xfId="0" applyFont="1" applyFill="1" applyBorder="1" applyAlignment="1"/>
    <xf numFmtId="0" fontId="8" fillId="3" borderId="4" xfId="49" applyFont="1" applyFill="1" applyBorder="1" applyAlignment="1"/>
    <xf numFmtId="0" fontId="6" fillId="3" borderId="2" xfId="0" applyFont="1" applyFill="1" applyBorder="1" applyAlignment="1">
      <alignment horizontal="left"/>
    </xf>
    <xf numFmtId="0" fontId="9" fillId="3" borderId="2" xfId="0" applyFont="1" applyFill="1" applyBorder="1" applyAlignment="1"/>
    <xf numFmtId="0" fontId="6" fillId="3" borderId="2" xfId="0" applyFont="1" applyFill="1" applyBorder="1" applyAlignment="1">
      <alignment horizontal="left" indent="1"/>
    </xf>
    <xf numFmtId="176" fontId="6" fillId="6" borderId="2" xfId="0" applyNumberFormat="1" applyFont="1" applyFill="1" applyBorder="1" applyAlignment="1"/>
    <xf numFmtId="0" fontId="8" fillId="7" borderId="6" xfId="49" applyFont="1" applyFill="1" applyBorder="1" applyAlignment="1"/>
    <xf numFmtId="0" fontId="7" fillId="7" borderId="2" xfId="0" applyFont="1" applyFill="1" applyBorder="1" applyAlignment="1">
      <alignment horizontal="center" vertical="center"/>
    </xf>
    <xf numFmtId="0" fontId="8" fillId="7" borderId="2" xfId="49" applyFont="1" applyFill="1" applyBorder="1" applyAlignment="1"/>
    <xf numFmtId="0" fontId="6" fillId="7" borderId="4" xfId="0" applyFont="1" applyFill="1" applyBorder="1" applyAlignment="1"/>
    <xf numFmtId="0" fontId="6" fillId="7" borderId="2" xfId="0" applyFont="1" applyFill="1" applyBorder="1" applyAlignment="1"/>
    <xf numFmtId="176" fontId="6" fillId="0" borderId="2" xfId="0" applyNumberFormat="1" applyFont="1" applyFill="1" applyBorder="1" applyAlignment="1">
      <alignment horizontal="right" vertical="center"/>
    </xf>
    <xf numFmtId="0" fontId="6" fillId="8" borderId="4" xfId="0" applyFont="1" applyFill="1" applyBorder="1" applyAlignment="1"/>
    <xf numFmtId="0" fontId="7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/>
    <xf numFmtId="0" fontId="10" fillId="8" borderId="2" xfId="0" applyFont="1" applyFill="1" applyBorder="1" applyAlignment="1"/>
    <xf numFmtId="0" fontId="6" fillId="8" borderId="2" xfId="0" applyFont="1" applyFill="1" applyBorder="1" applyAlignment="1">
      <alignment horizontal="left" indent="1"/>
    </xf>
    <xf numFmtId="0" fontId="6" fillId="9" borderId="4" xfId="0" applyFont="1" applyFill="1" applyBorder="1" applyAlignment="1"/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/>
    </xf>
    <xf numFmtId="0" fontId="11" fillId="10" borderId="7" xfId="0" applyFont="1" applyFill="1" applyBorder="1" applyAlignment="1">
      <alignment horizontal="left" vertical="center" wrapText="1"/>
    </xf>
    <xf numFmtId="0" fontId="12" fillId="0" borderId="0" xfId="0" applyFont="1" applyFill="1" applyAlignment="1"/>
    <xf numFmtId="0" fontId="11" fillId="10" borderId="8" xfId="0" applyFont="1" applyFill="1" applyBorder="1" applyAlignment="1">
      <alignment horizontal="left" vertical="center" wrapText="1"/>
    </xf>
    <xf numFmtId="0" fontId="11" fillId="10" borderId="9" xfId="0" applyFont="1" applyFill="1" applyBorder="1" applyAlignment="1">
      <alignment horizontal="left" vertical="center" wrapText="1"/>
    </xf>
    <xf numFmtId="0" fontId="11" fillId="10" borderId="10" xfId="0" applyFont="1" applyFill="1" applyBorder="1" applyAlignment="1">
      <alignment vertical="center" wrapText="1"/>
    </xf>
    <xf numFmtId="0" fontId="11" fillId="10" borderId="11" xfId="0" applyFont="1" applyFill="1" applyBorder="1" applyAlignment="1">
      <alignment horizontal="left" vertical="center" wrapText="1"/>
    </xf>
    <xf numFmtId="0" fontId="11" fillId="0" borderId="0" xfId="0" applyFont="1" applyFill="1" applyAlignment="1"/>
    <xf numFmtId="176" fontId="6" fillId="0" borderId="1" xfId="0" applyNumberFormat="1" applyFont="1" applyFill="1" applyBorder="1" applyAlignment="1">
      <alignment horizontal="right" vertical="center"/>
    </xf>
    <xf numFmtId="176" fontId="6" fillId="0" borderId="5" xfId="0" applyNumberFormat="1" applyFont="1" applyFill="1" applyBorder="1" applyAlignment="1">
      <alignment horizontal="right" vertical="center"/>
    </xf>
    <xf numFmtId="0" fontId="6" fillId="11" borderId="4" xfId="0" applyFont="1" applyFill="1" applyBorder="1" applyAlignment="1"/>
    <xf numFmtId="0" fontId="7" fillId="11" borderId="2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left"/>
    </xf>
    <xf numFmtId="0" fontId="8" fillId="12" borderId="4" xfId="49" applyFont="1" applyFill="1" applyBorder="1" applyAlignment="1"/>
    <xf numFmtId="0" fontId="6" fillId="12" borderId="4" xfId="0" applyFont="1" applyFill="1" applyBorder="1" applyAlignment="1"/>
    <xf numFmtId="0" fontId="7" fillId="12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https:\d.docs.live.net\69b44a8e6705e396\Eva%20Documents\WHO%20Covid\Main%20Files\QA\Country%20Comparison\Morocco_Benefit%20Risk%20Analysis%20Model%20-%20Dec%2022%2020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Afghanistan%20Benefit%20Risk%20Analysis%20Model%20-%20Jan%2026%20-%20For%20LiST%20Version%206.02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mtg mesaure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  <cell r="E8" t="str">
            <v>x</v>
          </cell>
        </row>
        <row r="9">
          <cell r="A9">
            <v>4</v>
          </cell>
        </row>
        <row r="9">
          <cell r="D9" t="str">
            <v>FP - Implants</v>
          </cell>
          <cell r="E9" t="str">
            <v>x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</row>
        <row r="16">
          <cell r="A16">
            <v>13</v>
          </cell>
        </row>
        <row r="16">
          <cell r="D16" t="str">
            <v>Syphilis detection and treatment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</row>
        <row r="20">
          <cell r="A20">
            <v>17</v>
          </cell>
        </row>
        <row r="20">
          <cell r="D20" t="str">
            <v>Balanced energy supplementation</v>
          </cell>
        </row>
        <row r="21">
          <cell r="A21">
            <v>18</v>
          </cell>
        </row>
        <row r="21">
          <cell r="D21" t="str">
            <v>Hypertensive disorder case management</v>
          </cell>
        </row>
        <row r="22">
          <cell r="A22">
            <v>19</v>
          </cell>
        </row>
        <row r="22">
          <cell r="D22" t="str">
            <v>Diabetes case management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</row>
        <row r="36"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  <cell r="E40" t="str">
            <v>x</v>
          </cell>
        </row>
        <row r="41">
          <cell r="A41">
            <v>38</v>
          </cell>
        </row>
        <row r="41">
          <cell r="D41" t="str">
            <v>Ectopic pregnancy case management</v>
          </cell>
          <cell r="E41" t="str">
            <v>x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  <cell r="E52" t="str">
            <v>x</v>
          </cell>
        </row>
        <row r="53">
          <cell r="A53">
            <v>48</v>
          </cell>
          <cell r="B53" t="str">
            <v>Breastfeeding</v>
          </cell>
        </row>
        <row r="53"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</row>
        <row r="54"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  <cell r="E58" t="str">
            <v>x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</row>
        <row r="65">
          <cell r="A65">
            <v>59</v>
          </cell>
        </row>
        <row r="65">
          <cell r="D65" t="str">
            <v>Malaria vaccine - Three doses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  <cell r="E68" t="str">
            <v>x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</row>
        <row r="71"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</row>
        <row r="72"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C75" t="str">
            <v>x</v>
          </cell>
          <cell r="D75" t="str">
            <v>SAM - treatment for severe acute malnutrition</v>
          </cell>
          <cell r="E75" t="str">
            <v>x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  <cell r="E76" t="str">
            <v>x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-16</v>
          </cell>
          <cell r="AH4">
            <v>0</v>
          </cell>
          <cell r="AI4">
            <v>0</v>
          </cell>
          <cell r="AJ4">
            <v>8</v>
          </cell>
        </row>
        <row r="5">
          <cell r="AD5" t="str">
            <v>Maternal age and birth order</v>
          </cell>
          <cell r="AE5">
            <v>-16</v>
          </cell>
          <cell r="AF5">
            <v>-16</v>
          </cell>
        </row>
        <row r="5">
          <cell r="AH5">
            <v>7</v>
          </cell>
          <cell r="AI5">
            <v>7</v>
          </cell>
        </row>
        <row r="6">
          <cell r="AD6" t="str">
            <v>Birth intervals</v>
          </cell>
          <cell r="AE6">
            <v>1</v>
          </cell>
          <cell r="AF6">
            <v>1</v>
          </cell>
        </row>
        <row r="6">
          <cell r="AH6">
            <v>-1</v>
          </cell>
          <cell r="AI6">
            <v>-1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</row>
        <row r="8">
          <cell r="AG8">
            <v>-12</v>
          </cell>
        </row>
        <row r="8">
          <cell r="AJ8">
            <v>14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</row>
        <row r="9">
          <cell r="AG9">
            <v>0</v>
          </cell>
        </row>
        <row r="9">
          <cell r="AJ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</row>
        <row r="10">
          <cell r="AG10">
            <v>0</v>
          </cell>
        </row>
        <row r="10">
          <cell r="AJ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-397</v>
          </cell>
          <cell r="AF14">
            <v>-397</v>
          </cell>
          <cell r="AG14">
            <v>-2</v>
          </cell>
          <cell r="AH14">
            <v>257</v>
          </cell>
          <cell r="AI14">
            <v>257</v>
          </cell>
          <cell r="AJ14">
            <v>1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Prevention of malaria in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12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</row>
        <row r="19">
          <cell r="AE19">
            <v>0</v>
          </cell>
          <cell r="AF19">
            <v>0</v>
          </cell>
          <cell r="AG19">
            <v>-18</v>
          </cell>
          <cell r="AH19">
            <v>0</v>
          </cell>
          <cell r="AI19">
            <v>0</v>
          </cell>
          <cell r="AJ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-7</v>
          </cell>
          <cell r="AH21">
            <v>0</v>
          </cell>
          <cell r="AI21">
            <v>0</v>
          </cell>
          <cell r="AJ21">
            <v>4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</row>
        <row r="22">
          <cell r="AG22">
            <v>0</v>
          </cell>
        </row>
        <row r="22">
          <cell r="AJ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</row>
        <row r="23">
          <cell r="AG23">
            <v>0</v>
          </cell>
        </row>
        <row r="23">
          <cell r="AJ23">
            <v>0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-164</v>
          </cell>
          <cell r="AF26">
            <v>-164</v>
          </cell>
          <cell r="AG26">
            <v>-21</v>
          </cell>
          <cell r="AH26">
            <v>190</v>
          </cell>
          <cell r="AI26">
            <v>190</v>
          </cell>
          <cell r="AJ26">
            <v>24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-184</v>
          </cell>
          <cell r="AF27">
            <v>-184</v>
          </cell>
        </row>
        <row r="27">
          <cell r="AH27">
            <v>213</v>
          </cell>
          <cell r="AI27">
            <v>213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-278</v>
          </cell>
          <cell r="AF28">
            <v>-278</v>
          </cell>
          <cell r="AG28">
            <v>0</v>
          </cell>
          <cell r="AH28">
            <v>323</v>
          </cell>
          <cell r="AI28">
            <v>323</v>
          </cell>
          <cell r="AJ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-288</v>
          </cell>
          <cell r="AF29">
            <v>-288</v>
          </cell>
          <cell r="AG29">
            <v>0</v>
          </cell>
          <cell r="AH29">
            <v>333</v>
          </cell>
          <cell r="AI29">
            <v>333</v>
          </cell>
          <cell r="AJ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</row>
        <row r="30">
          <cell r="AG30">
            <v>-29</v>
          </cell>
        </row>
        <row r="30">
          <cell r="AJ30">
            <v>34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MgSO4 for eclampsia</v>
          </cell>
          <cell r="AE31">
            <v>0</v>
          </cell>
          <cell r="AF31">
            <v>0</v>
          </cell>
          <cell r="AG31">
            <v>-49</v>
          </cell>
          <cell r="AH31">
            <v>0</v>
          </cell>
          <cell r="AI31">
            <v>0</v>
          </cell>
          <cell r="AJ31">
            <v>57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-64</v>
          </cell>
          <cell r="AF32">
            <v>-64</v>
          </cell>
          <cell r="AG32">
            <v>-9</v>
          </cell>
          <cell r="AH32">
            <v>75</v>
          </cell>
          <cell r="AI32">
            <v>75</v>
          </cell>
          <cell r="AJ32">
            <v>10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-97</v>
          </cell>
          <cell r="AF34">
            <v>-97</v>
          </cell>
          <cell r="AG34">
            <v>-11</v>
          </cell>
          <cell r="AH34">
            <v>109</v>
          </cell>
          <cell r="AI34">
            <v>109</v>
          </cell>
          <cell r="AJ34">
            <v>12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-216</v>
          </cell>
          <cell r="AF35">
            <v>-216</v>
          </cell>
        </row>
        <row r="35">
          <cell r="AH35">
            <v>249</v>
          </cell>
          <cell r="AI35">
            <v>249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-254</v>
          </cell>
          <cell r="AH36">
            <v>0</v>
          </cell>
          <cell r="AI36">
            <v>0</v>
          </cell>
          <cell r="AJ36">
            <v>295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</row>
        <row r="37">
          <cell r="AG37">
            <v>-25</v>
          </cell>
        </row>
        <row r="37">
          <cell r="AJ37">
            <v>29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</row>
        <row r="38">
          <cell r="AG38">
            <v>0</v>
          </cell>
        </row>
        <row r="38">
          <cell r="AJ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</row>
        <row r="39">
          <cell r="AH39">
            <v>0</v>
          </cell>
          <cell r="AI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-241</v>
          </cell>
          <cell r="AF40">
            <v>-241</v>
          </cell>
          <cell r="AG40">
            <v>-70</v>
          </cell>
          <cell r="AH40">
            <v>279</v>
          </cell>
          <cell r="AI40">
            <v>279</v>
          </cell>
          <cell r="AJ40">
            <v>80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</row>
        <row r="41">
          <cell r="AG41">
            <v>0</v>
          </cell>
        </row>
        <row r="41">
          <cell r="AJ41">
            <v>0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-547</v>
          </cell>
          <cell r="AF42">
            <v>-1566</v>
          </cell>
        </row>
        <row r="42">
          <cell r="AH42">
            <v>562</v>
          </cell>
          <cell r="AI42">
            <v>1613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</row>
        <row r="43">
          <cell r="AH43">
            <v>0</v>
          </cell>
          <cell r="AI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</row>
        <row r="44">
          <cell r="AH44">
            <v>0</v>
          </cell>
          <cell r="AI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-8</v>
          </cell>
        </row>
        <row r="46">
          <cell r="AH46">
            <v>0</v>
          </cell>
          <cell r="AI46">
            <v>-11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-5</v>
          </cell>
        </row>
        <row r="47">
          <cell r="AH47">
            <v>0</v>
          </cell>
          <cell r="AI47">
            <v>1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-49</v>
          </cell>
        </row>
        <row r="48">
          <cell r="AH48">
            <v>0</v>
          </cell>
          <cell r="AI48">
            <v>65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-534</v>
          </cell>
        </row>
        <row r="49">
          <cell r="AH49">
            <v>0</v>
          </cell>
          <cell r="AI49">
            <v>640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</row>
        <row r="50">
          <cell r="AH50">
            <v>0</v>
          </cell>
          <cell r="AI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</row>
        <row r="51">
          <cell r="AH51">
            <v>0</v>
          </cell>
          <cell r="AI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</row>
        <row r="52">
          <cell r="AH52">
            <v>0</v>
          </cell>
          <cell r="AI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</row>
        <row r="53">
          <cell r="AH53">
            <v>0</v>
          </cell>
          <cell r="AI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</row>
        <row r="54">
          <cell r="AH54">
            <v>0</v>
          </cell>
          <cell r="AI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</row>
        <row r="56">
          <cell r="AH56">
            <v>0</v>
          </cell>
          <cell r="AI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</row>
        <row r="57">
          <cell r="AH57">
            <v>0</v>
          </cell>
          <cell r="AI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-59</v>
          </cell>
        </row>
        <row r="58">
          <cell r="AH58">
            <v>0</v>
          </cell>
          <cell r="AI58">
            <v>62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-181</v>
          </cell>
        </row>
        <row r="59">
          <cell r="AH59">
            <v>0</v>
          </cell>
          <cell r="AI59">
            <v>218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</row>
        <row r="60">
          <cell r="AH60">
            <v>0</v>
          </cell>
          <cell r="AI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-161</v>
          </cell>
        </row>
        <row r="61">
          <cell r="AH61">
            <v>0</v>
          </cell>
          <cell r="AI61">
            <v>173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39</v>
          </cell>
        </row>
        <row r="62">
          <cell r="AH62">
            <v>0</v>
          </cell>
          <cell r="AI62">
            <v>63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</row>
        <row r="63">
          <cell r="AH63">
            <v>0</v>
          </cell>
          <cell r="AI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</row>
        <row r="64">
          <cell r="AH64">
            <v>0</v>
          </cell>
          <cell r="AI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-63</v>
          </cell>
        </row>
        <row r="65">
          <cell r="AH65">
            <v>0</v>
          </cell>
          <cell r="AI65">
            <v>84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AA67" t="str">
            <v>66/67</v>
          </cell>
        </row>
        <row r="67"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</row>
        <row r="67">
          <cell r="AH67">
            <v>0</v>
          </cell>
          <cell r="AI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</row>
        <row r="70">
          <cell r="AC70" t="str">
            <v>Case management of neonatal sepsis/pneumonia</v>
          </cell>
          <cell r="AD70" t="str">
            <v>Case management of neonatal sepsis/pneumonia</v>
          </cell>
          <cell r="AE70">
            <v>-756</v>
          </cell>
          <cell r="AF70">
            <v>-756</v>
          </cell>
        </row>
        <row r="70">
          <cell r="AH70">
            <v>877</v>
          </cell>
          <cell r="AI70">
            <v>877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-51</v>
          </cell>
          <cell r="AF74">
            <v>-590</v>
          </cell>
        </row>
        <row r="74">
          <cell r="AH74">
            <v>59</v>
          </cell>
          <cell r="AI74">
            <v>691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-1</v>
          </cell>
          <cell r="AF75">
            <v>-8</v>
          </cell>
        </row>
        <row r="75">
          <cell r="AH75">
            <v>1</v>
          </cell>
          <cell r="AI75">
            <v>9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-2</v>
          </cell>
          <cell r="AF76">
            <v>-20</v>
          </cell>
        </row>
        <row r="76">
          <cell r="AH76">
            <v>2</v>
          </cell>
          <cell r="AI76">
            <v>24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-949</v>
          </cell>
        </row>
        <row r="77">
          <cell r="AH77">
            <v>0</v>
          </cell>
          <cell r="AI77">
            <v>1139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-274</v>
          </cell>
        </row>
        <row r="78">
          <cell r="AH78">
            <v>0</v>
          </cell>
          <cell r="AI78">
            <v>350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</row>
        <row r="79">
          <cell r="AH79">
            <v>0</v>
          </cell>
          <cell r="AI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-15</v>
          </cell>
        </row>
        <row r="80">
          <cell r="AH80">
            <v>0</v>
          </cell>
          <cell r="AI80">
            <v>19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</row>
        <row r="81">
          <cell r="AH81">
            <v>0</v>
          </cell>
          <cell r="AI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</row>
        <row r="82">
          <cell r="AH82">
            <v>0</v>
          </cell>
          <cell r="AI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topLeftCell="D1" workbookViewId="0">
      <selection activeCell="J17" sqref="J17"/>
    </sheetView>
  </sheetViews>
  <sheetFormatPr defaultColWidth="9.91818181818182" defaultRowHeight="14"/>
  <cols>
    <col min="1" max="1" width="6.04545454545455" style="1" hidden="1" customWidth="1"/>
    <col min="2" max="3" width="4.95454545454545" style="1" hidden="1" customWidth="1"/>
    <col min="4" max="4" width="20.8272727272727" style="1" customWidth="1"/>
    <col min="5" max="5" width="62.3636363636364" style="1" customWidth="1"/>
    <col min="6" max="9" width="9.91818181818182" style="1"/>
    <col min="10" max="10" width="42.0454545454545" style="1" customWidth="1"/>
    <col min="11" max="32" width="9.91818181818182" style="1"/>
    <col min="33" max="16352" width="50.7272727272727" style="1"/>
    <col min="16353" max="16379" width="9.91818181818182" style="1"/>
  </cols>
  <sheetData>
    <row r="1" s="1" customFormat="1" ht="20" spans="4:4">
      <c r="D1" s="2" t="s">
        <v>0</v>
      </c>
    </row>
    <row r="2" s="1" customFormat="1" spans="1:9">
      <c r="A2" s="3" t="s">
        <v>1</v>
      </c>
      <c r="B2" s="3"/>
      <c r="C2" s="3"/>
      <c r="F2" s="4"/>
      <c r="G2" s="4"/>
      <c r="H2" s="4"/>
      <c r="I2" s="4"/>
    </row>
    <row r="3" s="1" customFormat="1" ht="20" spans="1:9">
      <c r="A3" s="5" t="s">
        <v>2</v>
      </c>
      <c r="B3" s="5" t="s">
        <v>3</v>
      </c>
      <c r="C3" s="5" t="s">
        <v>4</v>
      </c>
      <c r="D3" s="6"/>
      <c r="E3" s="7"/>
      <c r="F3" s="8" t="s">
        <v>5</v>
      </c>
      <c r="G3" s="8" t="s">
        <v>6</v>
      </c>
      <c r="H3" s="8" t="s">
        <v>7</v>
      </c>
      <c r="I3" s="8" t="s">
        <v>8</v>
      </c>
    </row>
    <row r="4" s="1" customFormat="1" spans="1:10">
      <c r="A4" s="9" t="s">
        <v>9</v>
      </c>
      <c r="B4" s="10">
        <v>0</v>
      </c>
      <c r="C4" s="10">
        <v>0</v>
      </c>
      <c r="D4" s="11" t="s">
        <v>10</v>
      </c>
      <c r="E4" s="10" t="s">
        <v>11</v>
      </c>
      <c r="F4" s="12">
        <f>VLOOKUP($C4,'[2]LiST Outputs WITH M.'!$AA$4:$AJ$82,5,FALSE)+'[2]LiST Outputs WITH M.'!AE5+'[2]LiST Outputs WITH M.'!AE6</f>
        <v>-15</v>
      </c>
      <c r="G4" s="12">
        <f>VLOOKUP($C4,'[2]LiST Outputs WITH M.'!$AA$4:$AJ$82,6,FALSE)+'[2]LiST Outputs WITH M.'!AF5+'[2]LiST Outputs WITH M.'!AF6</f>
        <v>-15</v>
      </c>
      <c r="H4" s="12">
        <f>VLOOKUP($C4,'[2]LiST Outputs WITH M.'!$AA$4:$AJ$82,7,FALSE)+'[2]LiST Outputs WITH M.'!AG5+'[2]LiST Outputs WITH M.'!AG6</f>
        <v>-16</v>
      </c>
      <c r="I4" s="12">
        <f t="shared" ref="I4:I39" si="0">SUM(G4:H4)</f>
        <v>-31</v>
      </c>
      <c r="J4" s="42" t="s">
        <v>12</v>
      </c>
    </row>
    <row r="5" s="1" customFormat="1" spans="1:10">
      <c r="A5" s="9" t="s">
        <v>9</v>
      </c>
      <c r="B5" s="13">
        <v>9</v>
      </c>
      <c r="C5" s="13">
        <v>14</v>
      </c>
      <c r="D5" s="14" t="s">
        <v>13</v>
      </c>
      <c r="E5" s="13" t="s">
        <v>14</v>
      </c>
      <c r="F5" s="12">
        <f>VLOOKUP($C5,'[2]LiST Outputs WITH M.'!$AA$4:$AJ$82,5,FALSE)</f>
        <v>0</v>
      </c>
      <c r="G5" s="12">
        <f>VLOOKUP($C5,'[2]LiST Outputs WITH M.'!$AA$4:$AJ$82,6,FALSE)</f>
        <v>0</v>
      </c>
      <c r="H5" s="12">
        <f>VLOOKUP($C5,'[2]LiST Outputs WITH M.'!$AA$4:$AJ$82,7,FALSE)</f>
        <v>0</v>
      </c>
      <c r="I5" s="12">
        <f t="shared" si="0"/>
        <v>0</v>
      </c>
      <c r="J5" s="42"/>
    </row>
    <row r="6" s="1" customFormat="1" spans="1:9">
      <c r="A6" s="9" t="s">
        <v>9</v>
      </c>
      <c r="B6" s="13">
        <v>10</v>
      </c>
      <c r="C6" s="13">
        <v>15</v>
      </c>
      <c r="D6" s="14"/>
      <c r="E6" s="13" t="s">
        <v>15</v>
      </c>
      <c r="F6" s="12">
        <f>VLOOKUP($C6,'[2]LiST Outputs WITH M.'!$AA$4:$AJ$82,5,FALSE)</f>
        <v>0</v>
      </c>
      <c r="G6" s="12">
        <f>VLOOKUP($C6,'[2]LiST Outputs WITH M.'!$AA$4:$AJ$82,6,FALSE)</f>
        <v>0</v>
      </c>
      <c r="H6" s="12">
        <f>VLOOKUP($C6,'[2]LiST Outputs WITH M.'!$AA$4:$AJ$82,7,FALSE)</f>
        <v>0</v>
      </c>
      <c r="I6" s="12">
        <f t="shared" si="0"/>
        <v>0</v>
      </c>
    </row>
    <row r="7" s="1" customFormat="1" spans="1:9">
      <c r="A7" s="9" t="str">
        <f>IF(VLOOKUP(B7,'[2]1. Select Services'!$A$6:$E$77,5,FALSE)="x","x","")</f>
        <v>x</v>
      </c>
      <c r="B7" s="13">
        <v>11</v>
      </c>
      <c r="C7" s="13">
        <v>16</v>
      </c>
      <c r="D7" s="14"/>
      <c r="E7" s="13" t="s">
        <v>16</v>
      </c>
      <c r="F7" s="12">
        <f>VLOOKUP($C7,'[2]LiST Outputs WITH M.'!$AA$4:$AJ$82,5,FALSE)</f>
        <v>-397</v>
      </c>
      <c r="G7" s="12">
        <f>VLOOKUP($C7,'[2]LiST Outputs WITH M.'!$AA$4:$AJ$82,6,FALSE)</f>
        <v>-397</v>
      </c>
      <c r="H7" s="12">
        <f>VLOOKUP($C7,'[2]LiST Outputs WITH M.'!$AA$4:$AJ$82,7,FALSE)</f>
        <v>-2</v>
      </c>
      <c r="I7" s="12">
        <f t="shared" si="0"/>
        <v>-399</v>
      </c>
    </row>
    <row r="8" s="1" customFormat="1" spans="1:9">
      <c r="A8" s="9" t="str">
        <f>IF(VLOOKUP(B8,'[2]1. Select Services'!$A$6:$E$77,5,FALSE)="x","x","")</f>
        <v/>
      </c>
      <c r="B8" s="13">
        <v>12</v>
      </c>
      <c r="C8" s="13">
        <v>17</v>
      </c>
      <c r="D8" s="14"/>
      <c r="E8" s="13" t="s">
        <v>17</v>
      </c>
      <c r="F8" s="12">
        <f>VLOOKUP($C8,'[2]LiST Outputs WITH M.'!$AA$4:$AJ$82,5,FALSE)</f>
        <v>0</v>
      </c>
      <c r="G8" s="12">
        <f>VLOOKUP($C8,'[2]LiST Outputs WITH M.'!$AA$4:$AJ$82,6,FALSE)</f>
        <v>0</v>
      </c>
      <c r="H8" s="12">
        <f>VLOOKUP($C8,'[2]LiST Outputs WITH M.'!$AA$4:$AJ$82,7,FALSE)</f>
        <v>0</v>
      </c>
      <c r="I8" s="12">
        <f t="shared" si="0"/>
        <v>0</v>
      </c>
    </row>
    <row r="9" s="1" customFormat="1" spans="1:9">
      <c r="A9" s="9" t="str">
        <f>IF(VLOOKUP(B9,'[2]1. Select Services'!$A$6:$E$77,5,FALSE)="x","x","")</f>
        <v/>
      </c>
      <c r="B9" s="13">
        <v>13</v>
      </c>
      <c r="C9" s="13">
        <v>18</v>
      </c>
      <c r="D9" s="14"/>
      <c r="E9" s="13" t="s">
        <v>18</v>
      </c>
      <c r="F9" s="12">
        <f>VLOOKUP($C9,'[2]LiST Outputs WITH M.'!$AA$4:$AJ$82,5,FALSE)</f>
        <v>0</v>
      </c>
      <c r="G9" s="12">
        <f>VLOOKUP($C9,'[2]LiST Outputs WITH M.'!$AA$4:$AJ$82,6,FALSE)</f>
        <v>0</v>
      </c>
      <c r="H9" s="12">
        <f>VLOOKUP($C9,'[2]LiST Outputs WITH M.'!$AA$4:$AJ$82,7,FALSE)</f>
        <v>0</v>
      </c>
      <c r="I9" s="12">
        <f t="shared" si="0"/>
        <v>0</v>
      </c>
    </row>
    <row r="10" s="1" customFormat="1" spans="1:9">
      <c r="A10" s="9" t="str">
        <f>IF(VLOOKUP(B10,'[2]1. Select Services'!$A$6:$E$77,5,FALSE)="x","x","")</f>
        <v/>
      </c>
      <c r="B10" s="13">
        <v>14</v>
      </c>
      <c r="C10" s="13">
        <v>19</v>
      </c>
      <c r="D10" s="14"/>
      <c r="E10" s="13" t="s">
        <v>19</v>
      </c>
      <c r="F10" s="12">
        <f>VLOOKUP($C10,'[2]LiST Outputs WITH M.'!$AA$4:$AJ$82,5,FALSE)</f>
        <v>0</v>
      </c>
      <c r="G10" s="12">
        <f>VLOOKUP($C10,'[2]LiST Outputs WITH M.'!$AA$4:$AJ$82,6,FALSE)</f>
        <v>0</v>
      </c>
      <c r="H10" s="12">
        <f>VLOOKUP($C10,'[2]LiST Outputs WITH M.'!$AA$4:$AJ$82,7,FALSE)</f>
        <v>0</v>
      </c>
      <c r="I10" s="12">
        <f t="shared" si="0"/>
        <v>0</v>
      </c>
    </row>
    <row r="11" s="1" customFormat="1" spans="1:10">
      <c r="A11" s="9" t="str">
        <f>IF(VLOOKUP(B11,'[2]1. Select Services'!$A$6:$E$77,5,FALSE)="x","x","")</f>
        <v>x</v>
      </c>
      <c r="B11" s="13">
        <v>15</v>
      </c>
      <c r="C11" s="13">
        <v>20</v>
      </c>
      <c r="D11" s="14"/>
      <c r="E11" s="13" t="s">
        <v>20</v>
      </c>
      <c r="F11" s="12">
        <f>VLOOKUP($C11,'[2]LiST Outputs WITH M.'!$AA$4:$AJ$82,5,FALSE)</f>
        <v>0</v>
      </c>
      <c r="G11" s="12">
        <f>VLOOKUP($C11,'[2]LiST Outputs WITH M.'!$AA$4:$AJ$82,6,FALSE)</f>
        <v>0</v>
      </c>
      <c r="H11" s="12">
        <f>VLOOKUP($C11,'[2]LiST Outputs WITH M.'!$AA$4:$AJ$82,7,FALSE)</f>
        <v>0</v>
      </c>
      <c r="I11" s="12">
        <f t="shared" si="0"/>
        <v>0</v>
      </c>
      <c r="J11" s="42" t="s">
        <v>21</v>
      </c>
    </row>
    <row r="12" s="1" customFormat="1" spans="1:10">
      <c r="A12" s="9" t="str">
        <f>IF(VLOOKUP(B12,'[2]1. Select Services'!$A$6:$E$77,5,FALSE)="x","x","")</f>
        <v/>
      </c>
      <c r="B12" s="13">
        <v>16</v>
      </c>
      <c r="C12" s="13">
        <v>21</v>
      </c>
      <c r="D12" s="14"/>
      <c r="E12" s="13" t="s">
        <v>22</v>
      </c>
      <c r="F12" s="12">
        <f>VLOOKUP($C12,'[2]LiST Outputs WITH M.'!$AA$4:$AJ$82,5,FALSE)</f>
        <v>0</v>
      </c>
      <c r="G12" s="12">
        <f>VLOOKUP($C12,'[2]LiST Outputs WITH M.'!$AA$4:$AJ$82,6,FALSE)</f>
        <v>0</v>
      </c>
      <c r="H12" s="12">
        <f>VLOOKUP($C12,'[2]LiST Outputs WITH M.'!$AA$4:$AJ$82,7,FALSE)</f>
        <v>-18</v>
      </c>
      <c r="I12" s="12">
        <f t="shared" si="0"/>
        <v>-18</v>
      </c>
      <c r="J12" s="42"/>
    </row>
    <row r="13" s="1" customFormat="1" spans="1:9">
      <c r="A13" s="9" t="str">
        <f>IF(VLOOKUP(B13,'[2]1. Select Services'!$A$6:$E$77,5,FALSE)="x","x","")</f>
        <v/>
      </c>
      <c r="B13" s="13">
        <v>17</v>
      </c>
      <c r="C13" s="13">
        <v>22</v>
      </c>
      <c r="D13" s="14"/>
      <c r="E13" s="13" t="s">
        <v>23</v>
      </c>
      <c r="F13" s="12">
        <f>VLOOKUP($C13,'[2]LiST Outputs WITH M.'!$AA$4:$AJ$82,5,FALSE)</f>
        <v>0</v>
      </c>
      <c r="G13" s="12">
        <f>VLOOKUP($C13,'[2]LiST Outputs WITH M.'!$AA$4:$AJ$82,6,FALSE)</f>
        <v>0</v>
      </c>
      <c r="H13" s="12">
        <f>VLOOKUP($C13,'[2]LiST Outputs WITH M.'!$AA$4:$AJ$82,7,FALSE)</f>
        <v>0</v>
      </c>
      <c r="I13" s="12">
        <f t="shared" si="0"/>
        <v>0</v>
      </c>
    </row>
    <row r="14" s="1" customFormat="1" spans="1:9">
      <c r="A14" s="9" t="str">
        <f>IF(VLOOKUP(B14,'[2]1. Select Services'!$A$6:$E$77,5,FALSE)="x","x","")</f>
        <v/>
      </c>
      <c r="B14" s="13">
        <v>18</v>
      </c>
      <c r="C14" s="13">
        <v>23</v>
      </c>
      <c r="D14" s="14"/>
      <c r="E14" s="13" t="s">
        <v>24</v>
      </c>
      <c r="F14" s="12">
        <f>VLOOKUP($C14,'[2]LiST Outputs WITH M.'!$AA$4:$AJ$82,5,FALSE)</f>
        <v>0</v>
      </c>
      <c r="G14" s="12">
        <f>VLOOKUP($C14,'[2]LiST Outputs WITH M.'!$AA$4:$AJ$82,6,FALSE)</f>
        <v>0</v>
      </c>
      <c r="H14" s="12">
        <f>VLOOKUP($C14,'[2]LiST Outputs WITH M.'!$AA$4:$AJ$82,7,FALSE)</f>
        <v>-7</v>
      </c>
      <c r="I14" s="12">
        <f t="shared" si="0"/>
        <v>-7</v>
      </c>
    </row>
    <row r="15" s="1" customFormat="1" spans="1:9">
      <c r="A15" s="9" t="str">
        <f>IF(VLOOKUP(B15,'[2]1. Select Services'!$A$6:$E$77,5,FALSE)="x","x","")</f>
        <v/>
      </c>
      <c r="B15" s="13">
        <v>19</v>
      </c>
      <c r="C15" s="13">
        <v>24</v>
      </c>
      <c r="D15" s="14"/>
      <c r="E15" s="13" t="s">
        <v>25</v>
      </c>
      <c r="F15" s="12">
        <f>VLOOKUP($C15,'[2]LiST Outputs WITH M.'!$AA$4:$AJ$82,5,FALSE)</f>
        <v>0</v>
      </c>
      <c r="G15" s="12">
        <f>VLOOKUP($C15,'[2]LiST Outputs WITH M.'!$AA$4:$AJ$82,6,FALSE)</f>
        <v>0</v>
      </c>
      <c r="H15" s="12">
        <f>VLOOKUP($C15,'[2]LiST Outputs WITH M.'!$AA$4:$AJ$82,7,FALSE)</f>
        <v>0</v>
      </c>
      <c r="I15" s="12">
        <f t="shared" si="0"/>
        <v>0</v>
      </c>
    </row>
    <row r="16" s="1" customFormat="1" spans="1:10">
      <c r="A16" s="9" t="str">
        <f>IF(VLOOKUP(B16,'[2]1. Select Services'!$A$6:$E$77,5,FALSE)="x","x","")</f>
        <v>x</v>
      </c>
      <c r="B16" s="13">
        <v>20</v>
      </c>
      <c r="C16" s="13">
        <v>25</v>
      </c>
      <c r="D16" s="14"/>
      <c r="E16" s="13" t="s">
        <v>26</v>
      </c>
      <c r="F16" s="12">
        <f>VLOOKUP($C16,'[2]LiST Outputs WITH M.'!$AA$4:$AJ$82,5,FALSE)</f>
        <v>0</v>
      </c>
      <c r="G16" s="12">
        <f>VLOOKUP($C16,'[2]LiST Outputs WITH M.'!$AA$4:$AJ$82,6,FALSE)</f>
        <v>0</v>
      </c>
      <c r="H16" s="12">
        <f>VLOOKUP($C16,'[2]LiST Outputs WITH M.'!$AA$4:$AJ$82,7,FALSE)</f>
        <v>0</v>
      </c>
      <c r="I16" s="12">
        <f t="shared" si="0"/>
        <v>0</v>
      </c>
      <c r="J16" s="43"/>
    </row>
    <row r="17" s="1" customFormat="1" spans="1:9">
      <c r="A17" s="9" t="str">
        <f>IF(VLOOKUP(B17,'[2]1. Select Services'!$A$6:$E$77,5,FALSE)="x","x","")</f>
        <v>x</v>
      </c>
      <c r="B17" s="13">
        <v>21</v>
      </c>
      <c r="C17" s="13">
        <v>26</v>
      </c>
      <c r="D17" s="14"/>
      <c r="E17" s="13" t="s">
        <v>27</v>
      </c>
      <c r="F17" s="12">
        <f>VLOOKUP($C17,'[2]LiST Outputs WITH M.'!$AA$4:$AJ$82,5,FALSE)</f>
        <v>0</v>
      </c>
      <c r="G17" s="12">
        <f>VLOOKUP($C17,'[2]LiST Outputs WITH M.'!$AA$4:$AJ$82,6,FALSE)</f>
        <v>0</v>
      </c>
      <c r="H17" s="12">
        <f>VLOOKUP($C17,'[2]LiST Outputs WITH M.'!$AA$4:$AJ$82,7,FALSE)</f>
        <v>0</v>
      </c>
      <c r="I17" s="12">
        <f t="shared" si="0"/>
        <v>0</v>
      </c>
    </row>
    <row r="18" s="1" customFormat="1" spans="1:9">
      <c r="A18" s="9" t="s">
        <v>9</v>
      </c>
      <c r="B18" s="15">
        <v>22</v>
      </c>
      <c r="C18" s="15">
        <v>27</v>
      </c>
      <c r="D18" s="16" t="s">
        <v>28</v>
      </c>
      <c r="E18" s="17" t="s">
        <v>29</v>
      </c>
      <c r="F18" s="12">
        <f>VLOOKUP($C18,'[2]LiST Outputs WITH M.'!$AA$4:$AJ$82,5,FALSE)</f>
        <v>0</v>
      </c>
      <c r="G18" s="12">
        <f>VLOOKUP($C18,'[2]LiST Outputs WITH M.'!$AA$4:$AJ$82,6,FALSE)</f>
        <v>0</v>
      </c>
      <c r="H18" s="12">
        <f>VLOOKUP($C18,'[2]LiST Outputs WITH M.'!$AA$4:$AJ$82,7,FALSE)</f>
        <v>0</v>
      </c>
      <c r="I18" s="12">
        <f t="shared" si="0"/>
        <v>0</v>
      </c>
    </row>
    <row r="19" s="1" customFormat="1" spans="1:9">
      <c r="A19" s="9" t="str">
        <f>IF(VLOOKUP(B19,'[2]1. Select Services'!$A$6:$E$77,5,FALSE)="x","x","")</f>
        <v>x</v>
      </c>
      <c r="B19" s="15">
        <v>23</v>
      </c>
      <c r="C19" s="15">
        <v>28</v>
      </c>
      <c r="D19" s="18"/>
      <c r="E19" s="17" t="s">
        <v>30</v>
      </c>
      <c r="F19" s="12">
        <f>VLOOKUP($C19,'[2]LiST Outputs WITH M.'!$AA$4:$AJ$82,5,FALSE)</f>
        <v>-164</v>
      </c>
      <c r="G19" s="12">
        <f>VLOOKUP($C19,'[2]LiST Outputs WITH M.'!$AA$4:$AJ$82,6,FALSE)</f>
        <v>-164</v>
      </c>
      <c r="H19" s="12">
        <f>VLOOKUP($C19,'[2]LiST Outputs WITH M.'!$AA$4:$AJ$82,7,FALSE)</f>
        <v>-21</v>
      </c>
      <c r="I19" s="12">
        <f t="shared" si="0"/>
        <v>-185</v>
      </c>
    </row>
    <row r="20" s="1" customFormat="1" spans="1:9">
      <c r="A20" s="9" t="str">
        <f>IF(VLOOKUP(B20,'[2]1. Select Services'!$A$6:$E$77,5,FALSE)="x","x","")</f>
        <v>x</v>
      </c>
      <c r="B20" s="15">
        <v>24</v>
      </c>
      <c r="C20" s="15">
        <v>32</v>
      </c>
      <c r="D20" s="18"/>
      <c r="E20" s="17" t="s">
        <v>31</v>
      </c>
      <c r="F20" s="12">
        <f>VLOOKUP($C20,'[2]LiST Outputs WITH M.'!$AA$4:$AJ$82,5,FALSE)</f>
        <v>0</v>
      </c>
      <c r="G20" s="12">
        <f>VLOOKUP($C20,'[2]LiST Outputs WITH M.'!$AA$4:$AJ$82,6,FALSE)</f>
        <v>0</v>
      </c>
      <c r="H20" s="12">
        <f>VLOOKUP($C20,'[2]LiST Outputs WITH M.'!$AA$4:$AJ$82,7,FALSE)</f>
        <v>-29</v>
      </c>
      <c r="I20" s="12">
        <f t="shared" si="0"/>
        <v>-29</v>
      </c>
    </row>
    <row r="21" s="1" customFormat="1" spans="1:9">
      <c r="A21" s="9" t="str">
        <f>IF(VLOOKUP(B21,'[2]1. Select Services'!$A$6:$E$77,5,FALSE)="x","x","")</f>
        <v>x</v>
      </c>
      <c r="B21" s="15">
        <v>25</v>
      </c>
      <c r="C21" s="15">
        <v>33</v>
      </c>
      <c r="D21" s="18"/>
      <c r="E21" s="17" t="s">
        <v>32</v>
      </c>
      <c r="F21" s="12">
        <f>VLOOKUP($C21,'[2]LiST Outputs WITH M.'!$AA$4:$AJ$82,5,FALSE)</f>
        <v>0</v>
      </c>
      <c r="G21" s="12">
        <f>VLOOKUP($C21,'[2]LiST Outputs WITH M.'!$AA$4:$AJ$82,6,FALSE)</f>
        <v>0</v>
      </c>
      <c r="H21" s="12">
        <f>VLOOKUP($C21,'[2]LiST Outputs WITH M.'!$AA$4:$AJ$82,7,FALSE)</f>
        <v>-49</v>
      </c>
      <c r="I21" s="12">
        <f t="shared" si="0"/>
        <v>-49</v>
      </c>
    </row>
    <row r="22" s="1" customFormat="1" spans="1:9">
      <c r="A22" s="9" t="str">
        <f>IF(VLOOKUP(B22,'[2]1. Select Services'!$A$6:$E$77,5,FALSE)="x","x","")</f>
        <v>x</v>
      </c>
      <c r="B22" s="15">
        <v>26</v>
      </c>
      <c r="C22" s="15">
        <v>34</v>
      </c>
      <c r="D22" s="18"/>
      <c r="E22" s="17" t="s">
        <v>33</v>
      </c>
      <c r="F22" s="12">
        <f>VLOOKUP($C22,'[2]LiST Outputs WITH M.'!$AA$4:$AJ$82,5,FALSE)</f>
        <v>-64</v>
      </c>
      <c r="G22" s="12">
        <f>VLOOKUP($C22,'[2]LiST Outputs WITH M.'!$AA$4:$AJ$82,6,FALSE)</f>
        <v>-64</v>
      </c>
      <c r="H22" s="12">
        <f>VLOOKUP($C22,'[2]LiST Outputs WITH M.'!$AA$4:$AJ$82,7,FALSE)</f>
        <v>-9</v>
      </c>
      <c r="I22" s="12">
        <f t="shared" si="0"/>
        <v>-73</v>
      </c>
    </row>
    <row r="23" s="1" customFormat="1" spans="1:9">
      <c r="A23" s="9" t="str">
        <f>IF(VLOOKUP(B23,'[2]1. Select Services'!$A$6:$E$77,5,FALSE)="x","x","")</f>
        <v/>
      </c>
      <c r="B23" s="15">
        <v>27</v>
      </c>
      <c r="C23" s="15">
        <v>35</v>
      </c>
      <c r="D23" s="18"/>
      <c r="E23" s="17" t="s">
        <v>34</v>
      </c>
      <c r="F23" s="12">
        <f>VLOOKUP($C23,'[2]LiST Outputs WITH M.'!$AA$4:$AJ$82,5,FALSE)</f>
        <v>0</v>
      </c>
      <c r="G23" s="12">
        <f>VLOOKUP($C23,'[2]LiST Outputs WITH M.'!$AA$4:$AJ$82,6,FALSE)</f>
        <v>0</v>
      </c>
      <c r="H23" s="12">
        <f>VLOOKUP($C23,'[2]LiST Outputs WITH M.'!$AA$4:$AJ$82,7,FALSE)</f>
        <v>0</v>
      </c>
      <c r="I23" s="12">
        <f t="shared" si="0"/>
        <v>0</v>
      </c>
    </row>
    <row r="24" s="1" customFormat="1" spans="1:9">
      <c r="A24" s="9" t="str">
        <f>IF(VLOOKUP(B24,'[2]1. Select Services'!$A$6:$E$77,5,FALSE)="x","x","")</f>
        <v>x</v>
      </c>
      <c r="B24" s="15">
        <v>28</v>
      </c>
      <c r="C24" s="15">
        <v>36</v>
      </c>
      <c r="D24" s="18"/>
      <c r="E24" s="17" t="s">
        <v>35</v>
      </c>
      <c r="F24" s="12">
        <f>VLOOKUP($C24,'[2]LiST Outputs WITH M.'!$AA$4:$AJ$82,5,FALSE)</f>
        <v>-97</v>
      </c>
      <c r="G24" s="12">
        <f>VLOOKUP($C24,'[2]LiST Outputs WITH M.'!$AA$4:$AJ$82,6,FALSE)</f>
        <v>-97</v>
      </c>
      <c r="H24" s="12">
        <f>VLOOKUP($C24,'[2]LiST Outputs WITH M.'!$AA$4:$AJ$82,7,FALSE)</f>
        <v>-11</v>
      </c>
      <c r="I24" s="12">
        <f t="shared" si="0"/>
        <v>-108</v>
      </c>
    </row>
    <row r="25" s="1" customFormat="1" spans="1:9">
      <c r="A25" s="9" t="s">
        <v>9</v>
      </c>
      <c r="B25" s="15">
        <v>29</v>
      </c>
      <c r="C25" s="15">
        <v>38</v>
      </c>
      <c r="D25" s="18"/>
      <c r="E25" s="17" t="s">
        <v>36</v>
      </c>
      <c r="F25" s="12">
        <f>VLOOKUP($C25,'[2]LiST Outputs WITH M.'!$AA$4:$AJ$82,5,FALSE)</f>
        <v>0</v>
      </c>
      <c r="G25" s="12">
        <f>VLOOKUP($C25,'[2]LiST Outputs WITH M.'!$AA$4:$AJ$82,6,FALSE)</f>
        <v>0</v>
      </c>
      <c r="H25" s="12">
        <f>VLOOKUP($C25,'[2]LiST Outputs WITH M.'!$AA$4:$AJ$82,7,FALSE)</f>
        <v>-254</v>
      </c>
      <c r="I25" s="12">
        <f t="shared" si="0"/>
        <v>-254</v>
      </c>
    </row>
    <row r="26" s="1" customFormat="1" spans="1:9">
      <c r="A26" s="9" t="str">
        <f>IF(VLOOKUP(B26,'[2]1. Select Services'!$A$6:$E$77,5,FALSE)="x","x","")</f>
        <v>x</v>
      </c>
      <c r="B26" s="15">
        <v>30</v>
      </c>
      <c r="C26" s="15">
        <v>39</v>
      </c>
      <c r="D26" s="18"/>
      <c r="E26" s="17" t="s">
        <v>37</v>
      </c>
      <c r="F26" s="12">
        <f>VLOOKUP($C26,'[2]LiST Outputs WITH M.'!$AA$4:$AJ$82,5,FALSE)</f>
        <v>0</v>
      </c>
      <c r="G26" s="12">
        <f>VLOOKUP($C26,'[2]LiST Outputs WITH M.'!$AA$4:$AJ$82,6,FALSE)</f>
        <v>0</v>
      </c>
      <c r="H26" s="12">
        <f>VLOOKUP($C26,'[2]LiST Outputs WITH M.'!$AA$4:$AJ$82,7,FALSE)</f>
        <v>-25</v>
      </c>
      <c r="I26" s="12">
        <f t="shared" si="0"/>
        <v>-25</v>
      </c>
    </row>
    <row r="27" s="1" customFormat="1" spans="1:9">
      <c r="A27" s="9" t="str">
        <f>IF(VLOOKUP(B27,'[2]1. Select Services'!$A$6:$E$77,5,FALSE)="x","x","")</f>
        <v>x</v>
      </c>
      <c r="B27" s="15">
        <v>31</v>
      </c>
      <c r="C27" s="15">
        <v>40</v>
      </c>
      <c r="D27" s="18"/>
      <c r="E27" s="17" t="s">
        <v>38</v>
      </c>
      <c r="F27" s="12">
        <f>VLOOKUP($C27,'[2]LiST Outputs WITH M.'!$AA$4:$AJ$82,5,FALSE)</f>
        <v>0</v>
      </c>
      <c r="G27" s="12">
        <f>VLOOKUP($C27,'[2]LiST Outputs WITH M.'!$AA$4:$AJ$82,6,FALSE)</f>
        <v>0</v>
      </c>
      <c r="H27" s="12">
        <f>VLOOKUP($C27,'[2]LiST Outputs WITH M.'!$AA$4:$AJ$82,7,FALSE)</f>
        <v>0</v>
      </c>
      <c r="I27" s="12">
        <f t="shared" si="0"/>
        <v>0</v>
      </c>
    </row>
    <row r="28" s="1" customFormat="1" spans="1:9">
      <c r="A28" s="9" t="str">
        <f>IF(VLOOKUP(B28,'[2]1. Select Services'!$A$6:$E$77,5,FALSE)="x","x","")</f>
        <v>x</v>
      </c>
      <c r="B28" s="15">
        <v>32</v>
      </c>
      <c r="C28" s="15">
        <v>41</v>
      </c>
      <c r="D28" s="18"/>
      <c r="E28" s="17" t="s">
        <v>39</v>
      </c>
      <c r="F28" s="12">
        <f>VLOOKUP($C28,'[2]LiST Outputs WITH M.'!$AA$4:$AJ$82,5,FALSE)</f>
        <v>0</v>
      </c>
      <c r="G28" s="12">
        <f>VLOOKUP($C28,'[2]LiST Outputs WITH M.'!$AA$4:$AJ$82,6,FALSE)</f>
        <v>0</v>
      </c>
      <c r="H28" s="12">
        <f>VLOOKUP($C28,'[2]LiST Outputs WITH M.'!$AA$4:$AJ$82,7,FALSE)</f>
        <v>0</v>
      </c>
      <c r="I28" s="12">
        <f t="shared" si="0"/>
        <v>0</v>
      </c>
    </row>
    <row r="29" s="1" customFormat="1" spans="1:9">
      <c r="A29" s="9" t="str">
        <f>IF(VLOOKUP(B29,'[2]1. Select Services'!$A$6:$E$77,5,FALSE)="x","x","")</f>
        <v>x</v>
      </c>
      <c r="B29" s="19">
        <v>33</v>
      </c>
      <c r="C29" s="19">
        <v>65</v>
      </c>
      <c r="D29" s="18"/>
      <c r="E29" s="17" t="s">
        <v>40</v>
      </c>
      <c r="F29" s="12">
        <f>VLOOKUP($C29,'[2]LiST Outputs WITH M.'!$AA$4:$AJ$82,5,FALSE)</f>
        <v>0</v>
      </c>
      <c r="G29" s="12">
        <f>VLOOKUP($C29,'[2]LiST Outputs WITH M.'!$AA$4:$AJ$82,6,FALSE)</f>
        <v>0</v>
      </c>
      <c r="H29" s="12">
        <f>VLOOKUP($C29,'[2]LiST Outputs WITH M.'!$AA$4:$AJ$82,7,FALSE)</f>
        <v>0</v>
      </c>
      <c r="I29" s="12">
        <f t="shared" si="0"/>
        <v>0</v>
      </c>
    </row>
    <row r="30" s="1" customFormat="1" spans="1:9">
      <c r="A30" s="9"/>
      <c r="B30" s="19">
        <v>34</v>
      </c>
      <c r="C30" s="19">
        <v>10</v>
      </c>
      <c r="D30" s="18"/>
      <c r="E30" s="20" t="s">
        <v>41</v>
      </c>
      <c r="F30" s="12">
        <f>VLOOKUP($C30,'[2]LiST Outputs WITH M.'!$AA$4:$AJ$82,5,FALSE)</f>
        <v>0</v>
      </c>
      <c r="G30" s="12">
        <f>VLOOKUP($C30,'[2]LiST Outputs WITH M.'!$AA$4:$AJ$82,6,FALSE)</f>
        <v>0</v>
      </c>
      <c r="H30" s="12">
        <f>VLOOKUP($C30,'[2]LiST Outputs WITH M.'!$AA$4:$AJ$82,7,FALSE)</f>
        <v>-12</v>
      </c>
      <c r="I30" s="12">
        <f t="shared" si="0"/>
        <v>-12</v>
      </c>
    </row>
    <row r="31" s="1" customFormat="1" spans="1:9">
      <c r="A31" s="9"/>
      <c r="B31" s="19">
        <v>35</v>
      </c>
      <c r="C31" s="19">
        <v>11</v>
      </c>
      <c r="D31" s="18"/>
      <c r="E31" s="20" t="s">
        <v>42</v>
      </c>
      <c r="F31" s="12">
        <f>VLOOKUP($C31,'[2]LiST Outputs WITH M.'!$AA$4:$AJ$82,5,FALSE)</f>
        <v>0</v>
      </c>
      <c r="G31" s="12">
        <f>VLOOKUP($C31,'[2]LiST Outputs WITH M.'!$AA$4:$AJ$82,6,FALSE)</f>
        <v>0</v>
      </c>
      <c r="H31" s="12">
        <f>VLOOKUP($C31,'[2]LiST Outputs WITH M.'!$AA$4:$AJ$82,7,FALSE)</f>
        <v>0</v>
      </c>
      <c r="I31" s="12">
        <f t="shared" si="0"/>
        <v>0</v>
      </c>
    </row>
    <row r="32" s="1" customFormat="1" spans="1:9">
      <c r="A32" s="9" t="str">
        <f>IF(VLOOKUP(B32,'[2]1. Select Services'!$A$6:$E$77,5,FALSE)="x","x","")</f>
        <v>x</v>
      </c>
      <c r="B32" s="19">
        <v>36</v>
      </c>
      <c r="C32" s="19">
        <v>42</v>
      </c>
      <c r="D32" s="18"/>
      <c r="E32" s="20" t="s">
        <v>43</v>
      </c>
      <c r="F32" s="12">
        <f>VLOOKUP($C32,'[2]LiST Outputs WITH M.'!$AA$4:$AJ$82,5,FALSE)</f>
        <v>-241</v>
      </c>
      <c r="G32" s="12">
        <f>VLOOKUP($C32,'[2]LiST Outputs WITH M.'!$AA$4:$AJ$82,6,FALSE)</f>
        <v>-241</v>
      </c>
      <c r="H32" s="12">
        <f>VLOOKUP($C32,'[2]LiST Outputs WITH M.'!$AA$4:$AJ$82,7,FALSE)</f>
        <v>-70</v>
      </c>
      <c r="I32" s="12">
        <f t="shared" si="0"/>
        <v>-311</v>
      </c>
    </row>
    <row r="33" s="1" customFormat="1" spans="1:9">
      <c r="A33" s="9" t="str">
        <f>IF(VLOOKUP(B33,'[2]1. Select Services'!$A$6:$E$77,5,FALSE)="x","x","")</f>
        <v>x</v>
      </c>
      <c r="B33" s="19">
        <v>37</v>
      </c>
      <c r="C33" s="19">
        <v>43</v>
      </c>
      <c r="D33" s="18"/>
      <c r="E33" s="20" t="s">
        <v>44</v>
      </c>
      <c r="F33" s="12">
        <f>VLOOKUP($C33,'[2]LiST Outputs WITH M.'!$AA$4:$AJ$82,5,FALSE)</f>
        <v>0</v>
      </c>
      <c r="G33" s="12">
        <f>VLOOKUP($C33,'[2]LiST Outputs WITH M.'!$AA$4:$AJ$82,6,FALSE)</f>
        <v>0</v>
      </c>
      <c r="H33" s="12">
        <f>VLOOKUP($C33,'[2]LiST Outputs WITH M.'!$AA$4:$AJ$82,7,FALSE)</f>
        <v>0</v>
      </c>
      <c r="I33" s="12">
        <f t="shared" si="0"/>
        <v>0</v>
      </c>
    </row>
    <row r="34" s="1" customFormat="1" spans="1:9">
      <c r="A34" s="9"/>
      <c r="B34" s="19">
        <v>38</v>
      </c>
      <c r="C34" s="19">
        <v>12</v>
      </c>
      <c r="D34" s="21"/>
      <c r="E34" s="20" t="s">
        <v>45</v>
      </c>
      <c r="F34" s="12">
        <f>VLOOKUP($C34,'[2]LiST Outputs WITH M.'!$AA$4:$AJ$82,5,FALSE)</f>
        <v>0</v>
      </c>
      <c r="G34" s="12">
        <f>VLOOKUP($C34,'[2]LiST Outputs WITH M.'!$AA$4:$AJ$82,6,FALSE)</f>
        <v>0</v>
      </c>
      <c r="H34" s="12">
        <f>VLOOKUP($C34,'[2]LiST Outputs WITH M.'!$AA$4:$AJ$82,7,FALSE)</f>
        <v>0</v>
      </c>
      <c r="I34" s="12">
        <f t="shared" si="0"/>
        <v>0</v>
      </c>
    </row>
    <row r="35" s="1" customFormat="1" spans="1:9">
      <c r="A35" s="9" t="str">
        <f>IF(VLOOKUP(B35,'[2]1. Select Services'!$A$6:$E$77,5,FALSE)="x","x","")</f>
        <v>x</v>
      </c>
      <c r="B35" s="22">
        <v>39</v>
      </c>
      <c r="C35" s="23">
        <v>29</v>
      </c>
      <c r="D35" s="11" t="s">
        <v>46</v>
      </c>
      <c r="E35" s="24" t="s">
        <v>47</v>
      </c>
      <c r="F35" s="12">
        <f>VLOOKUP($C35,'[2]LiST Outputs WITH M.'!$AA$4:$AJ$82,5,FALSE)</f>
        <v>-184</v>
      </c>
      <c r="G35" s="12">
        <f>VLOOKUP($C35,'[2]LiST Outputs WITH M.'!$AA$4:$AJ$82,6,FALSE)</f>
        <v>-184</v>
      </c>
      <c r="H35" s="12">
        <f>VLOOKUP($C35,'[2]LiST Outputs WITH M.'!$AA$4:$AJ$82,7,FALSE)</f>
        <v>0</v>
      </c>
      <c r="I35" s="12">
        <f t="shared" si="0"/>
        <v>-184</v>
      </c>
    </row>
    <row r="36" s="1" customFormat="1" spans="1:9">
      <c r="A36" s="9" t="str">
        <f>IF(VLOOKUP(B36,'[2]1. Select Services'!$A$6:$E$77,5,FALSE)="x","x","")</f>
        <v>x</v>
      </c>
      <c r="B36" s="22">
        <v>40</v>
      </c>
      <c r="C36" s="23">
        <v>30</v>
      </c>
      <c r="D36" s="11"/>
      <c r="E36" s="24" t="s">
        <v>48</v>
      </c>
      <c r="F36" s="12">
        <f>VLOOKUP($C36,'[2]LiST Outputs WITH M.'!$AA$4:$AJ$82,5,FALSE)</f>
        <v>-278</v>
      </c>
      <c r="G36" s="12">
        <f>VLOOKUP($C36,'[2]LiST Outputs WITH M.'!$AA$4:$AJ$82,6,FALSE)</f>
        <v>-278</v>
      </c>
      <c r="H36" s="12">
        <f>VLOOKUP($C36,'[2]LiST Outputs WITH M.'!$AA$4:$AJ$82,7,FALSE)</f>
        <v>0</v>
      </c>
      <c r="I36" s="12">
        <f t="shared" si="0"/>
        <v>-278</v>
      </c>
    </row>
    <row r="37" s="1" customFormat="1" spans="1:9">
      <c r="A37" s="9" t="str">
        <f>IF(VLOOKUP(B37,'[2]1. Select Services'!$A$6:$E$77,5,FALSE)="x","x","")</f>
        <v>x</v>
      </c>
      <c r="B37" s="22">
        <v>41</v>
      </c>
      <c r="C37" s="23">
        <v>31</v>
      </c>
      <c r="D37" s="11"/>
      <c r="E37" s="24" t="s">
        <v>49</v>
      </c>
      <c r="F37" s="12">
        <f>VLOOKUP($C37,'[2]LiST Outputs WITH M.'!$AA$4:$AJ$82,5,FALSE)</f>
        <v>-288</v>
      </c>
      <c r="G37" s="12">
        <f>VLOOKUP($C37,'[2]LiST Outputs WITH M.'!$AA$4:$AJ$82,6,FALSE)</f>
        <v>-288</v>
      </c>
      <c r="H37" s="12">
        <f>VLOOKUP($C37,'[2]LiST Outputs WITH M.'!$AA$4:$AJ$82,7,FALSE)</f>
        <v>0</v>
      </c>
      <c r="I37" s="12">
        <f t="shared" si="0"/>
        <v>-288</v>
      </c>
    </row>
    <row r="38" s="1" customFormat="1" spans="1:9">
      <c r="A38" s="9" t="str">
        <f>IF(VLOOKUP(B38,'[2]1. Select Services'!$A$6:$E$77,5,FALSE)="x","x","")</f>
        <v>x</v>
      </c>
      <c r="B38" s="22">
        <v>42</v>
      </c>
      <c r="C38" s="23">
        <v>37</v>
      </c>
      <c r="D38" s="11"/>
      <c r="E38" s="24" t="s">
        <v>50</v>
      </c>
      <c r="F38" s="12">
        <f>VLOOKUP($C38,'[2]LiST Outputs WITH M.'!$AA$4:$AJ$82,5,FALSE)</f>
        <v>-216</v>
      </c>
      <c r="G38" s="12">
        <f>VLOOKUP($C38,'[2]LiST Outputs WITH M.'!$AA$4:$AJ$82,6,FALSE)</f>
        <v>-216</v>
      </c>
      <c r="H38" s="12">
        <f>VLOOKUP($C38,'[2]LiST Outputs WITH M.'!$AA$4:$AJ$82,7,FALSE)</f>
        <v>0</v>
      </c>
      <c r="I38" s="12">
        <f t="shared" si="0"/>
        <v>-216</v>
      </c>
    </row>
    <row r="39" s="1" customFormat="1" spans="1:9">
      <c r="A39" s="9" t="e">
        <f>IF(OR(A40="x",A41="x"),"x","")</f>
        <v>#N/A</v>
      </c>
      <c r="B39" s="22" t="s">
        <v>51</v>
      </c>
      <c r="C39" s="22" t="s">
        <v>52</v>
      </c>
      <c r="D39" s="11"/>
      <c r="E39" s="25" t="s">
        <v>53</v>
      </c>
      <c r="F39" s="12">
        <f>VLOOKUP($C39,'[2]LiST Outputs WITH M.'!$AA$4:$AJ$82,5,FALSE)</f>
        <v>0</v>
      </c>
      <c r="G39" s="12">
        <f>VLOOKUP($C39,'[2]LiST Outputs WITH M.'!$AA$4:$AJ$82,6,FALSE)</f>
        <v>0</v>
      </c>
      <c r="H39" s="12"/>
      <c r="I39" s="12">
        <f t="shared" si="0"/>
        <v>0</v>
      </c>
    </row>
    <row r="40" s="1" customFormat="1" spans="1:10">
      <c r="A40" s="9" t="e">
        <f>IF(VLOOKUP(B40,'[1]1. Select Services'!$A$6:$E$77,5,FALSE)="x","x","")</f>
        <v>#N/A</v>
      </c>
      <c r="B40" s="22">
        <v>43</v>
      </c>
      <c r="C40" s="22">
        <v>66</v>
      </c>
      <c r="D40" s="11"/>
      <c r="E40" s="26" t="s">
        <v>54</v>
      </c>
      <c r="F40" s="27"/>
      <c r="G40" s="27"/>
      <c r="H40" s="27"/>
      <c r="I40" s="27"/>
      <c r="J40" s="44" t="s">
        <v>55</v>
      </c>
    </row>
    <row r="41" s="1" customFormat="1" spans="1:10">
      <c r="A41" s="9" t="e">
        <f>IF(VLOOKUP(B41,'[1]1. Select Services'!$A$6:$E$77,5,FALSE)="x","x","")</f>
        <v>#N/A</v>
      </c>
      <c r="B41" s="22">
        <v>44</v>
      </c>
      <c r="C41" s="22">
        <v>67</v>
      </c>
      <c r="D41" s="11"/>
      <c r="E41" s="26" t="s">
        <v>56</v>
      </c>
      <c r="F41" s="27"/>
      <c r="G41" s="27"/>
      <c r="H41" s="27"/>
      <c r="I41" s="27"/>
      <c r="J41" s="45"/>
    </row>
    <row r="42" s="1" customFormat="1" spans="1:10">
      <c r="A42" s="9" t="e">
        <f>IF(OR(A43="x",A44="x",A45="x"),"x","")</f>
        <v>#N/A</v>
      </c>
      <c r="B42" s="22" t="s">
        <v>57</v>
      </c>
      <c r="C42" s="22" t="s">
        <v>58</v>
      </c>
      <c r="D42" s="11"/>
      <c r="E42" s="25" t="s">
        <v>59</v>
      </c>
      <c r="F42" s="12">
        <f>VLOOKUP($C42,'[2]LiST Outputs WITH M.'!$AA$4:$AJ$82,5,FALSE)</f>
        <v>-756</v>
      </c>
      <c r="G42" s="12">
        <f>VLOOKUP($C42,'[2]LiST Outputs WITH M.'!$AA$4:$AJ$82,6,FALSE)</f>
        <v>-756</v>
      </c>
      <c r="H42" s="12"/>
      <c r="I42" s="12">
        <f t="shared" ref="I42:I47" si="1">SUM(G42:H42)</f>
        <v>-756</v>
      </c>
      <c r="J42" s="46"/>
    </row>
    <row r="43" s="1" customFormat="1" ht="13.5" customHeight="1" spans="1:10">
      <c r="A43" s="9" t="e">
        <f>IF(VLOOKUP(B43,'[1]1. Select Services'!$A$6:$E$77,5,FALSE)="x","x","")</f>
        <v>#N/A</v>
      </c>
      <c r="B43" s="22">
        <v>45</v>
      </c>
      <c r="C43" s="22">
        <v>68</v>
      </c>
      <c r="D43" s="11"/>
      <c r="E43" s="26" t="s">
        <v>60</v>
      </c>
      <c r="F43" s="27"/>
      <c r="G43" s="27"/>
      <c r="H43" s="27"/>
      <c r="I43" s="27"/>
      <c r="J43" s="44" t="s">
        <v>55</v>
      </c>
    </row>
    <row r="44" s="1" customFormat="1" spans="1:10">
      <c r="A44" s="9" t="e">
        <f>IF(VLOOKUP(B44,'[1]1. Select Services'!$A$6:$E$77,5,FALSE)="x","x","")</f>
        <v>#N/A</v>
      </c>
      <c r="B44" s="22">
        <v>46</v>
      </c>
      <c r="C44" s="22">
        <v>69</v>
      </c>
      <c r="D44" s="11"/>
      <c r="E44" s="26" t="s">
        <v>61</v>
      </c>
      <c r="F44" s="27"/>
      <c r="G44" s="27"/>
      <c r="H44" s="27"/>
      <c r="I44" s="27"/>
      <c r="J44" s="47"/>
    </row>
    <row r="45" s="1" customFormat="1" spans="1:10">
      <c r="A45" s="9" t="str">
        <f>IF(VLOOKUP(B45,'[2]1. Select Services'!$A$6:$E$77,5,FALSE)="x","x","")</f>
        <v>x</v>
      </c>
      <c r="B45" s="22">
        <v>47</v>
      </c>
      <c r="C45" s="22">
        <v>70</v>
      </c>
      <c r="D45" s="11"/>
      <c r="E45" s="26" t="s">
        <v>62</v>
      </c>
      <c r="F45" s="27"/>
      <c r="G45" s="27"/>
      <c r="H45" s="27"/>
      <c r="I45" s="27"/>
      <c r="J45" s="45"/>
    </row>
    <row r="46" s="1" customFormat="1" spans="1:10">
      <c r="A46" s="9" t="str">
        <f>IF(VLOOKUP(B46,'[2]1. Select Services'!$A$6:$E$77,5,FALSE)="x","x","")</f>
        <v>x</v>
      </c>
      <c r="B46" s="28">
        <v>48</v>
      </c>
      <c r="C46" s="28">
        <v>44</v>
      </c>
      <c r="D46" s="29" t="s">
        <v>63</v>
      </c>
      <c r="E46" s="30" t="s">
        <v>63</v>
      </c>
      <c r="F46" s="12">
        <f>VLOOKUP($C46,'[2]LiST Outputs WITH M.'!$AA$4:$AJ$82,5,FALSE)</f>
        <v>-547</v>
      </c>
      <c r="G46" s="12">
        <f>VLOOKUP($C46,'[2]LiST Outputs WITH M.'!$AA$4:$AJ$82,6,FALSE)</f>
        <v>-1566</v>
      </c>
      <c r="H46" s="12">
        <f>VLOOKUP($C46,'[2]LiST Outputs WITH M.'!$AA$4:$AJ$82,7,FALSE)</f>
        <v>0</v>
      </c>
      <c r="I46" s="12">
        <f t="shared" si="1"/>
        <v>-1566</v>
      </c>
      <c r="J46" s="48" t="s">
        <v>64</v>
      </c>
    </row>
    <row r="47" s="1" customFormat="1" ht="18" customHeight="1" spans="1:10">
      <c r="A47" s="9" t="str">
        <f>IF(VLOOKUP(B47,'[2]1. Select Services'!$A$6:$E$77,5,FALSE)="x","x","")</f>
        <v>x</v>
      </c>
      <c r="B47" s="31">
        <v>49</v>
      </c>
      <c r="C47" s="31">
        <v>45</v>
      </c>
      <c r="D47" s="29"/>
      <c r="E47" s="32" t="s">
        <v>65</v>
      </c>
      <c r="F47" s="33">
        <f>SUM('[2]LiST Outputs WITH M.'!AE44:AE47)</f>
        <v>0</v>
      </c>
      <c r="G47" s="33">
        <f>SUM('[2]LiST Outputs WITH M.'!AF44:AF47)</f>
        <v>-13</v>
      </c>
      <c r="H47" s="33">
        <f>SUM('[2]LiST Outputs WITH M.'!AG44:AG47)</f>
        <v>0</v>
      </c>
      <c r="I47" s="49">
        <f t="shared" si="1"/>
        <v>-13</v>
      </c>
      <c r="J47" s="42" t="s">
        <v>66</v>
      </c>
    </row>
    <row r="48" s="1" customFormat="1" spans="1:10">
      <c r="A48" s="9" t="str">
        <f>IF(VLOOKUP(B48,'[2]1. Select Services'!$A$6:$E$77,5,FALSE)="x","x","")</f>
        <v>x</v>
      </c>
      <c r="B48" s="31">
        <v>50</v>
      </c>
      <c r="C48" s="31">
        <v>46</v>
      </c>
      <c r="D48" s="29"/>
      <c r="E48" s="32" t="s">
        <v>67</v>
      </c>
      <c r="F48" s="33"/>
      <c r="G48" s="33"/>
      <c r="H48" s="33"/>
      <c r="I48" s="50"/>
      <c r="J48" s="42"/>
    </row>
    <row r="49" s="1" customFormat="1" ht="14.25" customHeight="1" spans="1:9">
      <c r="A49" s="9"/>
      <c r="B49" s="34">
        <v>51</v>
      </c>
      <c r="C49" s="34">
        <v>55</v>
      </c>
      <c r="D49" s="35" t="s">
        <v>68</v>
      </c>
      <c r="E49" s="36" t="s">
        <v>69</v>
      </c>
      <c r="F49" s="12">
        <f>VLOOKUP($C49,'[2]LiST Outputs WITH M.'!$AA$4:$AJ$82,5,FALSE)</f>
        <v>0</v>
      </c>
      <c r="G49" s="12">
        <f>VLOOKUP($C49,'[2]LiST Outputs WITH M.'!$AA$4:$AJ$82,6,FALSE)</f>
        <v>0</v>
      </c>
      <c r="H49" s="12">
        <f>VLOOKUP($C49,'[2]LiST Outputs WITH M.'!$AA$4:$AJ$82,7,FALSE)</f>
        <v>0</v>
      </c>
      <c r="I49" s="12">
        <f t="shared" ref="I49:I70" si="2">SUM(G49:H49)</f>
        <v>0</v>
      </c>
    </row>
    <row r="50" s="1" customFormat="1" spans="1:9">
      <c r="A50" s="9" t="str">
        <f>IF(VLOOKUP(B50,'[2]1. Select Services'!$A$6:$E$77,5,FALSE)="x","x","")</f>
        <v>x</v>
      </c>
      <c r="B50" s="34">
        <v>52</v>
      </c>
      <c r="C50" s="34">
        <v>56</v>
      </c>
      <c r="D50" s="35"/>
      <c r="E50" s="36" t="s">
        <v>70</v>
      </c>
      <c r="F50" s="12">
        <f>VLOOKUP($C50,'[2]LiST Outputs WITH M.'!$AA$4:$AJ$82,5,FALSE)</f>
        <v>0</v>
      </c>
      <c r="G50" s="12">
        <f>VLOOKUP($C50,'[2]LiST Outputs WITH M.'!$AA$4:$AJ$82,6,FALSE)</f>
        <v>0</v>
      </c>
      <c r="H50" s="12">
        <f>VLOOKUP($C50,'[2]LiST Outputs WITH M.'!$AA$4:$AJ$82,7,FALSE)</f>
        <v>0</v>
      </c>
      <c r="I50" s="12">
        <f t="shared" si="2"/>
        <v>0</v>
      </c>
    </row>
    <row r="51" s="1" customFormat="1" spans="1:9">
      <c r="A51" s="9"/>
      <c r="B51" s="34"/>
      <c r="C51" s="34"/>
      <c r="D51" s="35"/>
      <c r="E51" s="37" t="s">
        <v>71</v>
      </c>
      <c r="F51" s="27"/>
      <c r="G51" s="27"/>
      <c r="H51" s="27"/>
      <c r="I51" s="27"/>
    </row>
    <row r="52" s="1" customFormat="1" spans="1:9">
      <c r="A52" s="9" t="str">
        <f>IF(VLOOKUP(B52,'[2]1. Select Services'!$A$6:$E$77,5,FALSE)="x","x","")</f>
        <v>x</v>
      </c>
      <c r="B52" s="34">
        <v>53</v>
      </c>
      <c r="C52" s="34">
        <v>57</v>
      </c>
      <c r="D52" s="35"/>
      <c r="E52" s="38" t="s">
        <v>72</v>
      </c>
      <c r="F52" s="12">
        <f>VLOOKUP($C52,'[2]LiST Outputs WITH M.'!$AA$4:$AJ$82,5,FALSE)</f>
        <v>0</v>
      </c>
      <c r="G52" s="12">
        <f>VLOOKUP($C52,'[2]LiST Outputs WITH M.'!$AA$4:$AJ$82,6,FALSE)</f>
        <v>-59</v>
      </c>
      <c r="H52" s="12">
        <f>VLOOKUP($C52,'[2]LiST Outputs WITH M.'!$AA$4:$AJ$82,7,FALSE)</f>
        <v>0</v>
      </c>
      <c r="I52" s="12">
        <f t="shared" si="2"/>
        <v>-59</v>
      </c>
    </row>
    <row r="53" s="1" customFormat="1" spans="1:9">
      <c r="A53" s="9" t="str">
        <f>IF(VLOOKUP(B53,'[2]1. Select Services'!$A$6:$E$77,5,FALSE)="x","x","")</f>
        <v>x</v>
      </c>
      <c r="B53" s="34">
        <v>54</v>
      </c>
      <c r="C53" s="34">
        <v>58</v>
      </c>
      <c r="D53" s="35"/>
      <c r="E53" s="38" t="s">
        <v>73</v>
      </c>
      <c r="F53" s="12">
        <f>VLOOKUP($C53,'[2]LiST Outputs WITH M.'!$AA$4:$AJ$82,5,FALSE)</f>
        <v>0</v>
      </c>
      <c r="G53" s="12">
        <f>VLOOKUP($C53,'[2]LiST Outputs WITH M.'!$AA$4:$AJ$82,6,FALSE)</f>
        <v>-181</v>
      </c>
      <c r="H53" s="12">
        <f>VLOOKUP($C53,'[2]LiST Outputs WITH M.'!$AA$4:$AJ$82,7,FALSE)</f>
        <v>0</v>
      </c>
      <c r="I53" s="12">
        <f t="shared" si="2"/>
        <v>-181</v>
      </c>
    </row>
    <row r="54" s="1" customFormat="1" spans="1:9">
      <c r="A54" s="9" t="str">
        <f>IF(VLOOKUP(B54,'[2]1. Select Services'!$A$6:$E$77,5,FALSE)="x","x","")</f>
        <v>x</v>
      </c>
      <c r="B54" s="34">
        <v>55</v>
      </c>
      <c r="C54" s="34">
        <v>59</v>
      </c>
      <c r="D54" s="35"/>
      <c r="E54" s="38" t="s">
        <v>74</v>
      </c>
      <c r="F54" s="12">
        <f>VLOOKUP($C54,'[2]LiST Outputs WITH M.'!$AA$4:$AJ$82,5,FALSE)</f>
        <v>0</v>
      </c>
      <c r="G54" s="12">
        <f>VLOOKUP($C54,'[2]LiST Outputs WITH M.'!$AA$4:$AJ$82,6,FALSE)</f>
        <v>0</v>
      </c>
      <c r="H54" s="12">
        <f>VLOOKUP($C54,'[2]LiST Outputs WITH M.'!$AA$4:$AJ$82,7,FALSE)</f>
        <v>0</v>
      </c>
      <c r="I54" s="12">
        <f t="shared" si="2"/>
        <v>0</v>
      </c>
    </row>
    <row r="55" s="1" customFormat="1" spans="1:9">
      <c r="A55" s="9" t="str">
        <f>IF(VLOOKUP(B55,'[2]1. Select Services'!$A$6:$E$77,5,FALSE)="x","x","")</f>
        <v>x</v>
      </c>
      <c r="B55" s="34">
        <v>56</v>
      </c>
      <c r="C55" s="34">
        <v>60</v>
      </c>
      <c r="D55" s="35"/>
      <c r="E55" s="36" t="s">
        <v>75</v>
      </c>
      <c r="F55" s="12">
        <f>VLOOKUP($C55,'[2]LiST Outputs WITH M.'!$AA$4:$AJ$82,5,FALSE)</f>
        <v>0</v>
      </c>
      <c r="G55" s="12">
        <f>VLOOKUP($C55,'[2]LiST Outputs WITH M.'!$AA$4:$AJ$82,6,FALSE)</f>
        <v>-161</v>
      </c>
      <c r="H55" s="12">
        <f>VLOOKUP($C55,'[2]LiST Outputs WITH M.'!$AA$4:$AJ$82,7,FALSE)</f>
        <v>0</v>
      </c>
      <c r="I55" s="12">
        <f t="shared" si="2"/>
        <v>-161</v>
      </c>
    </row>
    <row r="56" s="1" customFormat="1" spans="1:9">
      <c r="A56" s="9" t="str">
        <f>IF(VLOOKUP(B56,'[2]1. Select Services'!$A$6:$E$77,5,FALSE)="x","x","")</f>
        <v>x</v>
      </c>
      <c r="B56" s="34">
        <v>57</v>
      </c>
      <c r="C56" s="34">
        <v>61</v>
      </c>
      <c r="D56" s="35"/>
      <c r="E56" s="36" t="s">
        <v>76</v>
      </c>
      <c r="F56" s="12">
        <f>VLOOKUP($C56,'[2]LiST Outputs WITH M.'!$AA$4:$AJ$82,5,FALSE)</f>
        <v>0</v>
      </c>
      <c r="G56" s="12">
        <f>VLOOKUP($C56,'[2]LiST Outputs WITH M.'!$AA$4:$AJ$82,6,FALSE)</f>
        <v>39</v>
      </c>
      <c r="H56" s="12">
        <f>VLOOKUP($C56,'[2]LiST Outputs WITH M.'!$AA$4:$AJ$82,7,FALSE)</f>
        <v>0</v>
      </c>
      <c r="I56" s="12">
        <f t="shared" si="2"/>
        <v>39</v>
      </c>
    </row>
    <row r="57" s="1" customFormat="1" spans="1:9">
      <c r="A57" s="9" t="str">
        <f>IF(VLOOKUP(B57,'[2]1. Select Services'!$A$6:$E$77,5,FALSE)="x","x","")</f>
        <v/>
      </c>
      <c r="B57" s="34">
        <v>58</v>
      </c>
      <c r="C57" s="34">
        <v>62</v>
      </c>
      <c r="D57" s="35"/>
      <c r="E57" s="36" t="s">
        <v>77</v>
      </c>
      <c r="F57" s="12">
        <f>VLOOKUP($C57,'[2]LiST Outputs WITH M.'!$AA$4:$AJ$82,5,FALSE)</f>
        <v>0</v>
      </c>
      <c r="G57" s="12">
        <f>VLOOKUP($C57,'[2]LiST Outputs WITH M.'!$AA$4:$AJ$82,6,FALSE)</f>
        <v>0</v>
      </c>
      <c r="H57" s="12">
        <f>VLOOKUP($C57,'[2]LiST Outputs WITH M.'!$AA$4:$AJ$82,7,FALSE)</f>
        <v>0</v>
      </c>
      <c r="I57" s="12">
        <f t="shared" si="2"/>
        <v>0</v>
      </c>
    </row>
    <row r="58" s="1" customFormat="1" spans="1:9">
      <c r="A58" s="9"/>
      <c r="B58" s="34">
        <v>59</v>
      </c>
      <c r="C58" s="34">
        <v>63</v>
      </c>
      <c r="D58" s="35"/>
      <c r="E58" s="36" t="s">
        <v>78</v>
      </c>
      <c r="F58" s="12">
        <f>VLOOKUP($C58,'[2]LiST Outputs WITH M.'!$AA$4:$AJ$82,5,FALSE)</f>
        <v>0</v>
      </c>
      <c r="G58" s="12">
        <f>VLOOKUP($C58,'[2]LiST Outputs WITH M.'!$AA$4:$AJ$82,6,FALSE)</f>
        <v>0</v>
      </c>
      <c r="H58" s="12">
        <f>VLOOKUP($C58,'[2]LiST Outputs WITH M.'!$AA$4:$AJ$82,7,FALSE)</f>
        <v>0</v>
      </c>
      <c r="I58" s="12">
        <f t="shared" si="2"/>
        <v>0</v>
      </c>
    </row>
    <row r="59" s="1" customFormat="1" spans="1:9">
      <c r="A59" s="9" t="str">
        <f>IF(VLOOKUP(B59,'[2]1. Select Services'!$A$6:$E$77,5,FALSE)="x","x","")</f>
        <v>x</v>
      </c>
      <c r="B59" s="34">
        <v>60</v>
      </c>
      <c r="C59" s="34">
        <v>64</v>
      </c>
      <c r="D59" s="35"/>
      <c r="E59" s="36" t="s">
        <v>79</v>
      </c>
      <c r="F59" s="12">
        <f>VLOOKUP($C59,'[2]LiST Outputs WITH M.'!$AA$4:$AJ$82,5,FALSE)</f>
        <v>0</v>
      </c>
      <c r="G59" s="12">
        <f>VLOOKUP($C59,'[2]LiST Outputs WITH M.'!$AA$4:$AJ$82,6,FALSE)</f>
        <v>-63</v>
      </c>
      <c r="H59" s="12">
        <f>VLOOKUP($C59,'[2]LiST Outputs WITH M.'!$AA$4:$AJ$82,7,FALSE)</f>
        <v>0</v>
      </c>
      <c r="I59" s="12">
        <f t="shared" si="2"/>
        <v>-63</v>
      </c>
    </row>
    <row r="60" s="1" customFormat="1" spans="1:9">
      <c r="A60" s="9" t="str">
        <f>IF(VLOOKUP(B60,'[2]1. Select Services'!$A$6:$E$77,5,FALSE)="x","x","")</f>
        <v>x</v>
      </c>
      <c r="B60" s="39">
        <v>61</v>
      </c>
      <c r="C60" s="39">
        <v>47</v>
      </c>
      <c r="D60" s="40" t="s">
        <v>80</v>
      </c>
      <c r="E60" s="41" t="s">
        <v>81</v>
      </c>
      <c r="F60" s="12">
        <f>VLOOKUP($C60,'[2]LiST Outputs WITH M.'!$AA$4:$AJ$82,5,FALSE)</f>
        <v>0</v>
      </c>
      <c r="G60" s="12">
        <f>VLOOKUP($C60,'[2]LiST Outputs WITH M.'!$AA$4:$AJ$82,6,FALSE)</f>
        <v>0</v>
      </c>
      <c r="H60" s="12">
        <f>VLOOKUP($C60,'[2]LiST Outputs WITH M.'!$AA$4:$AJ$82,7,FALSE)</f>
        <v>0</v>
      </c>
      <c r="I60" s="12">
        <f t="shared" si="2"/>
        <v>0</v>
      </c>
    </row>
    <row r="61" s="1" customFormat="1" spans="1:9">
      <c r="A61" s="9" t="str">
        <f>IF(VLOOKUP(B61,'[2]1. Select Services'!$A$6:$E$77,5,FALSE)="x","x","")</f>
        <v>x</v>
      </c>
      <c r="B61" s="39">
        <v>62</v>
      </c>
      <c r="C61" s="39">
        <v>48</v>
      </c>
      <c r="D61" s="40"/>
      <c r="E61" s="41" t="s">
        <v>82</v>
      </c>
      <c r="F61" s="12">
        <f>VLOOKUP($C61,'[2]LiST Outputs WITH M.'!$AA$4:$AJ$82,5,FALSE)</f>
        <v>0</v>
      </c>
      <c r="G61" s="12">
        <f>VLOOKUP($C61,'[2]LiST Outputs WITH M.'!$AA$4:$AJ$82,6,FALSE)</f>
        <v>-534</v>
      </c>
      <c r="H61" s="12">
        <f>VLOOKUP($C61,'[2]LiST Outputs WITH M.'!$AA$4:$AJ$82,7,FALSE)</f>
        <v>0</v>
      </c>
      <c r="I61" s="12">
        <f t="shared" si="2"/>
        <v>-534</v>
      </c>
    </row>
    <row r="62" s="1" customFormat="1" spans="1:9">
      <c r="A62" s="9" t="str">
        <f>IF(VLOOKUP(B62,'[2]1. Select Services'!$A$6:$E$77,5,FALSE)="x","x","")</f>
        <v>x</v>
      </c>
      <c r="B62" s="39">
        <v>63</v>
      </c>
      <c r="C62" s="39">
        <v>71</v>
      </c>
      <c r="D62" s="40"/>
      <c r="E62" s="41" t="s">
        <v>83</v>
      </c>
      <c r="F62" s="12">
        <f>VLOOKUP($C62,'[2]LiST Outputs WITH M.'!$AA$4:$AJ$82,5,FALSE)</f>
        <v>-51</v>
      </c>
      <c r="G62" s="12">
        <f>VLOOKUP($C62,'[2]LiST Outputs WITH M.'!$AA$4:$AJ$82,6,FALSE)</f>
        <v>-590</v>
      </c>
      <c r="H62" s="12">
        <f>VLOOKUP($C62,'[2]LiST Outputs WITH M.'!$AA$4:$AJ$82,7,FALSE)</f>
        <v>0</v>
      </c>
      <c r="I62" s="12">
        <f t="shared" si="2"/>
        <v>-590</v>
      </c>
    </row>
    <row r="63" s="1" customFormat="1" spans="1:9">
      <c r="A63" s="9" t="str">
        <f>IF(VLOOKUP(B63,'[2]1. Select Services'!$A$6:$E$77,5,FALSE)="x","x","")</f>
        <v>x</v>
      </c>
      <c r="B63" s="39">
        <v>64</v>
      </c>
      <c r="C63" s="39">
        <v>72</v>
      </c>
      <c r="D63" s="40"/>
      <c r="E63" s="41" t="s">
        <v>84</v>
      </c>
      <c r="F63" s="12">
        <f>VLOOKUP($C63,'[2]LiST Outputs WITH M.'!$AA$4:$AJ$82,5,FALSE)</f>
        <v>-1</v>
      </c>
      <c r="G63" s="12">
        <f>VLOOKUP($C63,'[2]LiST Outputs WITH M.'!$AA$4:$AJ$82,6,FALSE)</f>
        <v>-8</v>
      </c>
      <c r="H63" s="12">
        <f>VLOOKUP($C63,'[2]LiST Outputs WITH M.'!$AA$4:$AJ$82,7,FALSE)</f>
        <v>0</v>
      </c>
      <c r="I63" s="12">
        <f t="shared" si="2"/>
        <v>-8</v>
      </c>
    </row>
    <row r="64" s="1" customFormat="1" spans="1:9">
      <c r="A64" s="9" t="str">
        <f>IF(VLOOKUP(B64,'[2]1. Select Services'!$A$6:$E$77,5,FALSE)="x","x","")</f>
        <v>x</v>
      </c>
      <c r="B64" s="39">
        <v>65</v>
      </c>
      <c r="C64" s="39">
        <v>73</v>
      </c>
      <c r="D64" s="40"/>
      <c r="E64" s="41" t="s">
        <v>85</v>
      </c>
      <c r="F64" s="12">
        <f>VLOOKUP($C64,'[2]LiST Outputs WITH M.'!$AA$4:$AJ$82,5,FALSE)</f>
        <v>-2</v>
      </c>
      <c r="G64" s="12">
        <f>VLOOKUP($C64,'[2]LiST Outputs WITH M.'!$AA$4:$AJ$82,6,FALSE)</f>
        <v>-20</v>
      </c>
      <c r="H64" s="12">
        <f>VLOOKUP($C64,'[2]LiST Outputs WITH M.'!$AA$4:$AJ$82,7,FALSE)</f>
        <v>0</v>
      </c>
      <c r="I64" s="12">
        <f t="shared" si="2"/>
        <v>-20</v>
      </c>
    </row>
    <row r="65" s="1" customFormat="1" spans="1:9">
      <c r="A65" s="9" t="str">
        <f>IF(VLOOKUP(B65,'[2]1. Select Services'!$A$6:$E$77,5,FALSE)="x","x","")</f>
        <v>x</v>
      </c>
      <c r="B65" s="39">
        <v>66</v>
      </c>
      <c r="C65" s="39">
        <v>74</v>
      </c>
      <c r="D65" s="40"/>
      <c r="E65" s="41" t="s">
        <v>86</v>
      </c>
      <c r="F65" s="12">
        <f>VLOOKUP($C65,'[2]LiST Outputs WITH M.'!$AA$4:$AJ$82,5,FALSE)</f>
        <v>0</v>
      </c>
      <c r="G65" s="12">
        <f>VLOOKUP($C65,'[2]LiST Outputs WITH M.'!$AA$4:$AJ$82,6,FALSE)</f>
        <v>-949</v>
      </c>
      <c r="H65" s="12">
        <f>VLOOKUP($C65,'[2]LiST Outputs WITH M.'!$AA$4:$AJ$82,7,FALSE)</f>
        <v>0</v>
      </c>
      <c r="I65" s="12">
        <f t="shared" si="2"/>
        <v>-949</v>
      </c>
    </row>
    <row r="66" s="1" customFormat="1" spans="1:9">
      <c r="A66" s="9" t="str">
        <f>IF(VLOOKUP(B66,'[2]1. Select Services'!$A$6:$E$77,5,FALSE)="x","x","")</f>
        <v>x</v>
      </c>
      <c r="B66" s="39">
        <v>67</v>
      </c>
      <c r="C66" s="39">
        <v>75</v>
      </c>
      <c r="D66" s="40"/>
      <c r="E66" s="41" t="s">
        <v>87</v>
      </c>
      <c r="F66" s="12">
        <f>VLOOKUP($C66,'[2]LiST Outputs WITH M.'!$AA$4:$AJ$82,5,FALSE)</f>
        <v>0</v>
      </c>
      <c r="G66" s="12">
        <f>VLOOKUP($C66,'[2]LiST Outputs WITH M.'!$AA$4:$AJ$82,6,FALSE)</f>
        <v>-274</v>
      </c>
      <c r="H66" s="12">
        <f>VLOOKUP($C66,'[2]LiST Outputs WITH M.'!$AA$4:$AJ$82,7,FALSE)</f>
        <v>0</v>
      </c>
      <c r="I66" s="12">
        <f t="shared" si="2"/>
        <v>-274</v>
      </c>
    </row>
    <row r="67" s="1" customFormat="1" spans="1:9">
      <c r="A67" s="9" t="str">
        <f>IF(VLOOKUP(B67,'[2]1. Select Services'!$A$6:$E$77,5,FALSE)="x","x","")</f>
        <v/>
      </c>
      <c r="B67" s="39">
        <v>68</v>
      </c>
      <c r="C67" s="39">
        <v>76</v>
      </c>
      <c r="D67" s="40"/>
      <c r="E67" s="41" t="s">
        <v>88</v>
      </c>
      <c r="F67" s="12">
        <f>VLOOKUP($C67,'[2]LiST Outputs WITH M.'!$AA$4:$AJ$82,5,FALSE)</f>
        <v>0</v>
      </c>
      <c r="G67" s="12">
        <f>VLOOKUP($C67,'[2]LiST Outputs WITH M.'!$AA$4:$AJ$82,6,FALSE)</f>
        <v>0</v>
      </c>
      <c r="H67" s="12">
        <f>VLOOKUP($C67,'[2]LiST Outputs WITH M.'!$AA$4:$AJ$82,7,FALSE)</f>
        <v>0</v>
      </c>
      <c r="I67" s="12">
        <f t="shared" si="2"/>
        <v>0</v>
      </c>
    </row>
    <row r="68" s="1" customFormat="1" spans="1:10">
      <c r="A68" s="9" t="str">
        <f>IF(VLOOKUP(B68,'[2]1. Select Services'!$A$6:$E$77,5,FALSE)="x","x","")</f>
        <v>x</v>
      </c>
      <c r="B68" s="51">
        <v>69</v>
      </c>
      <c r="C68" s="51">
        <v>77</v>
      </c>
      <c r="D68" s="52" t="s">
        <v>89</v>
      </c>
      <c r="E68" s="53" t="s">
        <v>90</v>
      </c>
      <c r="F68" s="12">
        <f>VLOOKUP($C68,'[2]LiST Outputs WITH M.'!$AA$4:$AJ$82,5,FALSE)+'[2]LiST Outputs WITH M.'!AE81</f>
        <v>0</v>
      </c>
      <c r="G68" s="12">
        <f>VLOOKUP($C68,'[2]LiST Outputs WITH M.'!$AA$4:$AJ$82,6,FALSE)+'[2]LiST Outputs WITH M.'!AF81</f>
        <v>-15</v>
      </c>
      <c r="H68" s="12">
        <f>VLOOKUP($C68,'[2]LiST Outputs WITH M.'!$AA$4:$AJ$82,7,FALSE)</f>
        <v>0</v>
      </c>
      <c r="I68" s="12">
        <f t="shared" si="2"/>
        <v>-15</v>
      </c>
      <c r="J68" s="42" t="s">
        <v>91</v>
      </c>
    </row>
    <row r="69" s="1" customFormat="1" spans="1:10">
      <c r="A69" s="9" t="str">
        <f>IF(VLOOKUP(B69,'[2]1. Select Services'!$A$6:$E$77,5,FALSE)="x","x","")</f>
        <v>x</v>
      </c>
      <c r="B69" s="51">
        <v>70</v>
      </c>
      <c r="C69" s="51">
        <v>78</v>
      </c>
      <c r="D69" s="52"/>
      <c r="E69" s="53" t="s">
        <v>92</v>
      </c>
      <c r="F69" s="12">
        <f>VLOOKUP($C69,'[2]LiST Outputs WITH M.'!$AA$4:$AJ$82,5,FALSE)</f>
        <v>0</v>
      </c>
      <c r="G69" s="12">
        <f>VLOOKUP($C69,'[2]LiST Outputs WITH M.'!$AA$4:$AJ$82,6,FALSE)</f>
        <v>0</v>
      </c>
      <c r="H69" s="12">
        <f>VLOOKUP($C69,'[2]LiST Outputs WITH M.'!$AA$4:$AJ$82,7,FALSE)</f>
        <v>0</v>
      </c>
      <c r="I69" s="12">
        <f t="shared" si="2"/>
        <v>0</v>
      </c>
      <c r="J69" s="42"/>
    </row>
    <row r="70" s="1" customFormat="1" spans="1:9">
      <c r="A70" s="9" t="str">
        <f>IF(VLOOKUP(B70,'[2]1. Select Services'!$A$6:$E$77,5,FALSE)="x","x","")</f>
        <v/>
      </c>
      <c r="B70" s="54">
        <v>71</v>
      </c>
      <c r="C70" s="55">
        <v>54</v>
      </c>
      <c r="D70" s="56"/>
      <c r="E70" s="57" t="s">
        <v>93</v>
      </c>
      <c r="F70" s="12">
        <f>VLOOKUP($C70,'[2]LiST Outputs WITH M.'!$AA$4:$AJ$82,5,FALSE)</f>
        <v>0</v>
      </c>
      <c r="G70" s="12">
        <f>VLOOKUP($C70,'[2]LiST Outputs WITH M.'!$AA$4:$AJ$82,6,FALSE)</f>
        <v>0</v>
      </c>
      <c r="H70" s="12">
        <f>VLOOKUP($C70,'[2]LiST Outputs WITH M.'!$AA$4:$AJ$82,7,FALSE)</f>
        <v>0</v>
      </c>
      <c r="I70" s="12">
        <f t="shared" si="2"/>
        <v>0</v>
      </c>
    </row>
  </sheetData>
  <mergeCells count="17">
    <mergeCell ref="D5:D17"/>
    <mergeCell ref="D18:D34"/>
    <mergeCell ref="D35:D45"/>
    <mergeCell ref="D46:D48"/>
    <mergeCell ref="D49:D59"/>
    <mergeCell ref="D60:D67"/>
    <mergeCell ref="D68:D69"/>
    <mergeCell ref="F47:F48"/>
    <mergeCell ref="G47:G48"/>
    <mergeCell ref="H47:H48"/>
    <mergeCell ref="I47:I48"/>
    <mergeCell ref="J4:J5"/>
    <mergeCell ref="J11:J12"/>
    <mergeCell ref="J40:J41"/>
    <mergeCell ref="J43:J45"/>
    <mergeCell ref="J47:J48"/>
    <mergeCell ref="J68:J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2024-11-16T08:43:00Z</dcterms:created>
  <dcterms:modified xsi:type="dcterms:W3CDTF">2024-12-26T10:03:14Z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9FF64B4A32E24CDD9349A263B21320A9_11</vt:lpwstr>
  </property>
  <property fmtid="{D5CDD505-2E9C-101B-9397-08002B2CF9AE}" pid="3" name="KSOProductBuildVer">
    <vt:lpwstr>2052-12.1.0.19302</vt:lpwstr>
  </property>
</Properties>
</file>