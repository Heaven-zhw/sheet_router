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<sst xmlns="http://schemas.openxmlformats.org/spreadsheetml/2006/main" count="28" uniqueCount="24">
  <si>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Uninf</t>
  </si>
  <si>
    <t>Infected</t>
  </si>
  <si>
    <t>no DC Trnf</t>
  </si>
  <si>
    <t>DC + PBS</t>
  </si>
  <si>
    <t>DC + SAG</t>
  </si>
  <si>
    <t>DC (Ctrl siRNA) + SAG</t>
  </si>
  <si>
    <t xml:space="preserve">DC (Runx1+3 siRNA) + SAG </t>
  </si>
  <si>
    <t xml:space="preserve">DC (Runx1+3 siRNA + Vec) + SAG </t>
  </si>
  <si>
    <t xml:space="preserve">DC (Runx1+3 siRNA + CD40) + SAG </t>
  </si>
  <si>
    <t>Set1</t>
  </si>
  <si>
    <t>Set2</t>
  </si>
  <si>
    <t>Set3</t>
  </si>
  <si>
    <t>Set4</t>
  </si>
  <si>
    <t>Set5</t>
  </si>
  <si>
    <t>Set6</t>
  </si>
  <si>
    <t>Set7</t>
  </si>
  <si>
    <t>Set8</t>
  </si>
  <si>
    <t>Expt-1</t>
  </si>
  <si>
    <t>Replicate1</t>
  </si>
  <si>
    <t>Replicate2</t>
  </si>
  <si>
    <t>Replicate3</t>
  </si>
  <si>
    <t>Expt-2</t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</si>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</sst>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5" applyNumberFormat="0" applyAlignment="0" applyProtection="0">
      <alignment vertical="center"/>
    </xf>
    <xf numFmtId="0" fontId="12" fillId="6" borderId="16" applyNumberFormat="0" applyAlignment="0" applyProtection="0">
      <alignment vertical="center"/>
    </xf>
    <xf numFmtId="0" fontId="13" fillId="6" borderId="15" applyNumberFormat="0" applyAlignment="0" applyProtection="0">
      <alignment vertical="center"/>
    </xf>
    <xf numFmtId="0" fontId="14" fillId="7" borderId="17" applyNumberFormat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1" fillId="0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4" xfId="0" applyFill="1" applyBorder="1" applyAlignment="1"/>
    <xf numFmtId="0" fontId="0" fillId="0" borderId="0" xfId="0" applyFill="1" applyBorder="1" applyAlignment="1"/>
    <xf numFmtId="0" fontId="2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textRotation="90"/>
    </xf>
    <xf numFmtId="0" fontId="0" fillId="3" borderId="2" xfId="0" applyFill="1" applyBorder="1" applyAlignment="1"/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" fillId="0" borderId="4" xfId="0" applyFont="1" applyFill="1" applyBorder="1" applyAlignment="1">
      <alignment horizontal="center" textRotation="90"/>
    </xf>
    <xf numFmtId="0" fontId="0" fillId="0" borderId="8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6" xfId="0" applyFont="1" applyFill="1" applyBorder="1" applyAlignment="1">
      <alignment horizontal="center" textRotation="90"/>
    </xf>
    <xf numFmtId="0" fontId="0" fillId="0" borderId="7" xfId="0" applyFill="1" applyBorder="1" applyAlignment="1"/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Fill="1" applyAlignment="1"/>
    <xf numFmtId="0" fontId="0" fillId="0" borderId="0" xfId="0" applyFill="1" applyAlignment="1">
      <alignment horizontal="center"/>
    </xf>
    <xf numFmtId="0" fontId="2" fillId="0" borderId="1" xfId="0" applyFont="1" applyFill="1" applyBorder="1" applyAlignment="1"/>
    <xf numFmtId="0" fontId="2" fillId="0" borderId="6" xfId="0" applyFont="1" applyFill="1" applyBorder="1" applyAlignment="1"/>
    <xf numFmtId="0" fontId="1" fillId="2" borderId="9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9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workbookViewId="0">
      <selection activeCell="N10" sqref="$A1:$XFD1048576"/>
    </sheetView>
  </sheetViews>
  <sheetFormatPr defaultColWidth="8.72727272727273" defaultRowHeight="14"/>
  <cols>
    <col min="1" max="1" width="2.54545454545455" customWidth="1"/>
    <col min="2" max="2" width="11.8181818181818" customWidth="1"/>
    <col min="3" max="6" width="12.8181818181818" customWidth="1"/>
    <col min="7" max="7" width="26.2727272727273" customWidth="1"/>
    <col min="8" max="8" width="31.1818181818182" customWidth="1"/>
    <col min="9" max="9" width="38.5454545454545" customWidth="1"/>
    <col min="10" max="10" width="39.8181818181818" customWidth="1"/>
  </cols>
  <sheetData>
    <row r="1" spans="1:10">
      <c r="A1" s="1"/>
      <c r="B1" s="2"/>
      <c r="C1" s="3" t="s">
        <v>0</v>
      </c>
      <c r="D1" s="4" t="s">
        <v>1</v>
      </c>
      <c r="E1" s="5"/>
      <c r="F1" s="5"/>
      <c r="G1" s="5"/>
      <c r="H1" s="5"/>
      <c r="I1" s="5"/>
      <c r="J1" s="35"/>
    </row>
    <row r="2" spans="1:10">
      <c r="A2" s="6"/>
      <c r="B2" s="7"/>
      <c r="C2" s="8" t="s">
        <v>2</v>
      </c>
      <c r="D2" s="9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  <c r="J2" s="36" t="s">
        <v>8</v>
      </c>
    </row>
    <row r="3" spans="1:10">
      <c r="A3" s="6"/>
      <c r="B3" s="7"/>
      <c r="C3" s="11" t="s">
        <v>9</v>
      </c>
      <c r="D3" s="12" t="s">
        <v>10</v>
      </c>
      <c r="E3" s="13" t="s">
        <v>11</v>
      </c>
      <c r="F3" s="13" t="s">
        <v>12</v>
      </c>
      <c r="G3" s="13" t="s">
        <v>13</v>
      </c>
      <c r="H3" s="13" t="s">
        <v>14</v>
      </c>
      <c r="I3" s="13" t="s">
        <v>15</v>
      </c>
      <c r="J3" s="37" t="s">
        <v>16</v>
      </c>
    </row>
    <row r="4" spans="1:10">
      <c r="A4" s="14" t="s">
        <v>17</v>
      </c>
      <c r="B4" s="15" t="s">
        <v>18</v>
      </c>
      <c r="C4" s="16">
        <v>0.21</v>
      </c>
      <c r="D4" s="17">
        <v>0.35</v>
      </c>
      <c r="E4" s="18">
        <v>0.74</v>
      </c>
      <c r="F4" s="18">
        <v>6.44</v>
      </c>
      <c r="G4" s="18">
        <v>5.8</v>
      </c>
      <c r="H4" s="18">
        <v>0.8</v>
      </c>
      <c r="I4" s="18">
        <v>0.96</v>
      </c>
      <c r="J4" s="38">
        <v>5.39</v>
      </c>
    </row>
    <row r="5" spans="1:10">
      <c r="A5" s="19"/>
      <c r="B5" s="7" t="s">
        <v>19</v>
      </c>
      <c r="C5" s="20">
        <v>0.37</v>
      </c>
      <c r="D5" s="21">
        <v>1.11</v>
      </c>
      <c r="E5" s="22">
        <v>0.63</v>
      </c>
      <c r="F5" s="22">
        <v>6.16</v>
      </c>
      <c r="G5" s="22">
        <v>3.56</v>
      </c>
      <c r="H5" s="22">
        <v>1.28</v>
      </c>
      <c r="I5" s="22">
        <v>0.7</v>
      </c>
      <c r="J5" s="39">
        <v>5.25</v>
      </c>
    </row>
    <row r="6" spans="1:10">
      <c r="A6" s="23"/>
      <c r="B6" s="24" t="s">
        <v>20</v>
      </c>
      <c r="C6" s="25">
        <v>1.43</v>
      </c>
      <c r="D6" s="26">
        <v>0.87</v>
      </c>
      <c r="E6" s="27">
        <v>1.15</v>
      </c>
      <c r="F6" s="27">
        <v>3.45</v>
      </c>
      <c r="G6" s="27">
        <v>2.24</v>
      </c>
      <c r="H6" s="27">
        <v>2.03</v>
      </c>
      <c r="I6" s="27">
        <v>1.02</v>
      </c>
      <c r="J6" s="40">
        <v>4.18</v>
      </c>
    </row>
    <row r="7" spans="1:10">
      <c r="A7" s="14" t="s">
        <v>21</v>
      </c>
      <c r="B7" s="2" t="s">
        <v>18</v>
      </c>
      <c r="C7" s="28">
        <v>1.89</v>
      </c>
      <c r="D7" s="29">
        <v>2.09</v>
      </c>
      <c r="E7" s="30">
        <v>2.38</v>
      </c>
      <c r="F7" s="30">
        <v>7.24</v>
      </c>
      <c r="G7" s="30">
        <v>4.69</v>
      </c>
      <c r="H7" s="30">
        <v>1.38</v>
      </c>
      <c r="I7" s="30">
        <v>1.2</v>
      </c>
      <c r="J7" s="41">
        <v>6.89</v>
      </c>
    </row>
    <row r="8" spans="1:10">
      <c r="A8" s="19"/>
      <c r="B8" s="7" t="s">
        <v>19</v>
      </c>
      <c r="C8" s="20">
        <v>0.61</v>
      </c>
      <c r="D8" s="21">
        <v>0.75</v>
      </c>
      <c r="E8" s="22">
        <v>0.97</v>
      </c>
      <c r="F8" s="22">
        <v>4.58</v>
      </c>
      <c r="G8" s="22">
        <v>3.57</v>
      </c>
      <c r="H8" s="22">
        <v>1.4</v>
      </c>
      <c r="I8" s="22">
        <v>1.58</v>
      </c>
      <c r="J8" s="39">
        <v>8.04</v>
      </c>
    </row>
    <row r="9" spans="1:10">
      <c r="A9" s="23"/>
      <c r="B9" s="24" t="s">
        <v>20</v>
      </c>
      <c r="C9" s="25">
        <v>1.74</v>
      </c>
      <c r="D9" s="26">
        <v>2.3</v>
      </c>
      <c r="E9" s="27">
        <v>1.39</v>
      </c>
      <c r="F9" s="27">
        <v>6.25</v>
      </c>
      <c r="G9" s="27">
        <v>4.55</v>
      </c>
      <c r="H9" s="27">
        <v>1.34</v>
      </c>
      <c r="I9" s="27">
        <v>1.99</v>
      </c>
      <c r="J9" s="40">
        <v>5.22</v>
      </c>
    </row>
    <row r="10" spans="1:10">
      <c r="A10" s="31"/>
      <c r="B10" s="31"/>
      <c r="C10" s="32"/>
      <c r="D10" s="32"/>
      <c r="E10" s="32"/>
      <c r="F10" s="32"/>
      <c r="G10" s="32"/>
      <c r="H10" s="32"/>
      <c r="I10" s="32"/>
      <c r="J10" s="32"/>
    </row>
    <row r="11" spans="1:10">
      <c r="A11" s="31"/>
      <c r="B11" s="33" t="s">
        <v>22</v>
      </c>
      <c r="C11" s="30">
        <f t="shared" ref="C11:J11" si="0">AVERAGE(C4:C9)</f>
        <v>1.04166666666667</v>
      </c>
      <c r="D11" s="30">
        <f t="shared" si="0"/>
        <v>1.245</v>
      </c>
      <c r="E11" s="30">
        <f t="shared" si="0"/>
        <v>1.21</v>
      </c>
      <c r="F11" s="30">
        <f t="shared" si="0"/>
        <v>5.68666666666667</v>
      </c>
      <c r="G11" s="30">
        <f t="shared" si="0"/>
        <v>4.06833333333333</v>
      </c>
      <c r="H11" s="30">
        <f t="shared" si="0"/>
        <v>1.37166666666667</v>
      </c>
      <c r="I11" s="30">
        <f t="shared" si="0"/>
        <v>1.24166666666667</v>
      </c>
      <c r="J11" s="41">
        <f t="shared" si="0"/>
        <v>5.82833333333333</v>
      </c>
    </row>
    <row r="12" spans="1:10">
      <c r="A12" s="31"/>
      <c r="B12" s="34" t="s">
        <v>23</v>
      </c>
      <c r="C12" s="27">
        <f t="shared" ref="C12:J12" si="1">STDEV(C4:C9)</f>
        <v>0.733114361247048</v>
      </c>
      <c r="D12" s="27">
        <f t="shared" si="1"/>
        <v>0.778710472512088</v>
      </c>
      <c r="E12" s="27">
        <f t="shared" si="1"/>
        <v>0.635578476665156</v>
      </c>
      <c r="F12" s="27">
        <f t="shared" si="1"/>
        <v>1.39636193970857</v>
      </c>
      <c r="G12" s="27">
        <f t="shared" si="1"/>
        <v>1.22202154918261</v>
      </c>
      <c r="H12" s="27">
        <f t="shared" si="1"/>
        <v>0.392551482823166</v>
      </c>
      <c r="I12" s="27">
        <f t="shared" si="1"/>
        <v>0.468632763116992</v>
      </c>
      <c r="J12" s="40">
        <f t="shared" si="1"/>
        <v>1.38796853950897</v>
      </c>
    </row>
  </sheetData>
  <mergeCells count="3">
    <mergeCell ref="D1:J1"/>
    <mergeCell ref="A4:A6"/>
    <mergeCell ref="A7:A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祝广程</cp:lastModifiedBy>
  <dcterms:created xsi:type="dcterms:W3CDTF">2025-01-15T02:32:53Z</dcterms:created>
  <dcterms:modified xsi:type="dcterms:W3CDTF">2025-01-15T03:32:25Z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7AD245FEB9D14566A77F675CFB35ACB3_11</vt:lpwstr>
  </property>
  <property fmtid="{D5CDD505-2E9C-101B-9397-08002B2CF9AE}" pid="3" name="KSOProductBuildVer">
    <vt:lpwstr>2052-12.1.0.19302</vt:lpwstr>
  </property>
</Properties>
</file>