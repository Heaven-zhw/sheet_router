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<sst xmlns="http://schemas.openxmlformats.org/spreadsheetml/2006/main" count="37" uniqueCount="20">
  <si>
    <t>Consolidated Data</t>
  </si>
  <si>
    <t>Runx1/b-actin (fold change)</t>
  </si>
  <si>
    <t>Runx3/b-actin (fold change)</t>
  </si>
  <si>
    <t>Expt1</t>
  </si>
  <si>
    <t>Expt2</t>
  </si>
  <si>
    <t>Expt3</t>
  </si>
  <si>
    <t>Mean</t>
  </si>
  <si>
    <t>SD</t>
  </si>
  <si>
    <t>Set1</t>
  </si>
  <si>
    <t>uninf DC-SAG</t>
  </si>
  <si>
    <t>Set2</t>
  </si>
  <si>
    <t>uinf DC + SAG</t>
  </si>
  <si>
    <t>Set3</t>
  </si>
  <si>
    <t>DC + AG83 (24h) - SAG</t>
  </si>
  <si>
    <t>Set4</t>
  </si>
  <si>
    <t>DC + AG83 (24h) + SAG</t>
  </si>
  <si>
    <t>Set5</t>
  </si>
  <si>
    <t>DC + GE1F8R (24 h) - SAG</t>
  </si>
  <si>
    <t>Set6</t>
  </si>
  <si>
    <t>DC + GE1F8R (24 h) +  SAG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</si>
</sst>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1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workbookViewId="0">
      <selection activeCell="R12" sqref="R12"/>
    </sheetView>
  </sheetViews>
  <sheetFormatPr defaultColWidth="8.72727272727273" defaultRowHeight="14"/>
  <cols>
    <col min="2" max="2" width="26.4545454545455" customWidth="1"/>
    <col min="5" max="5" width="17.8181818181818" customWidth="1"/>
    <col min="10" max="10" width="26.6363636363636" customWidth="1"/>
    <col min="13" max="13" width="17.0909090909091" customWidth="1"/>
    <col min="14" max="14" width="12.8181818181818"/>
  </cols>
  <sheetData>
    <row r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3"/>
      <c r="B2" s="4"/>
      <c r="C2" s="5" t="s">
        <v>1</v>
      </c>
      <c r="D2" s="6"/>
      <c r="E2" s="7"/>
      <c r="F2" s="6"/>
      <c r="G2" s="7"/>
      <c r="H2" s="2"/>
      <c r="I2" s="3"/>
      <c r="J2" s="4"/>
      <c r="K2" s="5" t="s">
        <v>2</v>
      </c>
      <c r="L2" s="6"/>
      <c r="M2" s="7"/>
      <c r="N2" s="6"/>
      <c r="O2" s="7"/>
    </row>
    <row r="3" spans="1:15">
      <c r="A3" s="8"/>
      <c r="B3" s="9"/>
      <c r="C3" s="10" t="s">
        <v>3</v>
      </c>
      <c r="D3" s="11" t="s">
        <v>4</v>
      </c>
      <c r="E3" s="12" t="s">
        <v>5</v>
      </c>
      <c r="F3" s="11" t="s">
        <v>6</v>
      </c>
      <c r="G3" s="12" t="s">
        <v>7</v>
      </c>
      <c r="H3" s="2"/>
      <c r="I3" s="8"/>
      <c r="J3" s="9"/>
      <c r="K3" s="10" t="s">
        <v>3</v>
      </c>
      <c r="L3" s="11" t="s">
        <v>4</v>
      </c>
      <c r="M3" s="12" t="s">
        <v>5</v>
      </c>
      <c r="N3" s="11" t="s">
        <v>6</v>
      </c>
      <c r="O3" s="12" t="s">
        <v>7</v>
      </c>
    </row>
    <row r="4" spans="1:15">
      <c r="A4" s="3" t="s">
        <v>8</v>
      </c>
      <c r="B4" s="4" t="s">
        <v>9</v>
      </c>
      <c r="C4" s="13">
        <v>1</v>
      </c>
      <c r="D4" s="14">
        <v>1</v>
      </c>
      <c r="E4" s="15">
        <v>1</v>
      </c>
      <c r="F4" s="14">
        <f t="shared" ref="F4:F9" si="0">AVERAGE(C4:E4)</f>
        <v>1</v>
      </c>
      <c r="G4" s="15">
        <f t="shared" ref="G4:G9" si="1">STDEV(C4:E4)</f>
        <v>0</v>
      </c>
      <c r="H4" s="2"/>
      <c r="I4" s="3" t="s">
        <v>8</v>
      </c>
      <c r="J4" s="4" t="s">
        <v>9</v>
      </c>
      <c r="K4" s="13">
        <v>1</v>
      </c>
      <c r="L4" s="14">
        <v>1</v>
      </c>
      <c r="M4" s="15">
        <v>1</v>
      </c>
      <c r="N4" s="14">
        <f t="shared" ref="N4:N9" si="2">AVERAGE(K4:M4)</f>
        <v>1</v>
      </c>
      <c r="O4" s="15">
        <f t="shared" ref="O4:O9" si="3">STDEV(K4:M4)</f>
        <v>0</v>
      </c>
    </row>
    <row r="5" spans="1:15">
      <c r="A5" s="16" t="s">
        <v>10</v>
      </c>
      <c r="B5" s="17" t="s">
        <v>11</v>
      </c>
      <c r="C5" s="18">
        <v>1.17166712056391</v>
      </c>
      <c r="D5" s="19">
        <v>1.0755193106187</v>
      </c>
      <c r="E5" s="20">
        <v>0.953341420309124</v>
      </c>
      <c r="F5" s="19">
        <f t="shared" si="0"/>
        <v>1.06684261716391</v>
      </c>
      <c r="G5" s="20">
        <f t="shared" si="1"/>
        <v>0.109421166165038</v>
      </c>
      <c r="H5" s="2"/>
      <c r="I5" s="16" t="s">
        <v>10</v>
      </c>
      <c r="J5" s="17" t="s">
        <v>11</v>
      </c>
      <c r="K5" s="18">
        <v>1.09781227800101</v>
      </c>
      <c r="L5" s="19">
        <v>1.04242418988855</v>
      </c>
      <c r="M5" s="20">
        <v>0.909087558106004</v>
      </c>
      <c r="N5" s="19">
        <f t="shared" si="2"/>
        <v>1.01644134199852</v>
      </c>
      <c r="O5" s="20">
        <f t="shared" si="3"/>
        <v>0.0970081762699382</v>
      </c>
    </row>
    <row r="6" spans="1:15">
      <c r="A6" s="3" t="s">
        <v>12</v>
      </c>
      <c r="B6" s="4" t="s">
        <v>13</v>
      </c>
      <c r="C6" s="13">
        <v>1.37043970060786</v>
      </c>
      <c r="D6" s="14">
        <v>1.11876542755747</v>
      </c>
      <c r="E6" s="15">
        <v>0.886215904853947</v>
      </c>
      <c r="F6" s="14">
        <f t="shared" si="0"/>
        <v>1.12514034433976</v>
      </c>
      <c r="G6" s="15">
        <f t="shared" si="1"/>
        <v>0.242174835122412</v>
      </c>
      <c r="H6" s="2"/>
      <c r="I6" s="3" t="s">
        <v>12</v>
      </c>
      <c r="J6" s="4" t="s">
        <v>13</v>
      </c>
      <c r="K6" s="13">
        <v>1.07662156074062</v>
      </c>
      <c r="L6" s="14">
        <v>1.00394102364554</v>
      </c>
      <c r="M6" s="15">
        <v>0.854066655495276</v>
      </c>
      <c r="N6" s="14">
        <f t="shared" si="2"/>
        <v>0.978209746627145</v>
      </c>
      <c r="O6" s="15">
        <f t="shared" si="3"/>
        <v>0.113486763214654</v>
      </c>
    </row>
    <row r="7" spans="1:15">
      <c r="A7" s="16" t="s">
        <v>14</v>
      </c>
      <c r="B7" s="17" t="s">
        <v>15</v>
      </c>
      <c r="C7" s="18">
        <v>1.10825455674012</v>
      </c>
      <c r="D7" s="19">
        <v>1.04972212115969</v>
      </c>
      <c r="E7" s="20">
        <v>0.844775651174932</v>
      </c>
      <c r="F7" s="19">
        <f t="shared" si="0"/>
        <v>1.00091744302491</v>
      </c>
      <c r="G7" s="20">
        <f t="shared" si="1"/>
        <v>0.138353553894855</v>
      </c>
      <c r="H7" s="2"/>
      <c r="I7" s="16" t="s">
        <v>14</v>
      </c>
      <c r="J7" s="17" t="s">
        <v>15</v>
      </c>
      <c r="K7" s="18">
        <v>0.94535872824149</v>
      </c>
      <c r="L7" s="19">
        <v>1.01216885484137</v>
      </c>
      <c r="M7" s="20">
        <v>0.819592504874438</v>
      </c>
      <c r="N7" s="19">
        <f t="shared" si="2"/>
        <v>0.925706695985766</v>
      </c>
      <c r="O7" s="20">
        <f t="shared" si="3"/>
        <v>0.0977806955409992</v>
      </c>
    </row>
    <row r="8" spans="1:15">
      <c r="A8" s="8" t="s">
        <v>16</v>
      </c>
      <c r="B8" s="9" t="s">
        <v>17</v>
      </c>
      <c r="C8" s="21">
        <v>1.00393681562426</v>
      </c>
      <c r="D8" s="22">
        <v>0.983570881921919</v>
      </c>
      <c r="E8" s="23">
        <v>0.883999949154911</v>
      </c>
      <c r="F8" s="22">
        <f t="shared" si="0"/>
        <v>0.95716921556703</v>
      </c>
      <c r="G8" s="23">
        <f t="shared" si="1"/>
        <v>0.0641794279684525</v>
      </c>
      <c r="H8" s="2"/>
      <c r="I8" s="8" t="s">
        <v>16</v>
      </c>
      <c r="J8" s="9" t="s">
        <v>17</v>
      </c>
      <c r="K8" s="21">
        <v>0.897402012576845</v>
      </c>
      <c r="L8" s="22">
        <v>0.898299445845703</v>
      </c>
      <c r="M8" s="23">
        <v>0.955266796270718</v>
      </c>
      <c r="N8" s="22">
        <f t="shared" si="2"/>
        <v>0.916989418231089</v>
      </c>
      <c r="O8" s="23">
        <f t="shared" si="3"/>
        <v>0.0331522186106682</v>
      </c>
    </row>
    <row r="9" spans="1:15">
      <c r="A9" s="16" t="s">
        <v>18</v>
      </c>
      <c r="B9" s="17" t="s">
        <v>19</v>
      </c>
      <c r="C9" s="18">
        <v>1.00040076198614</v>
      </c>
      <c r="D9" s="19">
        <v>1.01647756939952</v>
      </c>
      <c r="E9" s="20">
        <v>0.995570818597974</v>
      </c>
      <c r="F9" s="19">
        <f t="shared" si="0"/>
        <v>1.00414971666121</v>
      </c>
      <c r="G9" s="20">
        <f t="shared" si="1"/>
        <v>0.0109459605853617</v>
      </c>
      <c r="H9" s="2"/>
      <c r="I9" s="16" t="s">
        <v>18</v>
      </c>
      <c r="J9" s="17" t="s">
        <v>19</v>
      </c>
      <c r="K9" s="18">
        <v>0.932242542085136</v>
      </c>
      <c r="L9" s="19">
        <v>0.985874092032458</v>
      </c>
      <c r="M9" s="20">
        <v>0.933293263645901</v>
      </c>
      <c r="N9" s="19">
        <f t="shared" si="2"/>
        <v>0.950469965921165</v>
      </c>
      <c r="O9" s="20">
        <f t="shared" si="3"/>
        <v>0.030665373195639</v>
      </c>
    </row>
  </sheetData>
  <mergeCells count="2">
    <mergeCell ref="C2:E2"/>
    <mergeCell ref="K2:M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2024-12-03T13:00:00Z</dcterms:created>
  <dcterms:modified xsi:type="dcterms:W3CDTF">2024-12-26T09:09:48Z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6A42A1E74616470C843051B9C00F0C9F_11</vt:lpwstr>
  </property>
  <property fmtid="{D5CDD505-2E9C-101B-9397-08002B2CF9AE}" pid="3" name="KSOProductBuildVer">
    <vt:lpwstr>2052-12.1.0.19302</vt:lpwstr>
  </property>
</Properties>
</file>