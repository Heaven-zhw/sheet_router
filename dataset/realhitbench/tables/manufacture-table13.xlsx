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K52" authorId="0">
      <text>
        <r>
          <rPr>
            <sz val="11"/>
            <color indexed="8"/>
            <rFont val="Helvetica"/>
            <charset val="134"/>
          </rPr>
          <t xml:space="preserve">Microsoft Office User:
Depending on Lights we send ? </t>
        </r>
      </text>
    </comment>
    <comment ref="K71" authorId="0">
      <text>
        <r>
          <rPr>
            <sz val="11"/>
            <color indexed="8"/>
            <rFont val="Helvetica"/>
            <charset val="134"/>
          </rPr>
          <t>Microsoft Office User:
12 per Box</t>
        </r>
      </text>
    </comment>
    <comment ref="E86" authorId="0">
      <text>
        <r>
          <rPr>
            <sz val="11"/>
            <color indexed="8"/>
            <rFont val="Helvetica"/>
            <charset val="134"/>
          </rPr>
          <t xml:space="preserve">Microsoft Office User:
Updated Pricing forNew Inspection Lights </t>
        </r>
      </text>
    </comment>
    <comment ref="K141" authorId="0">
      <text>
        <r>
          <rPr>
            <sz val="11"/>
            <color indexed="8"/>
            <rFont val="Helvetica"/>
            <charset val="134"/>
          </rPr>
          <t xml:space="preserve">Microsoft Office User:
From Screener tool list </t>
        </r>
      </text>
    </comment>
    <comment ref="K143" authorId="0">
      <text>
        <r>
          <rPr>
            <sz val="11"/>
            <color indexed="8"/>
            <rFont val="Helvetica"/>
            <charset val="134"/>
          </rPr>
          <t xml:space="preserve">Microsoft Office User:
 From Screener Tool List </t>
        </r>
      </text>
    </comment>
    <comment ref="E169" authorId="0">
      <text>
        <r>
          <rPr>
            <sz val="11"/>
            <color indexed="8"/>
            <rFont val="Helvetica"/>
            <charset val="134"/>
          </rPr>
          <t>Microsoft Office User:
2 Cases ? How many come to a Case ?</t>
        </r>
      </text>
    </comment>
    <comment ref="E170" authorId="0">
      <text>
        <r>
          <rPr>
            <sz val="11"/>
            <color indexed="8"/>
            <rFont val="Helvetica"/>
            <charset val="134"/>
          </rPr>
          <t xml:space="preserve">Microsoft Office User:
Went with the price of the 3X jacket </t>
        </r>
      </text>
    </comment>
    <comment ref="E184" authorId="0">
      <text>
        <r>
          <rPr>
            <sz val="11"/>
            <color indexed="8"/>
            <rFont val="Helvetica"/>
            <charset val="134"/>
          </rPr>
          <t xml:space="preserve">Microsoft Office User:
4 boxes </t>
        </r>
      </text>
    </comment>
    <comment ref="E192" authorId="0">
      <text>
        <r>
          <rPr>
            <sz val="11"/>
            <color indexed="8"/>
            <rFont val="Helvetica"/>
            <charset val="134"/>
          </rPr>
          <t xml:space="preserve">Microsoft Office User:
Per Bubba Send 12 Singles and 4 Doubles. He checked with Darwin. </t>
        </r>
      </text>
    </comment>
    <comment ref="E231" authorId="0">
      <text>
        <r>
          <rPr>
            <sz val="11"/>
            <color indexed="8"/>
            <rFont val="Helvetica"/>
            <charset val="134"/>
          </rPr>
          <t>Microsoft Office User:
108PR/Per Case</t>
        </r>
      </text>
    </comment>
    <comment ref="E232" authorId="0">
      <text>
        <r>
          <rPr>
            <sz val="11"/>
            <color indexed="8"/>
            <rFont val="Helvetica"/>
            <charset val="134"/>
          </rPr>
          <t xml:space="preserve">Microsoft Office User:
Removed Plant to Provide </t>
        </r>
      </text>
    </comment>
    <comment ref="E238" authorId="0">
      <text>
        <r>
          <rPr>
            <sz val="11"/>
            <color indexed="8"/>
            <rFont val="Helvetica"/>
            <charset val="134"/>
          </rPr>
          <t xml:space="preserve">Microsoft Office User:
20'x100' 6mils </t>
        </r>
      </text>
    </comment>
    <comment ref="K238" authorId="0">
      <text>
        <r>
          <rPr>
            <sz val="11"/>
            <color indexed="8"/>
            <rFont val="Helvetica"/>
            <charset val="134"/>
          </rPr>
          <t xml:space="preserve">Microsoft Office User:
Removed/ Plant to Provide </t>
        </r>
      </text>
    </comment>
    <comment ref="H247" authorId="0">
      <text>
        <r>
          <rPr>
            <sz val="11"/>
            <color indexed="8"/>
            <rFont val="Helvetica"/>
            <charset val="134"/>
          </rPr>
          <t xml:space="preserve">Microsoft Office User:
Wanted 4 rolls </t>
        </r>
      </text>
    </comment>
  </commentList>
</comments>
</file>

<file path=xl/sharedStrings.xml><?xml version="1.0" encoding="utf-8"?>
<sst xmlns="http://schemas.openxmlformats.org/spreadsheetml/2006/main" count="599" uniqueCount="422">
  <si>
    <t>BIG TOOL TRAILER INVENTORY</t>
  </si>
  <si>
    <t>Tool Trailer # ________________________</t>
  </si>
  <si>
    <t>Job #: ___________________________</t>
  </si>
  <si>
    <t>Inv. By: _____________________________</t>
  </si>
  <si>
    <t>Date: ____________________________</t>
  </si>
  <si>
    <t>1/2 INCH DRIVE SOCKETS</t>
  </si>
  <si>
    <t>UP</t>
  </si>
  <si>
    <t>Stock</t>
  </si>
  <si>
    <t>Location</t>
  </si>
  <si>
    <t>Total Price</t>
  </si>
  <si>
    <t>Description</t>
  </si>
  <si>
    <t xml:space="preserve">Total Price </t>
  </si>
  <si>
    <t>7/16"</t>
  </si>
  <si>
    <t>15/16"</t>
  </si>
  <si>
    <t>1/2"</t>
  </si>
  <si>
    <t>1"</t>
  </si>
  <si>
    <t>9/16"</t>
  </si>
  <si>
    <t>1-1/16"</t>
  </si>
  <si>
    <t>5/8"</t>
  </si>
  <si>
    <t>1-1/8"</t>
  </si>
  <si>
    <t xml:space="preserve">11/16" </t>
  </si>
  <si>
    <t>1-1/4"</t>
  </si>
  <si>
    <t>11/16" DEEP WELL</t>
  </si>
  <si>
    <t>1/2" x 4" Extension</t>
  </si>
  <si>
    <t xml:space="preserve">3/4" </t>
  </si>
  <si>
    <t>1/2" to 3/4" step up</t>
  </si>
  <si>
    <t>3/4" Deep Well</t>
  </si>
  <si>
    <t>1/2" swivel</t>
  </si>
  <si>
    <t>13/16"</t>
  </si>
  <si>
    <t>1" to 3/4" reducer</t>
  </si>
  <si>
    <t xml:space="preserve">7/8" </t>
  </si>
  <si>
    <t>3/4" to 1/2" step down</t>
  </si>
  <si>
    <t>7/8" Deep Well</t>
  </si>
  <si>
    <t>3/4 INCH DRIVE SOCKETS</t>
  </si>
  <si>
    <t>7/8"</t>
  </si>
  <si>
    <t>1-9/16"</t>
  </si>
  <si>
    <t>1-5/8"</t>
  </si>
  <si>
    <t>1-11/16"</t>
  </si>
  <si>
    <t>1-3/4"</t>
  </si>
  <si>
    <t>1-13/16"</t>
  </si>
  <si>
    <t>1-3/16"</t>
  </si>
  <si>
    <t>1-7/8"</t>
  </si>
  <si>
    <t>2"</t>
  </si>
  <si>
    <t>1-5/16"</t>
  </si>
  <si>
    <t>3/4" swivel</t>
  </si>
  <si>
    <t>1-3/8"</t>
  </si>
  <si>
    <t>3/4" x 6" Extension</t>
  </si>
  <si>
    <t>1-7/16"</t>
  </si>
  <si>
    <t>3/4" Socket Keepers</t>
  </si>
  <si>
    <t>1-1/2"</t>
  </si>
  <si>
    <t>Updated 6/8/15</t>
  </si>
  <si>
    <t>COMBINATION WRENCHES</t>
  </si>
  <si>
    <t>3/8"</t>
  </si>
  <si>
    <t>11/16"</t>
  </si>
  <si>
    <t>3/4"</t>
  </si>
  <si>
    <t>1-15/16"</t>
  </si>
  <si>
    <t xml:space="preserve">2" </t>
  </si>
  <si>
    <t>HAND TOOLS</t>
  </si>
  <si>
    <t>bull pins</t>
  </si>
  <si>
    <t>8" "C" clamps</t>
  </si>
  <si>
    <t>utility knives</t>
  </si>
  <si>
    <t>H5001 light bulbs</t>
  </si>
  <si>
    <t>tin snips</t>
  </si>
  <si>
    <t>Replacement Quartz bulbs</t>
  </si>
  <si>
    <t>large wedge</t>
  </si>
  <si>
    <t>6" calipers</t>
  </si>
  <si>
    <t>small wedge</t>
  </si>
  <si>
    <t>25' tape measure</t>
  </si>
  <si>
    <t>wire brush</t>
  </si>
  <si>
    <t>100' tape measure</t>
  </si>
  <si>
    <t>Tube bottle brush SS</t>
  </si>
  <si>
    <t>Utility Knife Blades</t>
  </si>
  <si>
    <t>3" scraper</t>
  </si>
  <si>
    <t>Tap bars</t>
  </si>
  <si>
    <t>Flat head screwdriver</t>
  </si>
  <si>
    <t>1/2"X13 tap (12 T-12 Btm)</t>
  </si>
  <si>
    <t>Phillips head screwdriver</t>
  </si>
  <si>
    <t>1/2" tap extractor</t>
  </si>
  <si>
    <t>chipping hammer</t>
  </si>
  <si>
    <t>27/64" drill bits</t>
  </si>
  <si>
    <t>center punch</t>
  </si>
  <si>
    <t>1/4" drill bits</t>
  </si>
  <si>
    <t>chisel</t>
  </si>
  <si>
    <t>Teflon Tape</t>
  </si>
  <si>
    <t>lineman pliers</t>
  </si>
  <si>
    <t>electrical tape</t>
  </si>
  <si>
    <t>vise grips</t>
  </si>
  <si>
    <t>Chicago Gaskets</t>
  </si>
  <si>
    <t>channel locks</t>
  </si>
  <si>
    <t>GFCI's</t>
  </si>
  <si>
    <t>needle nose pliers</t>
  </si>
  <si>
    <t>standard slip joint pliers</t>
  </si>
  <si>
    <t>bolt cutters</t>
  </si>
  <si>
    <t>wire cutters (side cutters)</t>
  </si>
  <si>
    <t>hack saw</t>
  </si>
  <si>
    <t xml:space="preserve">Large Air Movers </t>
  </si>
  <si>
    <t>hack saw blades</t>
  </si>
  <si>
    <t>Allen wrench set</t>
  </si>
  <si>
    <t>15" crescent</t>
  </si>
  <si>
    <t>"D" cell batteries</t>
  </si>
  <si>
    <t>12" crescent</t>
  </si>
  <si>
    <t xml:space="preserve">Bamboo Knife </t>
  </si>
  <si>
    <t>10"crescent</t>
  </si>
  <si>
    <t>low-volt plug(Male)</t>
  </si>
  <si>
    <t>Screening Rig Boot 10"</t>
  </si>
  <si>
    <t>low-volt plug(Female)</t>
  </si>
  <si>
    <t>24" pipe wrench</t>
  </si>
  <si>
    <t>110 VAC Plug(Male)</t>
  </si>
  <si>
    <t>18" pipe wrench</t>
  </si>
  <si>
    <t>110 VAC Plug(Female)</t>
  </si>
  <si>
    <t>3/4 Water Ball Valves</t>
  </si>
  <si>
    <t>broom</t>
  </si>
  <si>
    <t>12" pipe wrench</t>
  </si>
  <si>
    <t>mop/mop bucket</t>
  </si>
  <si>
    <t xml:space="preserve">Knee Pads </t>
  </si>
  <si>
    <t>vise</t>
  </si>
  <si>
    <t>3/4" breaker bar</t>
  </si>
  <si>
    <t>48" pinch bars</t>
  </si>
  <si>
    <t>1/2" breaker bar</t>
  </si>
  <si>
    <t>4' step ladders</t>
  </si>
  <si>
    <t>1/2" ratchet</t>
  </si>
  <si>
    <t>Air movers small</t>
  </si>
  <si>
    <t>1/2" torque wrench</t>
  </si>
  <si>
    <t>acid suit repair kit</t>
  </si>
  <si>
    <t>band saw blades</t>
  </si>
  <si>
    <t>trailer ball</t>
  </si>
  <si>
    <t>flashlights</t>
  </si>
  <si>
    <t>crow bar</t>
  </si>
  <si>
    <t>Inspection Lights</t>
  </si>
  <si>
    <t>short handle maul</t>
  </si>
  <si>
    <t>1' level (torpedo level)</t>
  </si>
  <si>
    <t>long handle maul</t>
  </si>
  <si>
    <t>2' level</t>
  </si>
  <si>
    <t>2-gallon sprayer</t>
  </si>
  <si>
    <t>4' level</t>
  </si>
  <si>
    <t>pin punch</t>
  </si>
  <si>
    <t xml:space="preserve">Key hole Saws </t>
  </si>
  <si>
    <t>Silcone/Caulk Gun</t>
  </si>
  <si>
    <t>File</t>
  </si>
  <si>
    <t>rubber mallet</t>
  </si>
  <si>
    <t>ball ping hammer</t>
  </si>
  <si>
    <t>Dust Pan</t>
  </si>
  <si>
    <t xml:space="preserve">Rotor-roter Line </t>
  </si>
  <si>
    <t>magnets</t>
  </si>
  <si>
    <t>grease gun</t>
  </si>
  <si>
    <t>wire crimp set</t>
  </si>
  <si>
    <t>2' framing square</t>
  </si>
  <si>
    <t xml:space="preserve">Air Lance </t>
  </si>
  <si>
    <t>combo square</t>
  </si>
  <si>
    <t>Heavy Duty jumper cable</t>
  </si>
  <si>
    <t xml:space="preserve">Staple Guns </t>
  </si>
  <si>
    <t xml:space="preserve">Hose Whip Checks </t>
  </si>
  <si>
    <t>Ice Scoops</t>
  </si>
  <si>
    <t xml:space="preserve">Staples </t>
  </si>
  <si>
    <t xml:space="preserve">Equipment Ground Cable </t>
  </si>
  <si>
    <t>Number Tags 0-100</t>
  </si>
  <si>
    <t xml:space="preserve">Supplies </t>
  </si>
  <si>
    <t>2-PH Meter/4PksPH Paper</t>
  </si>
  <si>
    <t>Oil Dry Pads(2bg)</t>
  </si>
  <si>
    <t xml:space="preserve">Thickness Tester </t>
  </si>
  <si>
    <t>Oil Dry Litter (2bg)</t>
  </si>
  <si>
    <t xml:space="preserve">Fluid Hand Pump </t>
  </si>
  <si>
    <t>AIR TOOLS</t>
  </si>
  <si>
    <t>1/2" impact</t>
  </si>
  <si>
    <t>chipping gun</t>
  </si>
  <si>
    <t>3/4" impact</t>
  </si>
  <si>
    <t>chipping gun retention spring</t>
  </si>
  <si>
    <t>1" impact</t>
  </si>
  <si>
    <t>chipping gun pointed bits</t>
  </si>
  <si>
    <t>4" grinder</t>
  </si>
  <si>
    <t>chipping gun flat bits</t>
  </si>
  <si>
    <t>7" grinder</t>
  </si>
  <si>
    <t>1/2" whip lines with oilers</t>
  </si>
  <si>
    <t>1/2" drill w/chuck key</t>
  </si>
  <si>
    <t>3/4" whip lines with oilers</t>
  </si>
  <si>
    <t>needle guns</t>
  </si>
  <si>
    <t>Tire Inflater adapter</t>
  </si>
  <si>
    <t>band saw</t>
  </si>
  <si>
    <t>Tool Wrist Lanyard</t>
  </si>
  <si>
    <t>RENTAL EQUIPMENT / CARNET BOX ITEMS</t>
  </si>
  <si>
    <t>MX6 METER</t>
  </si>
  <si>
    <t>2&amp;2</t>
  </si>
  <si>
    <t>VACUUM TUBE TEST KIT 2&amp;2</t>
  </si>
  <si>
    <t>AV2000 F/A MASK</t>
  </si>
  <si>
    <t xml:space="preserve">ACOUSTIC TUBE TEST KIT </t>
  </si>
  <si>
    <t xml:space="preserve">WELDAVESTAS </t>
  </si>
  <si>
    <t xml:space="preserve">SKA'S </t>
  </si>
  <si>
    <t xml:space="preserve">COBOX </t>
  </si>
  <si>
    <t>F/F RESPIRATOR ADPTORS</t>
  </si>
  <si>
    <t>FITTINGS</t>
  </si>
  <si>
    <t>3/4" barb x 1/2" MNPT</t>
  </si>
  <si>
    <t>1/4" coupling</t>
  </si>
  <si>
    <t>1/4" FM QC x 1/4" FMNPT</t>
  </si>
  <si>
    <t>3/8" coupling</t>
  </si>
  <si>
    <t>1/4" Male QC x 1/4" MNPT</t>
  </si>
  <si>
    <t xml:space="preserve">1/2" Coupling </t>
  </si>
  <si>
    <t>1/4" Male QC x 1/4" FMNPT</t>
  </si>
  <si>
    <t>3/4" Coupling</t>
  </si>
  <si>
    <t>1/2" FM QC x 1/2" FMNPT</t>
  </si>
  <si>
    <t>Crows Foot (3-way)</t>
  </si>
  <si>
    <t>1/2" Male QC x 1/2" FMNPT</t>
  </si>
  <si>
    <t>1/2" MNPT Chicago fitting</t>
  </si>
  <si>
    <t>1/4" Male QC x 1/4 FMNPT*</t>
  </si>
  <si>
    <t>1/2" FMNPT Chicago fitting</t>
  </si>
  <si>
    <t>1/4" FM QC x 1/4" FMNPT*</t>
  </si>
  <si>
    <t>3/4" MNPT Chicago fitting</t>
  </si>
  <si>
    <t>1/4" NPT pipe plug</t>
  </si>
  <si>
    <t>3/4" FMNPT Chicago fitting</t>
  </si>
  <si>
    <t>3/8" NPT pipe plug</t>
  </si>
  <si>
    <t>3/4" ball valves</t>
  </si>
  <si>
    <t>1/2" NPT pipe plug</t>
  </si>
  <si>
    <t>5/16" nuts</t>
  </si>
  <si>
    <t>3/4" NPT pipe plug</t>
  </si>
  <si>
    <t>5/16" bolts</t>
  </si>
  <si>
    <t>3/8" to 1/4" bushing</t>
  </si>
  <si>
    <t>5/16" washers</t>
  </si>
  <si>
    <t>1/2" to 3/8" bushing</t>
  </si>
  <si>
    <t xml:space="preserve">Chicago Safety pins </t>
  </si>
  <si>
    <t>3/4" to 1/2" bushing</t>
  </si>
  <si>
    <t>4" Chemlock gasket</t>
  </si>
  <si>
    <t>1/4" close nipple</t>
  </si>
  <si>
    <t>1" Chemlock gasket</t>
  </si>
  <si>
    <t>3/8" close nipple</t>
  </si>
  <si>
    <t>4" Chemlock Female/bar</t>
  </si>
  <si>
    <t>1/2" close nipple</t>
  </si>
  <si>
    <t xml:space="preserve">for blow gun hose </t>
  </si>
  <si>
    <t>3/4" close nipple</t>
  </si>
  <si>
    <t xml:space="preserve">WELDING </t>
  </si>
  <si>
    <t>torch head</t>
  </si>
  <si>
    <t>welding lens repair kits</t>
  </si>
  <si>
    <t>Oxygen gauges</t>
  </si>
  <si>
    <t>welders pipe wraps</t>
  </si>
  <si>
    <t>Acetlyene gauges</t>
  </si>
  <si>
    <t>pad eyes</t>
  </si>
  <si>
    <t>4-1/2" grinder disk 1/4" thick, 5/8" arbor with nut</t>
  </si>
  <si>
    <t>soap stone</t>
  </si>
  <si>
    <t>7" grinder disk 1/4" thick, 5/8" arbor with nut</t>
  </si>
  <si>
    <t>head gear repair kits</t>
  </si>
  <si>
    <t>tip cleaners</t>
  </si>
  <si>
    <t>Welding Gloves</t>
  </si>
  <si>
    <t>WELDING CONT'D</t>
  </si>
  <si>
    <t>4-1/2" wire wheel disk 5/8" arbor with nut</t>
  </si>
  <si>
    <t>tie-wire/stainless (wrapped)</t>
  </si>
  <si>
    <t xml:space="preserve">7" wire wheel disk 5/8" arbor with nut </t>
  </si>
  <si>
    <t>slice cutter</t>
  </si>
  <si>
    <t>4-1/2" cutting disk</t>
  </si>
  <si>
    <t>slice rods</t>
  </si>
  <si>
    <t>arc gouger</t>
  </si>
  <si>
    <t>"Chain vise pipe stand "</t>
  </si>
  <si>
    <t>arc gouger spare parts kit</t>
  </si>
  <si>
    <t>slice cutter parts</t>
  </si>
  <si>
    <t xml:space="preserve">3/8 gouging rods </t>
  </si>
  <si>
    <t>Torch Hose</t>
  </si>
  <si>
    <t>welding hoods</t>
  </si>
  <si>
    <t>Torch hose repair kit</t>
  </si>
  <si>
    <t>Welding Ground Whip</t>
  </si>
  <si>
    <t>Pipe cutter repl. wheels</t>
  </si>
  <si>
    <t>strikers</t>
  </si>
  <si>
    <t>large 2AWG cable lugs</t>
  </si>
  <si>
    <t>electrode holders w/6' whip</t>
  </si>
  <si>
    <t>small 4AWG cable lugs</t>
  </si>
  <si>
    <t>welding lens - dark #10</t>
  </si>
  <si>
    <t>Flashback Arresters</t>
  </si>
  <si>
    <t>welding lens - clear (poly)</t>
  </si>
  <si>
    <t>Oxygen hose for slicer rig</t>
  </si>
  <si>
    <t>1/4" Gouging rods</t>
  </si>
  <si>
    <t xml:space="preserve">Tig Gloves </t>
  </si>
  <si>
    <t xml:space="preserve">Green Jackets </t>
  </si>
  <si>
    <t>LIFTING</t>
  </si>
  <si>
    <t>1" shackle Crosby</t>
  </si>
  <si>
    <t>20' x 4" poly straps</t>
  </si>
  <si>
    <t>7/8" shackle Crosby</t>
  </si>
  <si>
    <t>6' x 1" Poly straps</t>
  </si>
  <si>
    <t>3/4"shackle Crosby</t>
  </si>
  <si>
    <t>3' x 1" Poly straps</t>
  </si>
  <si>
    <t>5/8" shackle Crosby</t>
  </si>
  <si>
    <t>Lifting Hooks for yellow rope</t>
  </si>
  <si>
    <t>1/2" shackle Crosby</t>
  </si>
  <si>
    <t>Yellow tool bags</t>
  </si>
  <si>
    <t>3/8" shackle Crosby</t>
  </si>
  <si>
    <t>Pinch Bar Lifting Device</t>
  </si>
  <si>
    <t>1-1/2 ton come-a-long</t>
  </si>
  <si>
    <t>Zip Ties</t>
  </si>
  <si>
    <t>1-1/2 ton chain fall</t>
  </si>
  <si>
    <t>SAFETY</t>
  </si>
  <si>
    <t xml:space="preserve">Blue Pad Locks </t>
  </si>
  <si>
    <t>first aid kit</t>
  </si>
  <si>
    <t>9 Volt batt. for Co box</t>
  </si>
  <si>
    <t>mono goggles</t>
  </si>
  <si>
    <t>Multi-clamps (for locks)</t>
  </si>
  <si>
    <t>safety glasses</t>
  </si>
  <si>
    <t>Hole watch kit(Green Vest)</t>
  </si>
  <si>
    <t>surgical gloves</t>
  </si>
  <si>
    <t>Burn kit</t>
  </si>
  <si>
    <t>Infarared Thermometer</t>
  </si>
  <si>
    <t>Retrieval rope lanyard</t>
  </si>
  <si>
    <t xml:space="preserve">SO2 BW MONITORS </t>
  </si>
  <si>
    <t>FA Mask drawstring bag</t>
  </si>
  <si>
    <t>ENTRY SUIT LANYARDS</t>
  </si>
  <si>
    <t>Orange Vests</t>
  </si>
  <si>
    <t xml:space="preserve">Red Danger Tags </t>
  </si>
  <si>
    <t xml:space="preserve">Green Vests </t>
  </si>
  <si>
    <t>lock out tags</t>
  </si>
  <si>
    <t xml:space="preserve">Personal Retractable lany. </t>
  </si>
  <si>
    <t>SCOTT RESPIRATOR CARTRIDGES</t>
  </si>
  <si>
    <t>Red Danger Tape</t>
  </si>
  <si>
    <t>Respirator Cartridges</t>
  </si>
  <si>
    <t>Yellow Caution Tape</t>
  </si>
  <si>
    <t xml:space="preserve">Respirators </t>
  </si>
  <si>
    <t xml:space="preserve">PRL's Doubles </t>
  </si>
  <si>
    <t>Air Horn</t>
  </si>
  <si>
    <t>CHEMICAL</t>
  </si>
  <si>
    <t>Bentone non-melt grease</t>
  </si>
  <si>
    <t>3M spray adhesive</t>
  </si>
  <si>
    <t>Wechem anti-seize</t>
  </si>
  <si>
    <t>409-cleaner</t>
  </si>
  <si>
    <t>LPS chain lubricant</t>
  </si>
  <si>
    <t>air tool oil</t>
  </si>
  <si>
    <t>Lysol disinfectant spray</t>
  </si>
  <si>
    <t xml:space="preserve">Flammable cabinet </t>
  </si>
  <si>
    <t>rough tough scrubs(2box)</t>
  </si>
  <si>
    <t>motor oil Rotella 15W-40</t>
  </si>
  <si>
    <t>WD-40</t>
  </si>
  <si>
    <t>Silicone tubes</t>
  </si>
  <si>
    <t>Electric Clean</t>
  </si>
  <si>
    <t>OFFICE SUPPLIES</t>
  </si>
  <si>
    <t xml:space="preserve">Office Stapler </t>
  </si>
  <si>
    <t>4bx</t>
  </si>
  <si>
    <t xml:space="preserve">Highlighters </t>
  </si>
  <si>
    <t>3bx</t>
  </si>
  <si>
    <t>4</t>
  </si>
  <si>
    <t xml:space="preserve">Officer Staples </t>
  </si>
  <si>
    <t>Small memo pads</t>
  </si>
  <si>
    <t>2bx</t>
  </si>
  <si>
    <t>1</t>
  </si>
  <si>
    <t xml:space="preserve">Paper Clips </t>
  </si>
  <si>
    <t xml:space="preserve">Clip Boards (hole watch) </t>
  </si>
  <si>
    <t xml:space="preserve">Yellow Pads </t>
  </si>
  <si>
    <t>2 BX</t>
  </si>
  <si>
    <t xml:space="preserve">Black Markers </t>
  </si>
  <si>
    <t>4 bx</t>
  </si>
  <si>
    <t>3</t>
  </si>
  <si>
    <t>Black Ink Pens</t>
  </si>
  <si>
    <t>3 BX</t>
  </si>
  <si>
    <t xml:space="preserve">Copy Paper </t>
  </si>
  <si>
    <t xml:space="preserve">Blue Ink Pens </t>
  </si>
  <si>
    <t>3 PK</t>
  </si>
  <si>
    <t xml:space="preserve">Folders </t>
  </si>
  <si>
    <t>1 BX</t>
  </si>
  <si>
    <t xml:space="preserve">Red Ink Pens </t>
  </si>
  <si>
    <t>MANY</t>
  </si>
  <si>
    <t>Extra Ink Cartridge</t>
  </si>
  <si>
    <t xml:space="preserve">Small Printers </t>
  </si>
  <si>
    <t xml:space="preserve">Sharpies </t>
  </si>
  <si>
    <t>PAPERWORK</t>
  </si>
  <si>
    <t>Fedex env./bills/packets</t>
  </si>
  <si>
    <t>Vehicle Logo Signs (Sticker Type)</t>
  </si>
  <si>
    <t>Acid logs</t>
  </si>
  <si>
    <t>Rooming lists</t>
  </si>
  <si>
    <t>Catalyst logs</t>
  </si>
  <si>
    <t>2</t>
  </si>
  <si>
    <t>Tool trailer inventory</t>
  </si>
  <si>
    <t>Entry Exit log 2014</t>
  </si>
  <si>
    <t xml:space="preserve">Credit card receipt envelopes </t>
  </si>
  <si>
    <t xml:space="preserve">VIP RUBBER BOOTS </t>
  </si>
  <si>
    <t>2EA</t>
  </si>
  <si>
    <t>SIZE 8</t>
  </si>
  <si>
    <t>SIZE 11</t>
  </si>
  <si>
    <t>SIZE 9</t>
  </si>
  <si>
    <t>SIZE 12</t>
  </si>
  <si>
    <t>SIZE 10</t>
  </si>
  <si>
    <t>SIZE 13</t>
  </si>
  <si>
    <t>ADDITIONAL SUPPLIES</t>
  </si>
  <si>
    <t>AP Gloves (cases)</t>
  </si>
  <si>
    <t>Rubber Gloves (case)</t>
  </si>
  <si>
    <t>Box o' Rags</t>
  </si>
  <si>
    <t>Tyvek XL (case)</t>
  </si>
  <si>
    <t>Tyvek 2X (case)</t>
  </si>
  <si>
    <t>Tyvek 3X (case)</t>
  </si>
  <si>
    <t>Gorilla Tape (case)</t>
  </si>
  <si>
    <t>Faceshield Brackets</t>
  </si>
  <si>
    <t>Faceshield Dark Lens</t>
  </si>
  <si>
    <t>Faceshield Clear Lens</t>
  </si>
  <si>
    <t>1/2" Rope (roll)</t>
  </si>
  <si>
    <t>Can Liners (box)</t>
  </si>
  <si>
    <t>Ear Plugs box</t>
  </si>
  <si>
    <t>Fluorescent Paint (6/case)</t>
  </si>
  <si>
    <t>Visqueen (100' roll)</t>
  </si>
  <si>
    <t>Connie Cups (big box)</t>
  </si>
  <si>
    <t>Head Socks (box)</t>
  </si>
  <si>
    <t>Squincher Pops (box)</t>
  </si>
  <si>
    <t>F/A Mask wipes (box)</t>
  </si>
  <si>
    <t>Coffee (box)</t>
  </si>
  <si>
    <t>Powerade Mix (box)</t>
  </si>
  <si>
    <t>Creamer (case)</t>
  </si>
  <si>
    <t>Coffee Cups (case)</t>
  </si>
  <si>
    <t>Stir Sticks (box)</t>
  </si>
  <si>
    <t>Sugar (case)</t>
  </si>
  <si>
    <t>Hot Chocolate (box)</t>
  </si>
  <si>
    <t>Splenda (box)</t>
  </si>
  <si>
    <t>1" pull straps for scaf bag</t>
  </si>
  <si>
    <t>liquid soap</t>
  </si>
  <si>
    <t>Leather Gloves</t>
  </si>
  <si>
    <t>Blue Tarps (18)</t>
  </si>
  <si>
    <t>Green Suits XXL</t>
  </si>
  <si>
    <t>Green Suits XL</t>
  </si>
  <si>
    <t>Scaf Bag Covers (100/roll)</t>
  </si>
  <si>
    <t>Green Suits XXXL</t>
  </si>
  <si>
    <t>6 BX.</t>
  </si>
  <si>
    <t>AAA Batteries</t>
  </si>
  <si>
    <t>Drip Protectors (10/rl)</t>
  </si>
  <si>
    <t>AA Batteries</t>
  </si>
  <si>
    <t>Stapler</t>
  </si>
  <si>
    <t>Stapler Staples</t>
  </si>
  <si>
    <t>Ethernet Cords</t>
  </si>
  <si>
    <t>120 volt Power Adaptors</t>
  </si>
  <si>
    <t>Big GB Thumb Drives</t>
  </si>
  <si>
    <t>ALL</t>
  </si>
  <si>
    <t xml:space="preserve">RED SUITS FROM KENNECOTT </t>
  </si>
  <si>
    <t>TOTAL SIDE</t>
  </si>
  <si>
    <t>GRAND TOTAL</t>
  </si>
  <si>
    <t>Updated 11/14/16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</si>
</sst>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  <numFmt numFmtId="177" formatCode="&quot; &quot;&quot;$&quot;* #,##0.00&quot; &quot;;&quot; &quot;&quot;$&quot;* \(#,##0.00\);&quot; &quot;&quot;$&quot;* &quot;-&quot;??&quot; &quot;"/>
    <numFmt numFmtId="178" formatCode="&quot;$&quot;#,##0.00;&quot;$&quot;#,##0.00"/>
  </numFmts>
  <fonts count="27">
    <font>
      <sz val="11"/>
      <color theme="1"/>
      <name val="宋体"/>
      <charset val="134"/>
      <scheme val="minor"/>
    </font>
    <font>
      <b/>
      <sz val="14"/>
      <color indexed="8"/>
      <name val="Arial"/>
      <charset val="134"/>
    </font>
    <font>
      <b/>
      <sz val="12"/>
      <color indexed="8"/>
      <name val="Arial"/>
      <charset val="134"/>
    </font>
    <font>
      <b/>
      <sz val="10"/>
      <color indexed="8"/>
      <name val="Verdana"/>
      <charset val="134"/>
    </font>
    <font>
      <sz val="10"/>
      <color indexed="8"/>
      <name val="Verdana"/>
      <charset val="134"/>
    </font>
    <font>
      <b/>
      <sz val="12"/>
      <color indexed="12"/>
      <name val="Arial"/>
      <charset val="134"/>
    </font>
    <font>
      <sz val="12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Helvetica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27" applyNumberFormat="0" applyAlignment="0" applyProtection="0">
      <alignment vertical="center"/>
    </xf>
    <xf numFmtId="0" fontId="16" fillId="12" borderId="28" applyNumberFormat="0" applyAlignment="0" applyProtection="0">
      <alignment vertical="center"/>
    </xf>
    <xf numFmtId="0" fontId="17" fillId="12" borderId="27" applyNumberFormat="0" applyAlignment="0" applyProtection="0">
      <alignment vertical="center"/>
    </xf>
    <xf numFmtId="0" fontId="18" fillId="13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4" fillId="2" borderId="7" xfId="0" applyFont="1" applyFill="1" applyBorder="1" applyAlignment="1"/>
    <xf numFmtId="49" fontId="2" fillId="3" borderId="8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176" fontId="5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7" fontId="6" fillId="2" borderId="10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0" fontId="2" fillId="0" borderId="10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4" fillId="2" borderId="10" xfId="0" applyFont="1" applyFill="1" applyBorder="1" applyAlignment="1"/>
    <xf numFmtId="0" fontId="6" fillId="2" borderId="4" xfId="0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12" xfId="0" applyFont="1" applyFill="1" applyBorder="1" applyAlignment="1"/>
    <xf numFmtId="0" fontId="2" fillId="3" borderId="10" xfId="0" applyFont="1" applyFill="1" applyBorder="1" applyAlignment="1">
      <alignment horizontal="center"/>
    </xf>
    <xf numFmtId="49" fontId="6" fillId="2" borderId="10" xfId="0" applyNumberFormat="1" applyFont="1" applyFill="1" applyBorder="1" applyAlignment="1">
      <alignment horizontal="left"/>
    </xf>
    <xf numFmtId="0" fontId="6" fillId="3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49" fontId="4" fillId="2" borderId="10" xfId="0" applyNumberFormat="1" applyFont="1" applyFill="1" applyBorder="1" applyAlignment="1"/>
    <xf numFmtId="0" fontId="6" fillId="2" borderId="10" xfId="0" applyFont="1" applyFill="1" applyBorder="1" applyAlignment="1">
      <alignment horizontal="left"/>
    </xf>
    <xf numFmtId="0" fontId="4" fillId="3" borderId="10" xfId="0" applyFont="1" applyFill="1" applyBorder="1" applyAlignment="1"/>
    <xf numFmtId="0" fontId="1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49" fontId="6" fillId="2" borderId="10" xfId="0" applyNumberFormat="1" applyFont="1" applyFill="1" applyBorder="1" applyAlignment="1">
      <alignment horizontal="left" vertical="center"/>
    </xf>
    <xf numFmtId="177" fontId="6" fillId="2" borderId="10" xfId="0" applyNumberFormat="1" applyFont="1" applyFill="1" applyBorder="1" applyAlignment="1"/>
    <xf numFmtId="49" fontId="6" fillId="5" borderId="10" xfId="0" applyNumberFormat="1" applyFont="1" applyFill="1" applyBorder="1" applyAlignment="1">
      <alignment horizontal="left"/>
    </xf>
    <xf numFmtId="177" fontId="4" fillId="2" borderId="10" xfId="0" applyNumberFormat="1" applyFont="1" applyFill="1" applyBorder="1" applyAlignment="1"/>
    <xf numFmtId="0" fontId="2" fillId="6" borderId="10" xfId="0" applyNumberFormat="1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76" fontId="6" fillId="2" borderId="10" xfId="0" applyNumberFormat="1" applyFont="1" applyFill="1" applyBorder="1" applyAlignment="1">
      <alignment horizontal="center"/>
    </xf>
    <xf numFmtId="0" fontId="4" fillId="2" borderId="18" xfId="0" applyFont="1" applyFill="1" applyBorder="1" applyAlignment="1"/>
    <xf numFmtId="0" fontId="2" fillId="2" borderId="18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49" fontId="2" fillId="3" borderId="19" xfId="0" applyNumberFormat="1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76" fontId="5" fillId="2" borderId="10" xfId="0" applyNumberFormat="1" applyFont="1" applyFill="1" applyBorder="1" applyAlignment="1"/>
    <xf numFmtId="49" fontId="6" fillId="6" borderId="10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center"/>
    </xf>
    <xf numFmtId="0" fontId="6" fillId="2" borderId="18" xfId="0" applyFont="1" applyFill="1" applyBorder="1" applyAlignment="1">
      <alignment horizontal="left"/>
    </xf>
    <xf numFmtId="0" fontId="4" fillId="3" borderId="18" xfId="0" applyFont="1" applyFill="1" applyBorder="1" applyAlignment="1"/>
    <xf numFmtId="49" fontId="4" fillId="6" borderId="10" xfId="0" applyNumberFormat="1" applyFont="1" applyFill="1" applyBorder="1" applyAlignment="1"/>
    <xf numFmtId="49" fontId="2" fillId="4" borderId="10" xfId="0" applyNumberFormat="1" applyFont="1" applyFill="1" applyBorder="1" applyAlignment="1">
      <alignment horizontal="center"/>
    </xf>
    <xf numFmtId="49" fontId="6" fillId="2" borderId="10" xfId="0" applyNumberFormat="1" applyFont="1" applyFill="1" applyBorder="1" applyAlignment="1">
      <alignment horizontal="left" wrapText="1"/>
    </xf>
    <xf numFmtId="49" fontId="4" fillId="2" borderId="18" xfId="0" applyNumberFormat="1" applyFont="1" applyFill="1" applyBorder="1" applyAlignment="1"/>
    <xf numFmtId="0" fontId="2" fillId="3" borderId="21" xfId="0" applyFont="1" applyFill="1" applyBorder="1" applyAlignment="1">
      <alignment horizontal="center"/>
    </xf>
    <xf numFmtId="176" fontId="4" fillId="2" borderId="10" xfId="0" applyNumberFormat="1" applyFont="1" applyFill="1" applyBorder="1" applyAlignment="1"/>
    <xf numFmtId="0" fontId="2" fillId="2" borderId="10" xfId="0" applyFont="1" applyFill="1" applyBorder="1" applyAlignment="1"/>
    <xf numFmtId="177" fontId="5" fillId="2" borderId="10" xfId="0" applyNumberFormat="1" applyFont="1" applyFill="1" applyBorder="1" applyAlignment="1"/>
    <xf numFmtId="0" fontId="2" fillId="7" borderId="10" xfId="0" applyFont="1" applyFill="1" applyBorder="1" applyAlignment="1">
      <alignment horizontal="center"/>
    </xf>
    <xf numFmtId="49" fontId="6" fillId="8" borderId="10" xfId="0" applyNumberFormat="1" applyFont="1" applyFill="1" applyBorder="1" applyAlignment="1">
      <alignment horizontal="left"/>
    </xf>
    <xf numFmtId="49" fontId="6" fillId="4" borderId="10" xfId="0" applyNumberFormat="1" applyFont="1" applyFill="1" applyBorder="1" applyAlignment="1">
      <alignment horizontal="left"/>
    </xf>
    <xf numFmtId="49" fontId="4" fillId="5" borderId="10" xfId="0" applyNumberFormat="1" applyFont="1" applyFill="1" applyBorder="1" applyAlignment="1"/>
    <xf numFmtId="0" fontId="2" fillId="4" borderId="10" xfId="0" applyNumberFormat="1" applyFont="1" applyFill="1" applyBorder="1" applyAlignment="1">
      <alignment horizontal="center" vertical="center"/>
    </xf>
    <xf numFmtId="49" fontId="6" fillId="7" borderId="10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center"/>
    </xf>
    <xf numFmtId="49" fontId="2" fillId="4" borderId="10" xfId="0" applyNumberFormat="1" applyFont="1" applyFill="1" applyBorder="1" applyAlignment="1"/>
    <xf numFmtId="0" fontId="2" fillId="4" borderId="10" xfId="0" applyNumberFormat="1" applyFont="1" applyFill="1" applyBorder="1" applyAlignment="1"/>
    <xf numFmtId="49" fontId="2" fillId="9" borderId="8" xfId="0" applyNumberFormat="1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49" fontId="6" fillId="2" borderId="22" xfId="0" applyNumberFormat="1" applyFont="1" applyFill="1" applyBorder="1" applyAlignment="1">
      <alignment horizontal="center"/>
    </xf>
    <xf numFmtId="49" fontId="6" fillId="2" borderId="9" xfId="0" applyNumberFormat="1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176" fontId="5" fillId="5" borderId="10" xfId="0" applyNumberFormat="1" applyFont="1" applyFill="1" applyBorder="1" applyAlignment="1">
      <alignment horizontal="center"/>
    </xf>
    <xf numFmtId="178" fontId="5" fillId="2" borderId="10" xfId="0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4" fillId="5" borderId="10" xfId="0" applyFont="1" applyFill="1" applyBorder="1" applyAlignment="1"/>
    <xf numFmtId="0" fontId="5" fillId="5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177" fontId="4" fillId="7" borderId="10" xfId="0" applyNumberFormat="1" applyFont="1" applyFill="1" applyBorder="1" applyAlignment="1"/>
    <xf numFmtId="177" fontId="4" fillId="5" borderId="10" xfId="0" applyNumberFormat="1" applyFont="1" applyFill="1" applyBorder="1" applyAlignment="1"/>
    <xf numFmtId="0" fontId="4" fillId="2" borderId="23" xfId="0" applyFont="1" applyFill="1" applyBorder="1" applyAlignment="1"/>
    <xf numFmtId="0" fontId="6" fillId="2" borderId="23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9"/>
  <sheetViews>
    <sheetView tabSelected="1" topLeftCell="A29" workbookViewId="0">
      <selection activeCell="N41" sqref="N41"/>
    </sheetView>
  </sheetViews>
  <sheetFormatPr defaultColWidth="9.23076923076923" defaultRowHeight="16.8"/>
  <cols>
    <col min="4" max="4" width="14.9038461538462" customWidth="1"/>
    <col min="5" max="5" width="19.8653846153846" customWidth="1"/>
    <col min="10" max="10" width="12.1730769230769" customWidth="1"/>
    <col min="11" max="11" width="22.9134615384615" customWidth="1"/>
  </cols>
  <sheetData>
    <row r="1" ht="20.4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5"/>
    </row>
    <row r="2" ht="17.6" spans="1:11">
      <c r="A2" s="3" t="s">
        <v>1</v>
      </c>
      <c r="B2" s="4"/>
      <c r="C2" s="4"/>
      <c r="D2" s="4"/>
      <c r="E2" s="4"/>
      <c r="F2" s="21"/>
      <c r="G2" s="22" t="s">
        <v>2</v>
      </c>
      <c r="H2" s="23"/>
      <c r="I2" s="23"/>
      <c r="J2" s="23"/>
      <c r="K2" s="36"/>
    </row>
    <row r="3" ht="18.35" spans="1:11">
      <c r="A3" s="5" t="s">
        <v>3</v>
      </c>
      <c r="B3" s="6"/>
      <c r="C3" s="6"/>
      <c r="D3" s="6"/>
      <c r="E3" s="6"/>
      <c r="F3" s="24"/>
      <c r="G3" s="25" t="s">
        <v>4</v>
      </c>
      <c r="H3" s="26"/>
      <c r="I3" s="26"/>
      <c r="J3" s="26"/>
      <c r="K3" s="37"/>
    </row>
    <row r="4" spans="1:1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ht="17.6" spans="1:11">
      <c r="A5" s="8" t="s">
        <v>5</v>
      </c>
      <c r="B5" s="9"/>
      <c r="C5" s="9"/>
      <c r="D5" s="9"/>
      <c r="E5" s="9"/>
      <c r="F5" s="17"/>
      <c r="G5" s="27"/>
      <c r="H5" s="18"/>
      <c r="I5" s="18"/>
      <c r="J5" s="18"/>
      <c r="K5" s="38"/>
    </row>
    <row r="6" ht="17.6" spans="1:11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28"/>
      <c r="G6" s="10" t="s">
        <v>6</v>
      </c>
      <c r="H6" s="10" t="s">
        <v>7</v>
      </c>
      <c r="I6" s="10" t="s">
        <v>8</v>
      </c>
      <c r="J6" s="10" t="s">
        <v>11</v>
      </c>
      <c r="K6" s="10" t="s">
        <v>10</v>
      </c>
    </row>
    <row r="7" ht="17.6" spans="1:11">
      <c r="A7" s="11">
        <v>4.8</v>
      </c>
      <c r="B7" s="12"/>
      <c r="C7" s="12">
        <v>1</v>
      </c>
      <c r="D7" s="13">
        <f t="shared" ref="D7:D17" si="0">B7*A7</f>
        <v>0</v>
      </c>
      <c r="E7" s="29" t="s">
        <v>12</v>
      </c>
      <c r="F7" s="30"/>
      <c r="G7" s="11">
        <v>3.89</v>
      </c>
      <c r="H7" s="31"/>
      <c r="I7" s="12">
        <v>1</v>
      </c>
      <c r="J7" s="13">
        <f t="shared" ref="J7:J16" si="1">H7*G7</f>
        <v>0</v>
      </c>
      <c r="K7" s="32" t="s">
        <v>13</v>
      </c>
    </row>
    <row r="8" ht="17.6" spans="1:11">
      <c r="A8" s="11">
        <v>2.58</v>
      </c>
      <c r="B8" s="12"/>
      <c r="C8" s="14">
        <v>2</v>
      </c>
      <c r="D8" s="13">
        <f t="shared" si="0"/>
        <v>0</v>
      </c>
      <c r="E8" s="29" t="s">
        <v>14</v>
      </c>
      <c r="F8" s="30"/>
      <c r="G8" s="11">
        <v>3.91</v>
      </c>
      <c r="H8" s="12"/>
      <c r="I8" s="14">
        <v>2</v>
      </c>
      <c r="J8" s="13">
        <f t="shared" si="1"/>
        <v>0</v>
      </c>
      <c r="K8" s="29" t="s">
        <v>15</v>
      </c>
    </row>
    <row r="9" ht="17.6" spans="1:11">
      <c r="A9" s="11">
        <v>2.61</v>
      </c>
      <c r="B9" s="15">
        <v>4</v>
      </c>
      <c r="C9" s="16">
        <v>3</v>
      </c>
      <c r="D9" s="13">
        <f t="shared" si="0"/>
        <v>10.44</v>
      </c>
      <c r="E9" s="29" t="s">
        <v>16</v>
      </c>
      <c r="F9" s="30"/>
      <c r="G9" s="11">
        <v>6.85</v>
      </c>
      <c r="H9" s="12"/>
      <c r="I9" s="16">
        <v>3</v>
      </c>
      <c r="J9" s="13">
        <f t="shared" si="1"/>
        <v>0</v>
      </c>
      <c r="K9" s="29" t="s">
        <v>17</v>
      </c>
    </row>
    <row r="10" ht="17.6" spans="1:11">
      <c r="A10" s="11">
        <v>2.61</v>
      </c>
      <c r="B10" s="15">
        <v>2</v>
      </c>
      <c r="C10" s="16">
        <v>4</v>
      </c>
      <c r="D10" s="13">
        <f t="shared" si="0"/>
        <v>5.22</v>
      </c>
      <c r="E10" s="29" t="s">
        <v>18</v>
      </c>
      <c r="F10" s="30"/>
      <c r="G10" s="11">
        <v>7.19</v>
      </c>
      <c r="H10" s="12"/>
      <c r="I10" s="16">
        <v>4</v>
      </c>
      <c r="J10" s="13">
        <f t="shared" si="1"/>
        <v>0</v>
      </c>
      <c r="K10" s="29" t="s">
        <v>19</v>
      </c>
    </row>
    <row r="11" ht="17.6" spans="1:11">
      <c r="A11" s="11">
        <v>2.61</v>
      </c>
      <c r="B11" s="12"/>
      <c r="C11" s="12">
        <v>1</v>
      </c>
      <c r="D11" s="13">
        <f t="shared" si="0"/>
        <v>0</v>
      </c>
      <c r="E11" s="29" t="s">
        <v>20</v>
      </c>
      <c r="F11" s="30"/>
      <c r="G11" s="11">
        <v>16.27</v>
      </c>
      <c r="H11" s="12"/>
      <c r="I11" s="12">
        <v>1</v>
      </c>
      <c r="J11" s="13">
        <f t="shared" si="1"/>
        <v>0</v>
      </c>
      <c r="K11" s="29" t="s">
        <v>21</v>
      </c>
    </row>
    <row r="12" ht="17.6" spans="1:11">
      <c r="A12" s="11">
        <v>7.89</v>
      </c>
      <c r="B12" s="12"/>
      <c r="C12" s="14">
        <v>2</v>
      </c>
      <c r="D12" s="13">
        <f t="shared" si="0"/>
        <v>0</v>
      </c>
      <c r="E12" s="32" t="s">
        <v>22</v>
      </c>
      <c r="F12" s="30"/>
      <c r="G12" s="11">
        <v>9.43</v>
      </c>
      <c r="H12" s="12"/>
      <c r="I12" s="14">
        <v>2</v>
      </c>
      <c r="J12" s="13">
        <f t="shared" si="1"/>
        <v>0</v>
      </c>
      <c r="K12" s="29" t="s">
        <v>23</v>
      </c>
    </row>
    <row r="13" ht="17.6" spans="1:11">
      <c r="A13" s="11">
        <v>2.61</v>
      </c>
      <c r="B13" s="12"/>
      <c r="C13" s="16">
        <v>3</v>
      </c>
      <c r="D13" s="13">
        <f t="shared" si="0"/>
        <v>0</v>
      </c>
      <c r="E13" s="29" t="s">
        <v>24</v>
      </c>
      <c r="F13" s="30"/>
      <c r="G13" s="11">
        <v>12.65</v>
      </c>
      <c r="H13" s="12"/>
      <c r="I13" s="16">
        <v>3</v>
      </c>
      <c r="J13" s="13">
        <f t="shared" si="1"/>
        <v>0</v>
      </c>
      <c r="K13" s="29" t="s">
        <v>25</v>
      </c>
    </row>
    <row r="14" ht="17.6" spans="1:11">
      <c r="A14" s="11">
        <v>8.23</v>
      </c>
      <c r="B14" s="12"/>
      <c r="C14" s="16">
        <v>4</v>
      </c>
      <c r="D14" s="13">
        <f t="shared" si="0"/>
        <v>0</v>
      </c>
      <c r="E14" s="29" t="s">
        <v>26</v>
      </c>
      <c r="F14" s="30"/>
      <c r="G14" s="11">
        <v>9.79</v>
      </c>
      <c r="H14" s="12"/>
      <c r="I14" s="16">
        <v>4</v>
      </c>
      <c r="J14" s="13">
        <f t="shared" si="1"/>
        <v>0</v>
      </c>
      <c r="K14" s="29" t="s">
        <v>27</v>
      </c>
    </row>
    <row r="15" ht="17.6" spans="1:11">
      <c r="A15" s="11">
        <v>3.27</v>
      </c>
      <c r="B15" s="15">
        <v>2</v>
      </c>
      <c r="C15" s="12">
        <v>1</v>
      </c>
      <c r="D15" s="13">
        <f t="shared" si="0"/>
        <v>6.54</v>
      </c>
      <c r="E15" s="29" t="s">
        <v>28</v>
      </c>
      <c r="F15" s="30"/>
      <c r="G15" s="11">
        <v>24.75</v>
      </c>
      <c r="H15" s="12"/>
      <c r="I15" s="12">
        <v>1</v>
      </c>
      <c r="J15" s="13">
        <f t="shared" si="1"/>
        <v>0</v>
      </c>
      <c r="K15" s="29" t="s">
        <v>29</v>
      </c>
    </row>
    <row r="16" ht="17.6" spans="1:11">
      <c r="A16" s="11">
        <v>3.59</v>
      </c>
      <c r="B16" s="12"/>
      <c r="C16" s="14">
        <v>2</v>
      </c>
      <c r="D16" s="13">
        <f t="shared" si="0"/>
        <v>0</v>
      </c>
      <c r="E16" s="29" t="s">
        <v>30</v>
      </c>
      <c r="F16" s="30"/>
      <c r="G16" s="11">
        <v>17.72</v>
      </c>
      <c r="H16" s="12"/>
      <c r="I16" s="14">
        <v>2</v>
      </c>
      <c r="J16" s="13">
        <f t="shared" si="1"/>
        <v>0</v>
      </c>
      <c r="K16" s="29" t="s">
        <v>31</v>
      </c>
    </row>
    <row r="17" ht="17.6" spans="1:11">
      <c r="A17" s="11">
        <v>9.82</v>
      </c>
      <c r="B17" s="15">
        <v>5</v>
      </c>
      <c r="C17" s="16">
        <v>3</v>
      </c>
      <c r="D17" s="13">
        <f t="shared" si="0"/>
        <v>49.1</v>
      </c>
      <c r="E17" s="29" t="s">
        <v>32</v>
      </c>
      <c r="F17" s="30"/>
      <c r="G17" s="19"/>
      <c r="H17" s="12"/>
      <c r="I17" s="16">
        <v>3</v>
      </c>
      <c r="J17" s="19"/>
      <c r="K17" s="33"/>
    </row>
    <row r="18" ht="17.6" spans="1:11">
      <c r="A18" s="8" t="s">
        <v>33</v>
      </c>
      <c r="B18" s="17"/>
      <c r="C18" s="17"/>
      <c r="D18" s="18"/>
      <c r="E18" s="18"/>
      <c r="F18" s="18"/>
      <c r="G18" s="27"/>
      <c r="H18" s="18"/>
      <c r="I18" s="18"/>
      <c r="J18" s="18"/>
      <c r="K18" s="38"/>
    </row>
    <row r="19" ht="17.6" spans="1:11">
      <c r="A19" s="10" t="s">
        <v>6</v>
      </c>
      <c r="B19" s="10" t="s">
        <v>7</v>
      </c>
      <c r="C19" s="10"/>
      <c r="D19" s="10" t="s">
        <v>9</v>
      </c>
      <c r="E19" s="10" t="s">
        <v>10</v>
      </c>
      <c r="F19" s="28"/>
      <c r="G19" s="10" t="s">
        <v>6</v>
      </c>
      <c r="H19" s="10" t="s">
        <v>7</v>
      </c>
      <c r="I19" s="10"/>
      <c r="J19" s="10" t="s">
        <v>11</v>
      </c>
      <c r="K19" s="10" t="s">
        <v>10</v>
      </c>
    </row>
    <row r="20" ht="17.6" spans="1:11">
      <c r="A20" s="11">
        <v>9.23</v>
      </c>
      <c r="B20" s="15">
        <v>2</v>
      </c>
      <c r="C20" s="16">
        <v>4</v>
      </c>
      <c r="D20" s="13">
        <f t="shared" ref="D20:D30" si="2">B20*A20</f>
        <v>18.46</v>
      </c>
      <c r="E20" s="29" t="s">
        <v>34</v>
      </c>
      <c r="F20" s="30"/>
      <c r="G20" s="11">
        <v>19.64</v>
      </c>
      <c r="H20" s="12"/>
      <c r="I20" s="16">
        <v>4</v>
      </c>
      <c r="J20" s="13">
        <f t="shared" ref="J20:J29" si="3">H20*G20</f>
        <v>0</v>
      </c>
      <c r="K20" s="29" t="s">
        <v>35</v>
      </c>
    </row>
    <row r="21" ht="17.6" spans="1:11">
      <c r="A21" s="11">
        <v>9.4</v>
      </c>
      <c r="B21" s="12"/>
      <c r="C21" s="14">
        <v>1</v>
      </c>
      <c r="D21" s="13">
        <f t="shared" si="2"/>
        <v>0</v>
      </c>
      <c r="E21" s="29" t="s">
        <v>13</v>
      </c>
      <c r="F21" s="30"/>
      <c r="G21" s="11">
        <v>19.64</v>
      </c>
      <c r="H21" s="12"/>
      <c r="I21" s="14">
        <v>1</v>
      </c>
      <c r="J21" s="13">
        <f t="shared" si="3"/>
        <v>0</v>
      </c>
      <c r="K21" s="29" t="s">
        <v>36</v>
      </c>
    </row>
    <row r="22" ht="17.6" spans="1:11">
      <c r="A22" s="11">
        <v>10.06</v>
      </c>
      <c r="B22" s="12"/>
      <c r="C22" s="14">
        <v>2</v>
      </c>
      <c r="D22" s="13">
        <f t="shared" si="2"/>
        <v>0</v>
      </c>
      <c r="E22" s="29" t="s">
        <v>15</v>
      </c>
      <c r="F22" s="30"/>
      <c r="G22" s="11">
        <v>19.64</v>
      </c>
      <c r="H22" s="12"/>
      <c r="I22" s="14">
        <v>2</v>
      </c>
      <c r="J22" s="13">
        <f t="shared" si="3"/>
        <v>0</v>
      </c>
      <c r="K22" s="29" t="s">
        <v>37</v>
      </c>
    </row>
    <row r="23" ht="17.6" spans="1:11">
      <c r="A23" s="11">
        <v>10.06</v>
      </c>
      <c r="B23" s="12"/>
      <c r="C23" s="14">
        <v>3</v>
      </c>
      <c r="D23" s="13">
        <f t="shared" si="2"/>
        <v>0</v>
      </c>
      <c r="E23" s="29" t="s">
        <v>17</v>
      </c>
      <c r="F23" s="30"/>
      <c r="G23" s="11">
        <v>19.51</v>
      </c>
      <c r="H23" s="12"/>
      <c r="I23" s="14">
        <v>3</v>
      </c>
      <c r="J23" s="13">
        <f t="shared" si="3"/>
        <v>0</v>
      </c>
      <c r="K23" s="29" t="s">
        <v>38</v>
      </c>
    </row>
    <row r="24" ht="17.6" spans="1:11">
      <c r="A24" s="11">
        <v>10.81</v>
      </c>
      <c r="B24" s="12"/>
      <c r="C24" s="14">
        <v>4</v>
      </c>
      <c r="D24" s="13">
        <f t="shared" si="2"/>
        <v>0</v>
      </c>
      <c r="E24" s="29" t="s">
        <v>19</v>
      </c>
      <c r="F24" s="30"/>
      <c r="G24" s="11">
        <v>19.49</v>
      </c>
      <c r="H24" s="12"/>
      <c r="I24" s="14">
        <v>4</v>
      </c>
      <c r="J24" s="13">
        <f t="shared" si="3"/>
        <v>0</v>
      </c>
      <c r="K24" s="29" t="s">
        <v>39</v>
      </c>
    </row>
    <row r="25" ht="17.6" spans="1:11">
      <c r="A25" s="11">
        <v>15.85</v>
      </c>
      <c r="B25" s="12"/>
      <c r="C25" s="14">
        <v>1</v>
      </c>
      <c r="D25" s="13">
        <f t="shared" si="2"/>
        <v>0</v>
      </c>
      <c r="E25" s="29" t="s">
        <v>40</v>
      </c>
      <c r="F25" s="30"/>
      <c r="G25" s="11">
        <v>22.44</v>
      </c>
      <c r="H25" s="12"/>
      <c r="I25" s="14">
        <v>1</v>
      </c>
      <c r="J25" s="13">
        <f t="shared" si="3"/>
        <v>0</v>
      </c>
      <c r="K25" s="29" t="s">
        <v>41</v>
      </c>
    </row>
    <row r="26" ht="17.6" spans="1:11">
      <c r="A26" s="11">
        <v>12.73</v>
      </c>
      <c r="B26" s="12"/>
      <c r="C26" s="14">
        <v>2</v>
      </c>
      <c r="D26" s="13">
        <f t="shared" si="2"/>
        <v>0</v>
      </c>
      <c r="E26" s="29" t="s">
        <v>21</v>
      </c>
      <c r="F26" s="30"/>
      <c r="G26" s="11">
        <v>26.57</v>
      </c>
      <c r="H26" s="12"/>
      <c r="I26" s="14">
        <v>2</v>
      </c>
      <c r="J26" s="13">
        <f t="shared" si="3"/>
        <v>0</v>
      </c>
      <c r="K26" s="29" t="s">
        <v>42</v>
      </c>
    </row>
    <row r="27" ht="17.6" spans="1:11">
      <c r="A27" s="11">
        <v>13.05</v>
      </c>
      <c r="B27" s="12"/>
      <c r="C27" s="14">
        <v>3</v>
      </c>
      <c r="D27" s="13">
        <f t="shared" si="2"/>
        <v>0</v>
      </c>
      <c r="E27" s="29" t="s">
        <v>43</v>
      </c>
      <c r="F27" s="30"/>
      <c r="G27" s="11">
        <v>45.46</v>
      </c>
      <c r="H27" s="12"/>
      <c r="I27" s="14">
        <v>3</v>
      </c>
      <c r="J27" s="13">
        <f t="shared" si="3"/>
        <v>0</v>
      </c>
      <c r="K27" s="29" t="s">
        <v>44</v>
      </c>
    </row>
    <row r="28" ht="17.6" spans="1:11">
      <c r="A28" s="11">
        <v>13.71</v>
      </c>
      <c r="B28" s="12"/>
      <c r="C28" s="14">
        <v>4</v>
      </c>
      <c r="D28" s="13">
        <f t="shared" si="2"/>
        <v>0</v>
      </c>
      <c r="E28" s="29" t="s">
        <v>45</v>
      </c>
      <c r="F28" s="30"/>
      <c r="G28" s="11">
        <v>31.65</v>
      </c>
      <c r="H28" s="12"/>
      <c r="I28" s="14">
        <v>4</v>
      </c>
      <c r="J28" s="13">
        <f t="shared" si="3"/>
        <v>0</v>
      </c>
      <c r="K28" s="29" t="s">
        <v>46</v>
      </c>
    </row>
    <row r="29" ht="17.6" spans="1:11">
      <c r="A29" s="11">
        <v>13.94</v>
      </c>
      <c r="B29" s="15">
        <v>1</v>
      </c>
      <c r="C29" s="14">
        <v>1</v>
      </c>
      <c r="D29" s="13">
        <f t="shared" si="2"/>
        <v>13.94</v>
      </c>
      <c r="E29" s="29" t="s">
        <v>47</v>
      </c>
      <c r="F29" s="30"/>
      <c r="G29" s="11">
        <v>4.16</v>
      </c>
      <c r="H29" s="15">
        <v>10</v>
      </c>
      <c r="I29" s="14">
        <v>1</v>
      </c>
      <c r="J29" s="13">
        <f t="shared" si="3"/>
        <v>41.6</v>
      </c>
      <c r="K29" s="29" t="s">
        <v>48</v>
      </c>
    </row>
    <row r="30" ht="17.6" spans="1:11">
      <c r="A30" s="11">
        <v>16.17</v>
      </c>
      <c r="B30" s="12"/>
      <c r="C30" s="14">
        <v>2</v>
      </c>
      <c r="D30" s="13">
        <f t="shared" si="2"/>
        <v>0</v>
      </c>
      <c r="E30" s="29" t="s">
        <v>49</v>
      </c>
      <c r="F30" s="30"/>
      <c r="G30" s="19"/>
      <c r="H30" s="12"/>
      <c r="I30" s="14">
        <v>2</v>
      </c>
      <c r="J30" s="19"/>
      <c r="K30" s="33"/>
    </row>
    <row r="31" ht="17.6" spans="1:11">
      <c r="A31" s="19"/>
      <c r="B31" s="12"/>
      <c r="C31" s="12"/>
      <c r="D31" s="19"/>
      <c r="E31" s="33"/>
      <c r="F31" s="30"/>
      <c r="G31" s="19"/>
      <c r="H31" s="12"/>
      <c r="I31" s="12"/>
      <c r="J31" s="19"/>
      <c r="K31" s="33"/>
    </row>
    <row r="32" ht="17.6" spans="1:11">
      <c r="A32" s="20"/>
      <c r="B32" s="20"/>
      <c r="C32" s="20"/>
      <c r="D32" s="20"/>
      <c r="E32" s="32" t="s">
        <v>50</v>
      </c>
      <c r="F32" s="30"/>
      <c r="G32" s="19"/>
      <c r="H32" s="12"/>
      <c r="I32" s="12"/>
      <c r="J32" s="19"/>
      <c r="K32" s="33"/>
    </row>
    <row r="33" ht="17.6" spans="1:11">
      <c r="A33" s="8" t="s">
        <v>51</v>
      </c>
      <c r="B33" s="9"/>
      <c r="C33" s="9"/>
      <c r="D33" s="9"/>
      <c r="E33" s="9"/>
      <c r="F33" s="9"/>
      <c r="G33" s="9"/>
      <c r="H33" s="9"/>
      <c r="I33" s="9"/>
      <c r="J33" s="9"/>
      <c r="K33" s="39"/>
    </row>
    <row r="34" ht="17.6" spans="1:11">
      <c r="A34" s="10" t="s">
        <v>6</v>
      </c>
      <c r="B34" s="10" t="s">
        <v>7</v>
      </c>
      <c r="C34" s="10"/>
      <c r="D34" s="10" t="s">
        <v>11</v>
      </c>
      <c r="E34" s="10" t="s">
        <v>10</v>
      </c>
      <c r="F34" s="28"/>
      <c r="G34" s="10" t="s">
        <v>6</v>
      </c>
      <c r="H34" s="10" t="s">
        <v>7</v>
      </c>
      <c r="I34" s="10"/>
      <c r="J34" s="10" t="s">
        <v>11</v>
      </c>
      <c r="K34" s="10" t="s">
        <v>10</v>
      </c>
    </row>
    <row r="35" ht="17.6" spans="1:11">
      <c r="A35" s="11">
        <v>2.13</v>
      </c>
      <c r="B35" s="12"/>
      <c r="C35" s="12">
        <v>3</v>
      </c>
      <c r="D35" s="13">
        <f t="shared" ref="D35:D48" si="4">B35*A35</f>
        <v>0</v>
      </c>
      <c r="E35" s="29" t="s">
        <v>52</v>
      </c>
      <c r="F35" s="30"/>
      <c r="G35" s="11">
        <v>43.7</v>
      </c>
      <c r="H35" s="12"/>
      <c r="I35" s="12">
        <v>3</v>
      </c>
      <c r="J35" s="13">
        <f t="shared" ref="J35:J47" si="5">H35*G35</f>
        <v>0</v>
      </c>
      <c r="K35" s="29" t="s">
        <v>21</v>
      </c>
    </row>
    <row r="36" ht="17.6" spans="1:11">
      <c r="A36" s="11">
        <v>2.05</v>
      </c>
      <c r="B36" s="12"/>
      <c r="C36" s="12">
        <v>4</v>
      </c>
      <c r="D36" s="13">
        <f t="shared" si="4"/>
        <v>0</v>
      </c>
      <c r="E36" s="29" t="s">
        <v>12</v>
      </c>
      <c r="F36" s="30"/>
      <c r="G36" s="11">
        <v>41.21</v>
      </c>
      <c r="H36" s="12"/>
      <c r="I36" s="12">
        <v>4</v>
      </c>
      <c r="J36" s="13">
        <f t="shared" si="5"/>
        <v>0</v>
      </c>
      <c r="K36" s="29" t="s">
        <v>43</v>
      </c>
    </row>
    <row r="37" ht="17.6" spans="1:11">
      <c r="A37" s="11">
        <v>2.24</v>
      </c>
      <c r="B37" s="12"/>
      <c r="C37" s="12">
        <v>1</v>
      </c>
      <c r="D37" s="13">
        <f t="shared" si="4"/>
        <v>0</v>
      </c>
      <c r="E37" s="29" t="s">
        <v>14</v>
      </c>
      <c r="F37" s="30"/>
      <c r="G37" s="11">
        <v>43.91</v>
      </c>
      <c r="H37" s="12"/>
      <c r="I37" s="12">
        <v>1</v>
      </c>
      <c r="J37" s="13">
        <f t="shared" si="5"/>
        <v>0</v>
      </c>
      <c r="K37" s="29" t="s">
        <v>45</v>
      </c>
    </row>
    <row r="38" ht="17.6" spans="1:11">
      <c r="A38" s="11">
        <v>2.39</v>
      </c>
      <c r="B38" s="12"/>
      <c r="C38" s="12">
        <v>2</v>
      </c>
      <c r="D38" s="13">
        <f t="shared" si="4"/>
        <v>0</v>
      </c>
      <c r="E38" s="29" t="s">
        <v>16</v>
      </c>
      <c r="F38" s="30"/>
      <c r="G38" s="11">
        <v>48.85</v>
      </c>
      <c r="H38" s="12"/>
      <c r="I38" s="12">
        <v>2</v>
      </c>
      <c r="J38" s="13">
        <f t="shared" si="5"/>
        <v>0</v>
      </c>
      <c r="K38" s="29" t="s">
        <v>47</v>
      </c>
    </row>
    <row r="39" ht="17.6" spans="1:11">
      <c r="A39" s="11">
        <v>2.68</v>
      </c>
      <c r="B39" s="12"/>
      <c r="C39" s="12">
        <v>3</v>
      </c>
      <c r="D39" s="13">
        <f t="shared" si="4"/>
        <v>0</v>
      </c>
      <c r="E39" s="29" t="s">
        <v>18</v>
      </c>
      <c r="F39" s="30"/>
      <c r="G39" s="11">
        <v>57.91</v>
      </c>
      <c r="H39" s="12"/>
      <c r="I39" s="12">
        <v>3</v>
      </c>
      <c r="J39" s="13">
        <f t="shared" si="5"/>
        <v>0</v>
      </c>
      <c r="K39" s="29" t="s">
        <v>49</v>
      </c>
    </row>
    <row r="40" ht="17.6" spans="1:11">
      <c r="A40" s="11">
        <v>3.04</v>
      </c>
      <c r="B40" s="12"/>
      <c r="C40" s="12">
        <v>4</v>
      </c>
      <c r="D40" s="13">
        <f t="shared" si="4"/>
        <v>0</v>
      </c>
      <c r="E40" s="29" t="s">
        <v>53</v>
      </c>
      <c r="F40" s="30"/>
      <c r="G40" s="11">
        <v>100.57</v>
      </c>
      <c r="H40" s="12"/>
      <c r="I40" s="12">
        <v>4</v>
      </c>
      <c r="J40" s="13">
        <f t="shared" si="5"/>
        <v>0</v>
      </c>
      <c r="K40" s="29" t="s">
        <v>35</v>
      </c>
    </row>
    <row r="41" ht="17.6" spans="1:11">
      <c r="A41" s="11">
        <v>15.98</v>
      </c>
      <c r="B41" s="12"/>
      <c r="C41" s="12">
        <v>1</v>
      </c>
      <c r="D41" s="13">
        <f t="shared" si="4"/>
        <v>0</v>
      </c>
      <c r="E41" s="29" t="s">
        <v>54</v>
      </c>
      <c r="F41" s="30"/>
      <c r="G41" s="11">
        <v>60.98</v>
      </c>
      <c r="H41" s="12"/>
      <c r="I41" s="12">
        <v>1</v>
      </c>
      <c r="J41" s="13">
        <f t="shared" si="5"/>
        <v>0</v>
      </c>
      <c r="K41" s="29" t="s">
        <v>36</v>
      </c>
    </row>
    <row r="42" ht="17.6" spans="1:11">
      <c r="A42" s="11">
        <v>3.94</v>
      </c>
      <c r="B42" s="12"/>
      <c r="C42" s="12">
        <v>2</v>
      </c>
      <c r="D42" s="13">
        <f t="shared" si="4"/>
        <v>0</v>
      </c>
      <c r="E42" s="29" t="s">
        <v>28</v>
      </c>
      <c r="F42" s="30"/>
      <c r="G42" s="11">
        <v>65.84</v>
      </c>
      <c r="H42" s="12"/>
      <c r="I42" s="12">
        <v>2</v>
      </c>
      <c r="J42" s="13">
        <f t="shared" si="5"/>
        <v>0</v>
      </c>
      <c r="K42" s="29" t="s">
        <v>37</v>
      </c>
    </row>
    <row r="43" ht="17.6" spans="1:11">
      <c r="A43" s="11">
        <v>4.4</v>
      </c>
      <c r="B43" s="12"/>
      <c r="C43" s="12">
        <v>3</v>
      </c>
      <c r="D43" s="13">
        <f t="shared" si="4"/>
        <v>0</v>
      </c>
      <c r="E43" s="29" t="s">
        <v>34</v>
      </c>
      <c r="F43" s="30"/>
      <c r="G43" s="11">
        <v>32.76</v>
      </c>
      <c r="H43" s="12"/>
      <c r="I43" s="12">
        <v>3</v>
      </c>
      <c r="J43" s="13">
        <f t="shared" si="5"/>
        <v>0</v>
      </c>
      <c r="K43" s="29" t="s">
        <v>38</v>
      </c>
    </row>
    <row r="44" ht="17.6" spans="1:11">
      <c r="A44" s="11">
        <v>5.05</v>
      </c>
      <c r="B44" s="12"/>
      <c r="C44" s="12">
        <v>4</v>
      </c>
      <c r="D44" s="13">
        <f t="shared" si="4"/>
        <v>0</v>
      </c>
      <c r="E44" s="29" t="s">
        <v>13</v>
      </c>
      <c r="F44" s="30"/>
      <c r="G44" s="11">
        <v>58.07</v>
      </c>
      <c r="H44" s="12"/>
      <c r="I44" s="12">
        <v>4</v>
      </c>
      <c r="J44" s="13">
        <f t="shared" si="5"/>
        <v>0</v>
      </c>
      <c r="K44" s="29" t="s">
        <v>39</v>
      </c>
    </row>
    <row r="45" ht="17.6" spans="1:11">
      <c r="A45" s="11">
        <v>6.46</v>
      </c>
      <c r="B45" s="12"/>
      <c r="C45" s="12">
        <v>1</v>
      </c>
      <c r="D45" s="13">
        <f t="shared" si="4"/>
        <v>0</v>
      </c>
      <c r="E45" s="29" t="s">
        <v>15</v>
      </c>
      <c r="F45" s="30"/>
      <c r="G45" s="11">
        <v>43.36</v>
      </c>
      <c r="H45" s="12"/>
      <c r="I45" s="12">
        <v>1</v>
      </c>
      <c r="J45" s="13">
        <f t="shared" si="5"/>
        <v>0</v>
      </c>
      <c r="K45" s="29" t="s">
        <v>41</v>
      </c>
    </row>
    <row r="46" ht="17.6" spans="1:11">
      <c r="A46" s="11">
        <v>7.61</v>
      </c>
      <c r="B46" s="12"/>
      <c r="C46" s="12">
        <v>2</v>
      </c>
      <c r="D46" s="13">
        <f t="shared" si="4"/>
        <v>0</v>
      </c>
      <c r="E46" s="29" t="s">
        <v>17</v>
      </c>
      <c r="F46" s="30"/>
      <c r="G46" s="11">
        <v>110.41</v>
      </c>
      <c r="H46" s="12"/>
      <c r="I46" s="12">
        <v>2</v>
      </c>
      <c r="J46" s="13">
        <f t="shared" si="5"/>
        <v>0</v>
      </c>
      <c r="K46" s="29" t="s">
        <v>55</v>
      </c>
    </row>
    <row r="47" ht="17.6" spans="1:11">
      <c r="A47" s="11">
        <v>8.05</v>
      </c>
      <c r="B47" s="12"/>
      <c r="C47" s="12">
        <v>3</v>
      </c>
      <c r="D47" s="13">
        <f t="shared" si="4"/>
        <v>0</v>
      </c>
      <c r="E47" s="29" t="s">
        <v>19</v>
      </c>
      <c r="F47" s="30"/>
      <c r="G47" s="11">
        <v>38.84</v>
      </c>
      <c r="H47" s="12"/>
      <c r="I47" s="12">
        <v>3</v>
      </c>
      <c r="J47" s="13">
        <f t="shared" si="5"/>
        <v>0</v>
      </c>
      <c r="K47" s="40" t="s">
        <v>56</v>
      </c>
    </row>
    <row r="48" ht="17.6" spans="1:11">
      <c r="A48" s="11">
        <v>40.55</v>
      </c>
      <c r="B48" s="12"/>
      <c r="C48" s="12">
        <v>4</v>
      </c>
      <c r="D48" s="13">
        <f t="shared" si="4"/>
        <v>0</v>
      </c>
      <c r="E48" s="29" t="s">
        <v>40</v>
      </c>
      <c r="F48" s="30"/>
      <c r="G48" s="20"/>
      <c r="H48" s="20"/>
      <c r="I48" s="12">
        <v>4</v>
      </c>
      <c r="J48" s="20"/>
      <c r="K48" s="20"/>
    </row>
    <row r="49" ht="17.6" spans="1:11">
      <c r="A49" s="8" t="s">
        <v>57</v>
      </c>
      <c r="B49" s="9"/>
      <c r="C49" s="9"/>
      <c r="D49" s="9"/>
      <c r="E49" s="9"/>
      <c r="F49" s="9"/>
      <c r="G49" s="9"/>
      <c r="H49" s="9"/>
      <c r="I49" s="9"/>
      <c r="J49" s="9"/>
      <c r="K49" s="39"/>
    </row>
    <row r="50" ht="17.6" spans="1:11">
      <c r="A50" s="10" t="s">
        <v>6</v>
      </c>
      <c r="B50" s="10" t="s">
        <v>7</v>
      </c>
      <c r="C50" s="10"/>
      <c r="D50" s="10" t="s">
        <v>11</v>
      </c>
      <c r="E50" s="10" t="s">
        <v>10</v>
      </c>
      <c r="F50" s="28"/>
      <c r="G50" s="10" t="s">
        <v>6</v>
      </c>
      <c r="H50" s="10" t="s">
        <v>7</v>
      </c>
      <c r="I50" s="10"/>
      <c r="J50" s="10" t="s">
        <v>11</v>
      </c>
      <c r="K50" s="10" t="s">
        <v>10</v>
      </c>
    </row>
    <row r="51" ht="17.6" spans="1:11">
      <c r="A51" s="11">
        <v>24.02</v>
      </c>
      <c r="B51" s="12"/>
      <c r="C51" s="14">
        <v>1</v>
      </c>
      <c r="D51" s="13">
        <f t="shared" ref="D51:D99" si="6">B51*A51</f>
        <v>0</v>
      </c>
      <c r="E51" s="29" t="s">
        <v>58</v>
      </c>
      <c r="F51" s="30"/>
      <c r="G51" s="11">
        <v>14.16</v>
      </c>
      <c r="H51" s="12"/>
      <c r="I51" s="14">
        <v>1</v>
      </c>
      <c r="J51" s="41">
        <f t="shared" ref="J51:J99" si="7">H51*G51</f>
        <v>0</v>
      </c>
      <c r="K51" s="29" t="s">
        <v>59</v>
      </c>
    </row>
    <row r="52" ht="17.6" spans="1:11">
      <c r="A52" s="11">
        <v>5.59</v>
      </c>
      <c r="B52" s="15">
        <v>14</v>
      </c>
      <c r="C52" s="16">
        <v>2</v>
      </c>
      <c r="D52" s="13">
        <f t="shared" si="6"/>
        <v>78.26</v>
      </c>
      <c r="E52" s="29" t="s">
        <v>60</v>
      </c>
      <c r="F52" s="30"/>
      <c r="G52" s="11">
        <v>7.92</v>
      </c>
      <c r="H52" s="15">
        <v>24</v>
      </c>
      <c r="I52" s="16">
        <v>2</v>
      </c>
      <c r="J52" s="41">
        <f t="shared" si="7"/>
        <v>190.08</v>
      </c>
      <c r="K52" s="42" t="s">
        <v>61</v>
      </c>
    </row>
    <row r="53" ht="17.6" spans="1:11">
      <c r="A53" s="11">
        <v>11.77</v>
      </c>
      <c r="B53" s="12"/>
      <c r="C53" s="14">
        <v>3</v>
      </c>
      <c r="D53" s="13">
        <f t="shared" si="6"/>
        <v>0</v>
      </c>
      <c r="E53" s="29" t="s">
        <v>62</v>
      </c>
      <c r="F53" s="30"/>
      <c r="G53" s="11">
        <v>3.5</v>
      </c>
      <c r="H53" s="12"/>
      <c r="I53" s="14">
        <v>3</v>
      </c>
      <c r="J53" s="41">
        <f t="shared" si="7"/>
        <v>0</v>
      </c>
      <c r="K53" s="29" t="s">
        <v>63</v>
      </c>
    </row>
    <row r="54" ht="17.6" spans="1:11">
      <c r="A54" s="11">
        <v>11.58</v>
      </c>
      <c r="B54" s="12"/>
      <c r="C54" s="14">
        <v>4</v>
      </c>
      <c r="D54" s="13">
        <f t="shared" si="6"/>
        <v>0</v>
      </c>
      <c r="E54" s="29" t="s">
        <v>64</v>
      </c>
      <c r="F54" s="30"/>
      <c r="G54" s="11">
        <v>20.44</v>
      </c>
      <c r="H54" s="15">
        <v>1</v>
      </c>
      <c r="I54" s="14">
        <v>4</v>
      </c>
      <c r="J54" s="43">
        <f t="shared" si="7"/>
        <v>20.44</v>
      </c>
      <c r="K54" s="29" t="s">
        <v>65</v>
      </c>
    </row>
    <row r="55" ht="17.6" spans="1:11">
      <c r="A55" s="11">
        <v>6.53</v>
      </c>
      <c r="B55" s="12"/>
      <c r="C55" s="14">
        <v>1</v>
      </c>
      <c r="D55" s="13">
        <f t="shared" si="6"/>
        <v>0</v>
      </c>
      <c r="E55" s="29" t="s">
        <v>66</v>
      </c>
      <c r="F55" s="30"/>
      <c r="G55" s="11">
        <v>3.74</v>
      </c>
      <c r="H55" s="15">
        <v>8</v>
      </c>
      <c r="I55" s="14">
        <v>1</v>
      </c>
      <c r="J55" s="43">
        <f t="shared" si="7"/>
        <v>29.92</v>
      </c>
      <c r="K55" s="29" t="s">
        <v>67</v>
      </c>
    </row>
    <row r="56" ht="17.6" spans="1:11">
      <c r="A56" s="11">
        <v>1.52</v>
      </c>
      <c r="B56" s="15">
        <v>4</v>
      </c>
      <c r="C56" s="16">
        <v>2</v>
      </c>
      <c r="D56" s="13">
        <f t="shared" si="6"/>
        <v>6.08</v>
      </c>
      <c r="E56" s="29" t="s">
        <v>68</v>
      </c>
      <c r="F56" s="30"/>
      <c r="G56" s="11">
        <v>15.11</v>
      </c>
      <c r="H56" s="12"/>
      <c r="I56" s="16">
        <v>2</v>
      </c>
      <c r="J56" s="43">
        <f t="shared" si="7"/>
        <v>0</v>
      </c>
      <c r="K56" s="29" t="s">
        <v>69</v>
      </c>
    </row>
    <row r="57" ht="17.6" spans="1:11">
      <c r="A57" s="11">
        <v>10</v>
      </c>
      <c r="B57" s="15">
        <v>20</v>
      </c>
      <c r="C57" s="16">
        <v>3</v>
      </c>
      <c r="D57" s="13">
        <f t="shared" si="6"/>
        <v>200</v>
      </c>
      <c r="E57" s="29" t="s">
        <v>70</v>
      </c>
      <c r="F57" s="34"/>
      <c r="G57" s="11">
        <v>17.96</v>
      </c>
      <c r="H57" s="15">
        <v>1</v>
      </c>
      <c r="I57" s="16">
        <v>3</v>
      </c>
      <c r="J57" s="43">
        <f t="shared" si="7"/>
        <v>17.96</v>
      </c>
      <c r="K57" s="29" t="s">
        <v>71</v>
      </c>
    </row>
    <row r="58" ht="17.6" spans="1:11">
      <c r="A58" s="11">
        <v>5.68</v>
      </c>
      <c r="B58" s="15">
        <v>6</v>
      </c>
      <c r="C58" s="16">
        <v>4</v>
      </c>
      <c r="D58" s="13">
        <f t="shared" si="6"/>
        <v>34.08</v>
      </c>
      <c r="E58" s="29" t="s">
        <v>72</v>
      </c>
      <c r="F58" s="34"/>
      <c r="G58" s="11">
        <v>6.47</v>
      </c>
      <c r="H58" s="12"/>
      <c r="I58" s="16">
        <v>4</v>
      </c>
      <c r="J58" s="43">
        <f t="shared" si="7"/>
        <v>0</v>
      </c>
      <c r="K58" s="29" t="s">
        <v>73</v>
      </c>
    </row>
    <row r="59" ht="17.6" spans="1:11">
      <c r="A59" s="11">
        <v>4.29</v>
      </c>
      <c r="B59" s="15">
        <v>2</v>
      </c>
      <c r="C59" s="16">
        <v>1</v>
      </c>
      <c r="D59" s="13">
        <f t="shared" si="6"/>
        <v>8.58</v>
      </c>
      <c r="E59" s="29" t="s">
        <v>74</v>
      </c>
      <c r="F59" s="34"/>
      <c r="G59" s="11">
        <v>8.81</v>
      </c>
      <c r="H59" s="12"/>
      <c r="I59" s="16">
        <v>1</v>
      </c>
      <c r="J59" s="43">
        <f t="shared" si="7"/>
        <v>0</v>
      </c>
      <c r="K59" s="29" t="s">
        <v>75</v>
      </c>
    </row>
    <row r="60" ht="17.6" spans="1:11">
      <c r="A60" s="11">
        <v>3.82</v>
      </c>
      <c r="B60" s="15">
        <v>5</v>
      </c>
      <c r="C60" s="16">
        <v>2</v>
      </c>
      <c r="D60" s="13">
        <f t="shared" si="6"/>
        <v>19.1</v>
      </c>
      <c r="E60" s="29" t="s">
        <v>76</v>
      </c>
      <c r="F60" s="34"/>
      <c r="G60" s="11">
        <v>21.7</v>
      </c>
      <c r="H60" s="12"/>
      <c r="I60" s="16">
        <v>2</v>
      </c>
      <c r="J60" s="43">
        <f t="shared" si="7"/>
        <v>0</v>
      </c>
      <c r="K60" s="29" t="s">
        <v>77</v>
      </c>
    </row>
    <row r="61" ht="17.6" spans="1:11">
      <c r="A61" s="11">
        <v>4.33</v>
      </c>
      <c r="B61" s="12"/>
      <c r="C61" s="14">
        <v>3</v>
      </c>
      <c r="D61" s="13">
        <f t="shared" si="6"/>
        <v>0</v>
      </c>
      <c r="E61" s="29" t="s">
        <v>78</v>
      </c>
      <c r="F61" s="34"/>
      <c r="G61" s="11">
        <v>4.35</v>
      </c>
      <c r="H61" s="12"/>
      <c r="I61" s="14">
        <v>3</v>
      </c>
      <c r="J61" s="43">
        <f t="shared" si="7"/>
        <v>0</v>
      </c>
      <c r="K61" s="29" t="s">
        <v>79</v>
      </c>
    </row>
    <row r="62" ht="17.6" spans="1:11">
      <c r="A62" s="11">
        <v>4.05</v>
      </c>
      <c r="B62" s="12"/>
      <c r="C62" s="14">
        <v>4</v>
      </c>
      <c r="D62" s="13">
        <f t="shared" si="6"/>
        <v>0</v>
      </c>
      <c r="E62" s="29" t="s">
        <v>80</v>
      </c>
      <c r="F62" s="34"/>
      <c r="G62" s="11">
        <v>1.45</v>
      </c>
      <c r="H62" s="12"/>
      <c r="I62" s="14">
        <v>4</v>
      </c>
      <c r="J62" s="43">
        <f t="shared" si="7"/>
        <v>0</v>
      </c>
      <c r="K62" s="29" t="s">
        <v>81</v>
      </c>
    </row>
    <row r="63" ht="17.6" spans="1:11">
      <c r="A63" s="11">
        <v>5.91</v>
      </c>
      <c r="B63" s="12"/>
      <c r="C63" s="14">
        <v>1</v>
      </c>
      <c r="D63" s="13">
        <f t="shared" si="6"/>
        <v>0</v>
      </c>
      <c r="E63" s="29" t="s">
        <v>82</v>
      </c>
      <c r="F63" s="34"/>
      <c r="G63" s="11">
        <v>0.37</v>
      </c>
      <c r="H63" s="15">
        <v>12</v>
      </c>
      <c r="I63" s="14">
        <v>1</v>
      </c>
      <c r="J63" s="43">
        <f t="shared" si="7"/>
        <v>4.44</v>
      </c>
      <c r="K63" s="29" t="s">
        <v>83</v>
      </c>
    </row>
    <row r="64" ht="17.6" spans="1:11">
      <c r="A64" s="11">
        <v>9.84</v>
      </c>
      <c r="B64" s="12"/>
      <c r="C64" s="14">
        <v>2</v>
      </c>
      <c r="D64" s="13">
        <f t="shared" si="6"/>
        <v>0</v>
      </c>
      <c r="E64" s="29" t="s">
        <v>84</v>
      </c>
      <c r="F64" s="34"/>
      <c r="G64" s="11">
        <v>1.04</v>
      </c>
      <c r="H64" s="15">
        <v>12</v>
      </c>
      <c r="I64" s="14">
        <v>2</v>
      </c>
      <c r="J64" s="43">
        <f t="shared" si="7"/>
        <v>12.48</v>
      </c>
      <c r="K64" s="29" t="s">
        <v>85</v>
      </c>
    </row>
    <row r="65" ht="17.6" spans="1:11">
      <c r="A65" s="11">
        <v>10.5</v>
      </c>
      <c r="B65" s="12"/>
      <c r="C65" s="14">
        <v>3</v>
      </c>
      <c r="D65" s="13">
        <f t="shared" si="6"/>
        <v>0</v>
      </c>
      <c r="E65" s="29" t="s">
        <v>86</v>
      </c>
      <c r="F65" s="34"/>
      <c r="G65" s="11">
        <v>0.3</v>
      </c>
      <c r="H65" s="15">
        <v>50</v>
      </c>
      <c r="I65" s="14">
        <v>3</v>
      </c>
      <c r="J65" s="43">
        <f t="shared" si="7"/>
        <v>15</v>
      </c>
      <c r="K65" s="29" t="s">
        <v>87</v>
      </c>
    </row>
    <row r="66" ht="17.6" spans="1:11">
      <c r="A66" s="11">
        <v>14.26</v>
      </c>
      <c r="B66" s="12"/>
      <c r="C66" s="14">
        <v>4</v>
      </c>
      <c r="D66" s="13">
        <f t="shared" si="6"/>
        <v>0</v>
      </c>
      <c r="E66" s="29" t="s">
        <v>88</v>
      </c>
      <c r="F66" s="34"/>
      <c r="G66" s="11">
        <v>22.1</v>
      </c>
      <c r="H66" s="12"/>
      <c r="I66" s="14">
        <v>4</v>
      </c>
      <c r="J66" s="43">
        <f t="shared" si="7"/>
        <v>0</v>
      </c>
      <c r="K66" s="29" t="s">
        <v>89</v>
      </c>
    </row>
    <row r="67" ht="17.6" spans="1:11">
      <c r="A67" s="11">
        <v>22.48</v>
      </c>
      <c r="B67" s="12"/>
      <c r="C67" s="14">
        <v>1</v>
      </c>
      <c r="D67" s="13">
        <f t="shared" si="6"/>
        <v>0</v>
      </c>
      <c r="E67" s="29" t="s">
        <v>90</v>
      </c>
      <c r="F67" s="34"/>
      <c r="G67" s="11">
        <v>5.5</v>
      </c>
      <c r="H67" s="15">
        <v>2</v>
      </c>
      <c r="I67" s="14">
        <v>1</v>
      </c>
      <c r="J67" s="43">
        <f t="shared" si="7"/>
        <v>11</v>
      </c>
      <c r="K67" s="29" t="s">
        <v>91</v>
      </c>
    </row>
    <row r="68" ht="17.6" spans="1:11">
      <c r="A68" s="11">
        <v>20.67</v>
      </c>
      <c r="B68" s="12"/>
      <c r="C68" s="14">
        <v>2</v>
      </c>
      <c r="D68" s="13">
        <f t="shared" si="6"/>
        <v>0</v>
      </c>
      <c r="E68" s="29" t="s">
        <v>92</v>
      </c>
      <c r="F68" s="34"/>
      <c r="G68" s="11">
        <v>9.84</v>
      </c>
      <c r="H68" s="12"/>
      <c r="I68" s="14">
        <v>2</v>
      </c>
      <c r="J68" s="43">
        <f t="shared" si="7"/>
        <v>0</v>
      </c>
      <c r="K68" s="29" t="s">
        <v>93</v>
      </c>
    </row>
    <row r="69" ht="17.6" spans="1:11">
      <c r="A69" s="11">
        <v>11.02</v>
      </c>
      <c r="B69" s="12"/>
      <c r="C69" s="14">
        <v>3</v>
      </c>
      <c r="D69" s="13">
        <f t="shared" si="6"/>
        <v>0</v>
      </c>
      <c r="E69" s="29" t="s">
        <v>94</v>
      </c>
      <c r="F69" s="34"/>
      <c r="G69" s="11">
        <v>350</v>
      </c>
      <c r="H69" s="12"/>
      <c r="I69" s="14">
        <v>3</v>
      </c>
      <c r="J69" s="43">
        <f t="shared" si="7"/>
        <v>0</v>
      </c>
      <c r="K69" s="32" t="s">
        <v>95</v>
      </c>
    </row>
    <row r="70" ht="17.6" spans="1:11">
      <c r="A70" s="11">
        <v>1.2</v>
      </c>
      <c r="B70" s="15">
        <v>30</v>
      </c>
      <c r="C70" s="16">
        <v>4</v>
      </c>
      <c r="D70" s="13">
        <f t="shared" si="6"/>
        <v>36</v>
      </c>
      <c r="E70" s="29" t="s">
        <v>96</v>
      </c>
      <c r="F70" s="34"/>
      <c r="G70" s="11">
        <v>4.28</v>
      </c>
      <c r="H70" s="12"/>
      <c r="I70" s="16">
        <v>4</v>
      </c>
      <c r="J70" s="43">
        <f t="shared" si="7"/>
        <v>0</v>
      </c>
      <c r="K70" s="29" t="s">
        <v>97</v>
      </c>
    </row>
    <row r="71" ht="17.6" spans="1:11">
      <c r="A71" s="11">
        <v>45.91</v>
      </c>
      <c r="B71" s="12"/>
      <c r="C71" s="14">
        <v>1</v>
      </c>
      <c r="D71" s="13">
        <f t="shared" si="6"/>
        <v>0</v>
      </c>
      <c r="E71" s="29" t="s">
        <v>98</v>
      </c>
      <c r="F71" s="34"/>
      <c r="G71" s="11">
        <v>0.92</v>
      </c>
      <c r="H71" s="15">
        <v>48</v>
      </c>
      <c r="I71" s="14">
        <v>1</v>
      </c>
      <c r="J71" s="43">
        <f t="shared" si="7"/>
        <v>44.16</v>
      </c>
      <c r="K71" s="29" t="s">
        <v>99</v>
      </c>
    </row>
    <row r="72" ht="17.6" spans="1:11">
      <c r="A72" s="11">
        <v>12.25</v>
      </c>
      <c r="B72" s="12"/>
      <c r="C72" s="14">
        <v>2</v>
      </c>
      <c r="D72" s="13">
        <f t="shared" si="6"/>
        <v>0</v>
      </c>
      <c r="E72" s="29" t="s">
        <v>100</v>
      </c>
      <c r="F72" s="34"/>
      <c r="G72" s="11">
        <v>3.54</v>
      </c>
      <c r="H72" s="12"/>
      <c r="I72" s="14">
        <v>2</v>
      </c>
      <c r="J72" s="43">
        <f t="shared" si="7"/>
        <v>0</v>
      </c>
      <c r="K72" s="32" t="s">
        <v>101</v>
      </c>
    </row>
    <row r="73" ht="53" spans="1:11">
      <c r="A73" s="11">
        <v>8.51</v>
      </c>
      <c r="B73" s="12"/>
      <c r="C73" s="14">
        <v>3</v>
      </c>
      <c r="D73" s="13">
        <f t="shared" si="6"/>
        <v>0</v>
      </c>
      <c r="E73" s="29" t="s">
        <v>102</v>
      </c>
      <c r="F73" s="34"/>
      <c r="G73" s="11">
        <v>12.1</v>
      </c>
      <c r="H73" s="12"/>
      <c r="I73" s="14">
        <v>3</v>
      </c>
      <c r="J73" s="43">
        <f t="shared" si="7"/>
        <v>0</v>
      </c>
      <c r="K73" s="59" t="s">
        <v>103</v>
      </c>
    </row>
    <row r="74" ht="53" spans="1:11">
      <c r="A74" s="11">
        <v>51.33</v>
      </c>
      <c r="B74" s="12"/>
      <c r="C74" s="14">
        <v>4</v>
      </c>
      <c r="D74" s="13">
        <f t="shared" si="6"/>
        <v>0</v>
      </c>
      <c r="E74" s="29" t="s">
        <v>104</v>
      </c>
      <c r="F74" s="34"/>
      <c r="G74" s="11">
        <v>20.6</v>
      </c>
      <c r="H74" s="12"/>
      <c r="I74" s="14">
        <v>4</v>
      </c>
      <c r="J74" s="43">
        <f t="shared" si="7"/>
        <v>0</v>
      </c>
      <c r="K74" s="59" t="s">
        <v>105</v>
      </c>
    </row>
    <row r="75" ht="71" spans="1:11">
      <c r="A75" s="11">
        <v>70.9</v>
      </c>
      <c r="B75" s="12"/>
      <c r="C75" s="14">
        <v>1</v>
      </c>
      <c r="D75" s="13">
        <f t="shared" si="6"/>
        <v>0</v>
      </c>
      <c r="E75" s="29" t="s">
        <v>106</v>
      </c>
      <c r="F75" s="34"/>
      <c r="G75" s="11">
        <v>9.84</v>
      </c>
      <c r="H75" s="12"/>
      <c r="I75" s="14">
        <v>1</v>
      </c>
      <c r="J75" s="43">
        <f t="shared" si="7"/>
        <v>0</v>
      </c>
      <c r="K75" s="59" t="s">
        <v>107</v>
      </c>
    </row>
    <row r="76" ht="71" spans="1:11">
      <c r="A76" s="11">
        <v>44.8</v>
      </c>
      <c r="B76" s="12"/>
      <c r="C76" s="14">
        <v>2</v>
      </c>
      <c r="D76" s="13">
        <f t="shared" si="6"/>
        <v>0</v>
      </c>
      <c r="E76" s="29" t="s">
        <v>108</v>
      </c>
      <c r="F76" s="34"/>
      <c r="G76" s="11">
        <v>3.98</v>
      </c>
      <c r="H76" s="12"/>
      <c r="I76" s="14">
        <v>2</v>
      </c>
      <c r="J76" s="43">
        <f t="shared" si="7"/>
        <v>0</v>
      </c>
      <c r="K76" s="59" t="s">
        <v>109</v>
      </c>
    </row>
    <row r="77" ht="17.6" spans="1:11">
      <c r="A77" s="11">
        <v>6.94</v>
      </c>
      <c r="B77" s="12"/>
      <c r="C77" s="14">
        <v>3</v>
      </c>
      <c r="D77" s="13">
        <f t="shared" si="6"/>
        <v>0</v>
      </c>
      <c r="E77" s="29" t="s">
        <v>110</v>
      </c>
      <c r="F77" s="34"/>
      <c r="G77" s="11">
        <v>7.59</v>
      </c>
      <c r="H77" s="15">
        <v>4</v>
      </c>
      <c r="I77" s="14">
        <v>3</v>
      </c>
      <c r="J77" s="43">
        <f t="shared" si="7"/>
        <v>30.36</v>
      </c>
      <c r="K77" s="29" t="s">
        <v>111</v>
      </c>
    </row>
    <row r="78" ht="17.6" spans="1:11">
      <c r="A78" s="11">
        <v>27.64</v>
      </c>
      <c r="B78" s="12"/>
      <c r="C78" s="14">
        <v>4</v>
      </c>
      <c r="D78" s="13">
        <f t="shared" si="6"/>
        <v>0</v>
      </c>
      <c r="E78" s="29" t="s">
        <v>112</v>
      </c>
      <c r="F78" s="34"/>
      <c r="G78" s="11">
        <v>63.95</v>
      </c>
      <c r="H78" s="15">
        <v>2</v>
      </c>
      <c r="I78" s="14">
        <v>4</v>
      </c>
      <c r="J78" s="43">
        <f t="shared" si="7"/>
        <v>127.9</v>
      </c>
      <c r="K78" s="29" t="s">
        <v>113</v>
      </c>
    </row>
    <row r="79" ht="17.6" spans="1:11">
      <c r="A79" s="11">
        <v>6.25</v>
      </c>
      <c r="B79" s="12"/>
      <c r="C79" s="14">
        <v>1</v>
      </c>
      <c r="D79" s="13">
        <f t="shared" si="6"/>
        <v>0</v>
      </c>
      <c r="E79" s="29" t="s">
        <v>114</v>
      </c>
      <c r="F79" s="34"/>
      <c r="G79" s="11">
        <v>678.65</v>
      </c>
      <c r="H79" s="12"/>
      <c r="I79" s="14">
        <v>1</v>
      </c>
      <c r="J79" s="43">
        <f t="shared" si="7"/>
        <v>0</v>
      </c>
      <c r="K79" s="29" t="s">
        <v>115</v>
      </c>
    </row>
    <row r="80" ht="17.6" spans="1:11">
      <c r="A80" s="11">
        <v>45.77</v>
      </c>
      <c r="B80" s="12"/>
      <c r="C80" s="14">
        <v>2</v>
      </c>
      <c r="D80" s="13">
        <f t="shared" si="6"/>
        <v>0</v>
      </c>
      <c r="E80" s="29" t="s">
        <v>116</v>
      </c>
      <c r="F80" s="34"/>
      <c r="G80" s="11">
        <v>26.81</v>
      </c>
      <c r="H80" s="12"/>
      <c r="I80" s="14">
        <v>2</v>
      </c>
      <c r="J80" s="43">
        <f t="shared" si="7"/>
        <v>0</v>
      </c>
      <c r="K80" s="29" t="s">
        <v>117</v>
      </c>
    </row>
    <row r="81" ht="17.6" spans="1:11">
      <c r="A81" s="11">
        <v>11.35</v>
      </c>
      <c r="B81" s="12"/>
      <c r="C81" s="14">
        <v>3</v>
      </c>
      <c r="D81" s="13">
        <f t="shared" si="6"/>
        <v>0</v>
      </c>
      <c r="E81" s="29" t="s">
        <v>118</v>
      </c>
      <c r="F81" s="34"/>
      <c r="G81" s="11">
        <v>70.27</v>
      </c>
      <c r="H81" s="12"/>
      <c r="I81" s="14">
        <v>3</v>
      </c>
      <c r="J81" s="43">
        <f t="shared" si="7"/>
        <v>0</v>
      </c>
      <c r="K81" s="29" t="s">
        <v>119</v>
      </c>
    </row>
    <row r="82" ht="17.6" spans="1:11">
      <c r="A82" s="11">
        <v>16.46</v>
      </c>
      <c r="B82" s="12"/>
      <c r="C82" s="14">
        <v>4</v>
      </c>
      <c r="D82" s="13">
        <f t="shared" si="6"/>
        <v>0</v>
      </c>
      <c r="E82" s="29" t="s">
        <v>120</v>
      </c>
      <c r="F82" s="34"/>
      <c r="G82" s="11">
        <v>199.74</v>
      </c>
      <c r="H82" s="12"/>
      <c r="I82" s="14">
        <v>4</v>
      </c>
      <c r="J82" s="43">
        <f t="shared" si="7"/>
        <v>0</v>
      </c>
      <c r="K82" s="29" t="s">
        <v>121</v>
      </c>
    </row>
    <row r="83" ht="17.6" spans="1:11">
      <c r="A83" s="11">
        <v>182.65</v>
      </c>
      <c r="B83" s="12"/>
      <c r="C83" s="14">
        <v>1</v>
      </c>
      <c r="D83" s="13">
        <f t="shared" si="6"/>
        <v>0</v>
      </c>
      <c r="E83" s="29" t="s">
        <v>122</v>
      </c>
      <c r="F83" s="34"/>
      <c r="G83" s="11">
        <v>225</v>
      </c>
      <c r="H83" s="12"/>
      <c r="I83" s="14">
        <v>1</v>
      </c>
      <c r="J83" s="43">
        <f t="shared" si="7"/>
        <v>0</v>
      </c>
      <c r="K83" s="29" t="s">
        <v>123</v>
      </c>
    </row>
    <row r="84" ht="17.6" spans="1:11">
      <c r="A84" s="11">
        <v>6.1</v>
      </c>
      <c r="B84" s="44">
        <v>10</v>
      </c>
      <c r="C84" s="16">
        <v>2</v>
      </c>
      <c r="D84" s="13">
        <f t="shared" si="6"/>
        <v>61</v>
      </c>
      <c r="E84" s="53" t="s">
        <v>124</v>
      </c>
      <c r="F84" s="34"/>
      <c r="G84" s="11">
        <v>546</v>
      </c>
      <c r="H84" s="12"/>
      <c r="I84" s="16">
        <v>2</v>
      </c>
      <c r="J84" s="43">
        <f t="shared" si="7"/>
        <v>0</v>
      </c>
      <c r="K84" s="29" t="s">
        <v>125</v>
      </c>
    </row>
    <row r="85" ht="17.6" spans="1:11">
      <c r="A85" s="11">
        <v>7.24</v>
      </c>
      <c r="B85" s="12"/>
      <c r="C85" s="14">
        <v>3</v>
      </c>
      <c r="D85" s="13">
        <f t="shared" si="6"/>
        <v>0</v>
      </c>
      <c r="E85" s="29" t="s">
        <v>126</v>
      </c>
      <c r="F85" s="34"/>
      <c r="G85" s="11">
        <v>6.56</v>
      </c>
      <c r="H85" s="12"/>
      <c r="I85" s="14">
        <v>3</v>
      </c>
      <c r="J85" s="43">
        <f t="shared" si="7"/>
        <v>0</v>
      </c>
      <c r="K85" s="29" t="s">
        <v>127</v>
      </c>
    </row>
    <row r="86" ht="17.6" spans="1:11">
      <c r="A86" s="11">
        <v>32</v>
      </c>
      <c r="B86" s="15">
        <v>4</v>
      </c>
      <c r="C86" s="16">
        <v>4</v>
      </c>
      <c r="D86" s="13">
        <f t="shared" si="6"/>
        <v>128</v>
      </c>
      <c r="E86" s="42" t="s">
        <v>128</v>
      </c>
      <c r="F86" s="34"/>
      <c r="G86" s="11">
        <v>11.36</v>
      </c>
      <c r="H86" s="12"/>
      <c r="I86" s="16">
        <v>4</v>
      </c>
      <c r="J86" s="43">
        <f t="shared" si="7"/>
        <v>0</v>
      </c>
      <c r="K86" s="29" t="s">
        <v>129</v>
      </c>
    </row>
    <row r="87" ht="17.6" spans="1:11">
      <c r="A87" s="11">
        <v>5.85</v>
      </c>
      <c r="B87" s="12"/>
      <c r="C87" s="14">
        <v>1</v>
      </c>
      <c r="D87" s="13">
        <f t="shared" si="6"/>
        <v>0</v>
      </c>
      <c r="E87" s="29" t="s">
        <v>130</v>
      </c>
      <c r="F87" s="34"/>
      <c r="G87" s="11">
        <v>22.98</v>
      </c>
      <c r="H87" s="12"/>
      <c r="I87" s="14">
        <v>1</v>
      </c>
      <c r="J87" s="43">
        <f t="shared" si="7"/>
        <v>0</v>
      </c>
      <c r="K87" s="29" t="s">
        <v>131</v>
      </c>
    </row>
    <row r="88" ht="17.6" spans="1:11">
      <c r="A88" s="11">
        <v>24.14</v>
      </c>
      <c r="B88" s="12"/>
      <c r="C88" s="14">
        <v>2</v>
      </c>
      <c r="D88" s="13">
        <f t="shared" si="6"/>
        <v>0</v>
      </c>
      <c r="E88" s="29" t="s">
        <v>132</v>
      </c>
      <c r="F88" s="34"/>
      <c r="G88" s="11">
        <v>34.24</v>
      </c>
      <c r="H88" s="12"/>
      <c r="I88" s="14">
        <v>2</v>
      </c>
      <c r="J88" s="43">
        <f t="shared" si="7"/>
        <v>0</v>
      </c>
      <c r="K88" s="29" t="s">
        <v>133</v>
      </c>
    </row>
    <row r="89" ht="17.6" spans="1:11">
      <c r="A89" s="11">
        <v>9</v>
      </c>
      <c r="B89" s="15">
        <v>1</v>
      </c>
      <c r="C89" s="16">
        <v>3</v>
      </c>
      <c r="D89" s="13">
        <f t="shared" si="6"/>
        <v>9</v>
      </c>
      <c r="E89" s="29" t="s">
        <v>134</v>
      </c>
      <c r="F89" s="34"/>
      <c r="G89" s="11">
        <v>36.89</v>
      </c>
      <c r="H89" s="12"/>
      <c r="I89" s="16">
        <v>3</v>
      </c>
      <c r="J89" s="43">
        <f t="shared" si="7"/>
        <v>0</v>
      </c>
      <c r="K89" s="29" t="s">
        <v>135</v>
      </c>
    </row>
    <row r="90" ht="17.6" spans="1:11">
      <c r="A90" s="11">
        <v>5.23</v>
      </c>
      <c r="B90" s="12"/>
      <c r="C90" s="14">
        <v>4</v>
      </c>
      <c r="D90" s="13">
        <f t="shared" si="6"/>
        <v>0</v>
      </c>
      <c r="E90" s="29" t="s">
        <v>136</v>
      </c>
      <c r="F90" s="34"/>
      <c r="G90" s="11">
        <v>4.32</v>
      </c>
      <c r="H90" s="12"/>
      <c r="I90" s="14">
        <v>4</v>
      </c>
      <c r="J90" s="43">
        <f t="shared" si="7"/>
        <v>0</v>
      </c>
      <c r="K90" s="29" t="s">
        <v>137</v>
      </c>
    </row>
    <row r="91" ht="17.6" spans="1:11">
      <c r="A91" s="11">
        <v>5.45</v>
      </c>
      <c r="B91" s="12"/>
      <c r="C91" s="14">
        <v>1</v>
      </c>
      <c r="D91" s="13">
        <f t="shared" si="6"/>
        <v>0</v>
      </c>
      <c r="E91" s="29" t="s">
        <v>138</v>
      </c>
      <c r="F91" s="34"/>
      <c r="G91" s="11">
        <v>12.21</v>
      </c>
      <c r="H91" s="15">
        <v>1</v>
      </c>
      <c r="I91" s="14">
        <v>1</v>
      </c>
      <c r="J91" s="43">
        <f t="shared" si="7"/>
        <v>12.21</v>
      </c>
      <c r="K91" s="29" t="s">
        <v>139</v>
      </c>
    </row>
    <row r="92" ht="17.6" spans="1:11">
      <c r="A92" s="11">
        <v>14.4</v>
      </c>
      <c r="B92" s="12"/>
      <c r="C92" s="14">
        <v>2</v>
      </c>
      <c r="D92" s="13">
        <f t="shared" si="6"/>
        <v>0</v>
      </c>
      <c r="E92" s="29" t="s">
        <v>140</v>
      </c>
      <c r="F92" s="34"/>
      <c r="G92" s="11">
        <v>3.96</v>
      </c>
      <c r="H92" s="12"/>
      <c r="I92" s="14">
        <v>2</v>
      </c>
      <c r="J92" s="43">
        <f t="shared" si="7"/>
        <v>0</v>
      </c>
      <c r="K92" s="29" t="s">
        <v>141</v>
      </c>
    </row>
    <row r="93" ht="17.6" spans="1:11">
      <c r="A93" s="11">
        <v>51.1</v>
      </c>
      <c r="B93" s="12"/>
      <c r="C93" s="14">
        <v>3</v>
      </c>
      <c r="D93" s="13">
        <f t="shared" si="6"/>
        <v>0</v>
      </c>
      <c r="E93" s="29" t="s">
        <v>142</v>
      </c>
      <c r="F93" s="34"/>
      <c r="G93" s="11">
        <v>2.26</v>
      </c>
      <c r="H93" s="12"/>
      <c r="I93" s="14">
        <v>3</v>
      </c>
      <c r="J93" s="43">
        <f t="shared" si="7"/>
        <v>0</v>
      </c>
      <c r="K93" s="29" t="s">
        <v>143</v>
      </c>
    </row>
    <row r="94" ht="17.6" spans="1:11">
      <c r="A94" s="11">
        <v>26.54</v>
      </c>
      <c r="B94" s="12"/>
      <c r="C94" s="14">
        <v>4</v>
      </c>
      <c r="D94" s="13">
        <f t="shared" si="6"/>
        <v>0</v>
      </c>
      <c r="E94" s="29" t="s">
        <v>144</v>
      </c>
      <c r="F94" s="34"/>
      <c r="G94" s="11">
        <v>26.41</v>
      </c>
      <c r="H94" s="12"/>
      <c r="I94" s="14">
        <v>4</v>
      </c>
      <c r="J94" s="43">
        <f t="shared" si="7"/>
        <v>0</v>
      </c>
      <c r="K94" s="29" t="s">
        <v>145</v>
      </c>
    </row>
    <row r="95" ht="17.6" spans="1:11">
      <c r="A95" s="11">
        <v>5.15</v>
      </c>
      <c r="B95" s="12"/>
      <c r="C95" s="14">
        <v>1</v>
      </c>
      <c r="D95" s="13">
        <f t="shared" si="6"/>
        <v>0</v>
      </c>
      <c r="E95" s="29" t="s">
        <v>146</v>
      </c>
      <c r="F95" s="34"/>
      <c r="G95" s="11">
        <v>31.46</v>
      </c>
      <c r="H95" s="15">
        <v>2</v>
      </c>
      <c r="I95" s="14">
        <v>1</v>
      </c>
      <c r="J95" s="43">
        <f t="shared" si="7"/>
        <v>62.92</v>
      </c>
      <c r="K95" s="29" t="s">
        <v>147</v>
      </c>
    </row>
    <row r="96" ht="17.6" spans="1:11">
      <c r="A96" s="11">
        <v>7.5</v>
      </c>
      <c r="B96" s="15">
        <v>1</v>
      </c>
      <c r="C96" s="16">
        <v>2</v>
      </c>
      <c r="D96" s="13">
        <f t="shared" si="6"/>
        <v>7.5</v>
      </c>
      <c r="E96" s="29" t="s">
        <v>148</v>
      </c>
      <c r="F96" s="34"/>
      <c r="G96" s="11">
        <v>36.97</v>
      </c>
      <c r="H96" s="12"/>
      <c r="I96" s="16">
        <v>2</v>
      </c>
      <c r="J96" s="43">
        <f t="shared" si="7"/>
        <v>0</v>
      </c>
      <c r="K96" s="29" t="s">
        <v>149</v>
      </c>
    </row>
    <row r="97" ht="17.6" spans="1:11">
      <c r="A97" s="11">
        <v>26.47</v>
      </c>
      <c r="B97" s="12"/>
      <c r="C97" s="14">
        <v>3</v>
      </c>
      <c r="D97" s="13">
        <f t="shared" si="6"/>
        <v>0</v>
      </c>
      <c r="E97" s="29" t="s">
        <v>150</v>
      </c>
      <c r="F97" s="34"/>
      <c r="G97" s="11">
        <v>2.06</v>
      </c>
      <c r="H97" s="12"/>
      <c r="I97" s="14">
        <v>3</v>
      </c>
      <c r="J97" s="43">
        <f t="shared" si="7"/>
        <v>0</v>
      </c>
      <c r="K97" s="29" t="s">
        <v>151</v>
      </c>
    </row>
    <row r="98" ht="17.6" spans="1:11">
      <c r="A98" s="11">
        <v>11.57</v>
      </c>
      <c r="B98" s="15">
        <v>2</v>
      </c>
      <c r="C98" s="16">
        <v>4</v>
      </c>
      <c r="D98" s="13">
        <f t="shared" si="6"/>
        <v>23.14</v>
      </c>
      <c r="E98" s="32" t="s">
        <v>152</v>
      </c>
      <c r="F98" s="34"/>
      <c r="G98" s="11">
        <v>2.88</v>
      </c>
      <c r="H98" s="15">
        <v>16</v>
      </c>
      <c r="I98" s="16">
        <v>4</v>
      </c>
      <c r="J98" s="43">
        <f t="shared" si="7"/>
        <v>46.08</v>
      </c>
      <c r="K98" s="29" t="s">
        <v>153</v>
      </c>
    </row>
    <row r="99" ht="17.6" spans="1:11">
      <c r="A99" s="11">
        <v>12.67</v>
      </c>
      <c r="B99" s="12"/>
      <c r="C99" s="14">
        <v>1</v>
      </c>
      <c r="D99" s="43">
        <f t="shared" si="6"/>
        <v>0</v>
      </c>
      <c r="E99" s="29" t="s">
        <v>154</v>
      </c>
      <c r="F99" s="34"/>
      <c r="G99" s="11">
        <v>114.93</v>
      </c>
      <c r="H99" s="15">
        <v>2</v>
      </c>
      <c r="I99" s="14">
        <v>1</v>
      </c>
      <c r="J99" s="43">
        <f t="shared" si="7"/>
        <v>229.86</v>
      </c>
      <c r="K99" s="32" t="s">
        <v>155</v>
      </c>
    </row>
    <row r="100" ht="17.6" spans="1:11">
      <c r="A100" s="45"/>
      <c r="B100" s="12"/>
      <c r="C100" s="14"/>
      <c r="D100" s="43"/>
      <c r="E100" s="20"/>
      <c r="F100" s="34"/>
      <c r="G100" s="45"/>
      <c r="H100" s="12"/>
      <c r="I100" s="14"/>
      <c r="J100" s="43"/>
      <c r="K100" s="33"/>
    </row>
    <row r="101" ht="17.6" spans="1:11">
      <c r="A101" s="45"/>
      <c r="B101" s="12"/>
      <c r="C101" s="12"/>
      <c r="D101" s="13"/>
      <c r="E101" s="20"/>
      <c r="F101" s="34"/>
      <c r="G101" s="45"/>
      <c r="H101" s="12"/>
      <c r="I101" s="14"/>
      <c r="J101" s="43"/>
      <c r="K101" s="33"/>
    </row>
    <row r="102" ht="17.6" spans="1:11">
      <c r="A102" s="8" t="s">
        <v>156</v>
      </c>
      <c r="B102" s="9"/>
      <c r="C102" s="9"/>
      <c r="D102" s="9"/>
      <c r="E102" s="9"/>
      <c r="F102" s="9"/>
      <c r="G102" s="9"/>
      <c r="H102" s="9"/>
      <c r="I102" s="9"/>
      <c r="J102" s="9"/>
      <c r="K102" s="39"/>
    </row>
    <row r="103" ht="17.6" spans="1:11">
      <c r="A103" s="10" t="s">
        <v>6</v>
      </c>
      <c r="B103" s="10" t="s">
        <v>7</v>
      </c>
      <c r="C103" s="10"/>
      <c r="D103" s="10" t="s">
        <v>11</v>
      </c>
      <c r="E103" s="10" t="s">
        <v>10</v>
      </c>
      <c r="F103" s="28"/>
      <c r="G103" s="10" t="s">
        <v>6</v>
      </c>
      <c r="H103" s="10" t="s">
        <v>7</v>
      </c>
      <c r="I103" s="10"/>
      <c r="J103" s="10" t="s">
        <v>11</v>
      </c>
      <c r="K103" s="10" t="s">
        <v>10</v>
      </c>
    </row>
    <row r="104" ht="17.6" spans="1:11">
      <c r="A104" s="11">
        <v>1789.67</v>
      </c>
      <c r="B104" s="12"/>
      <c r="C104" s="14">
        <v>2</v>
      </c>
      <c r="D104" s="46">
        <f t="shared" ref="D104:D116" si="8">B104*A104</f>
        <v>0</v>
      </c>
      <c r="E104" s="54" t="s">
        <v>157</v>
      </c>
      <c r="F104" s="28"/>
      <c r="G104" s="11">
        <v>32.9</v>
      </c>
      <c r="H104" s="12"/>
      <c r="I104" s="14">
        <v>2</v>
      </c>
      <c r="J104" s="46">
        <f t="shared" ref="J104:J106" si="9">H104*G104</f>
        <v>0</v>
      </c>
      <c r="K104" s="54" t="s">
        <v>158</v>
      </c>
    </row>
    <row r="105" ht="17.6" spans="1:11">
      <c r="A105" s="11">
        <v>1689</v>
      </c>
      <c r="B105" s="15">
        <v>1</v>
      </c>
      <c r="C105" s="16">
        <v>3</v>
      </c>
      <c r="D105" s="46">
        <f t="shared" si="8"/>
        <v>1689</v>
      </c>
      <c r="E105" s="29" t="s">
        <v>159</v>
      </c>
      <c r="F105" s="28"/>
      <c r="G105" s="11">
        <v>6.34</v>
      </c>
      <c r="H105" s="12"/>
      <c r="I105" s="16">
        <v>3</v>
      </c>
      <c r="J105" s="46">
        <f t="shared" si="9"/>
        <v>0</v>
      </c>
      <c r="K105" s="54" t="s">
        <v>160</v>
      </c>
    </row>
    <row r="106" ht="17.6" spans="1:11">
      <c r="A106" s="47"/>
      <c r="B106" s="48"/>
      <c r="C106" s="49"/>
      <c r="D106" s="46"/>
      <c r="E106" s="55"/>
      <c r="F106" s="56"/>
      <c r="G106" s="11">
        <v>12.76</v>
      </c>
      <c r="H106" s="12"/>
      <c r="I106" s="12"/>
      <c r="J106" s="46">
        <f t="shared" si="9"/>
        <v>0</v>
      </c>
      <c r="K106" s="60" t="s">
        <v>161</v>
      </c>
    </row>
    <row r="107" ht="17.6" spans="1:11">
      <c r="A107" s="50" t="s">
        <v>162</v>
      </c>
      <c r="B107" s="51"/>
      <c r="C107" s="51"/>
      <c r="D107" s="9"/>
      <c r="E107" s="51"/>
      <c r="F107" s="51"/>
      <c r="G107" s="9"/>
      <c r="H107" s="9"/>
      <c r="I107" s="9"/>
      <c r="J107" s="9"/>
      <c r="K107" s="61"/>
    </row>
    <row r="108" ht="17.6" spans="1:11">
      <c r="A108" s="10" t="s">
        <v>6</v>
      </c>
      <c r="B108" s="10" t="s">
        <v>7</v>
      </c>
      <c r="C108" s="10"/>
      <c r="D108" s="10" t="s">
        <v>9</v>
      </c>
      <c r="E108" s="10" t="s">
        <v>10</v>
      </c>
      <c r="F108" s="28"/>
      <c r="G108" s="10" t="s">
        <v>6</v>
      </c>
      <c r="H108" s="10" t="s">
        <v>7</v>
      </c>
      <c r="I108" s="10"/>
      <c r="J108" s="10" t="s">
        <v>9</v>
      </c>
      <c r="K108" s="10" t="s">
        <v>10</v>
      </c>
    </row>
    <row r="109" ht="17.6" spans="1:11">
      <c r="A109" s="11">
        <v>300.45</v>
      </c>
      <c r="B109" s="12"/>
      <c r="C109" s="14">
        <v>4</v>
      </c>
      <c r="D109" s="43">
        <f t="shared" si="8"/>
        <v>0</v>
      </c>
      <c r="E109" s="32" t="s">
        <v>163</v>
      </c>
      <c r="F109" s="34"/>
      <c r="G109" s="11">
        <v>470.67</v>
      </c>
      <c r="H109" s="15">
        <v>2</v>
      </c>
      <c r="I109" s="14">
        <v>4</v>
      </c>
      <c r="J109" s="43">
        <f t="shared" ref="J109:J116" si="10">H109*G109</f>
        <v>941.34</v>
      </c>
      <c r="K109" s="32" t="s">
        <v>164</v>
      </c>
    </row>
    <row r="110" ht="17.6" spans="1:11">
      <c r="A110" s="11">
        <v>606.21</v>
      </c>
      <c r="B110" s="12"/>
      <c r="C110" s="14">
        <v>1</v>
      </c>
      <c r="D110" s="43">
        <f t="shared" si="8"/>
        <v>0</v>
      </c>
      <c r="E110" s="32" t="s">
        <v>165</v>
      </c>
      <c r="F110" s="34"/>
      <c r="G110" s="11">
        <v>1.75</v>
      </c>
      <c r="H110" s="15">
        <v>4</v>
      </c>
      <c r="I110" s="14">
        <v>1</v>
      </c>
      <c r="J110" s="43">
        <f t="shared" si="10"/>
        <v>7</v>
      </c>
      <c r="K110" s="32" t="s">
        <v>166</v>
      </c>
    </row>
    <row r="111" ht="17.6" spans="1:11">
      <c r="A111" s="11">
        <v>775.69</v>
      </c>
      <c r="B111" s="12"/>
      <c r="C111" s="14">
        <v>2</v>
      </c>
      <c r="D111" s="43">
        <f t="shared" si="8"/>
        <v>0</v>
      </c>
      <c r="E111" s="32" t="s">
        <v>167</v>
      </c>
      <c r="F111" s="34"/>
      <c r="G111" s="11">
        <v>16.91</v>
      </c>
      <c r="H111" s="12"/>
      <c r="I111" s="14">
        <v>2</v>
      </c>
      <c r="J111" s="43">
        <f t="shared" si="10"/>
        <v>0</v>
      </c>
      <c r="K111" s="32" t="s">
        <v>168</v>
      </c>
    </row>
    <row r="112" ht="17.6" spans="1:11">
      <c r="A112" s="11">
        <v>175</v>
      </c>
      <c r="B112" s="12"/>
      <c r="C112" s="14">
        <v>3</v>
      </c>
      <c r="D112" s="43">
        <f t="shared" si="8"/>
        <v>0</v>
      </c>
      <c r="E112" s="32" t="s">
        <v>169</v>
      </c>
      <c r="F112" s="34"/>
      <c r="G112" s="11">
        <v>16.23</v>
      </c>
      <c r="H112" s="15">
        <v>2</v>
      </c>
      <c r="I112" s="14">
        <v>3</v>
      </c>
      <c r="J112" s="43">
        <f t="shared" si="10"/>
        <v>32.46</v>
      </c>
      <c r="K112" s="32" t="s">
        <v>170</v>
      </c>
    </row>
    <row r="113" ht="17.6" spans="1:11">
      <c r="A113" s="11">
        <v>249.38</v>
      </c>
      <c r="B113" s="12"/>
      <c r="C113" s="14">
        <v>4</v>
      </c>
      <c r="D113" s="43">
        <f t="shared" si="8"/>
        <v>0</v>
      </c>
      <c r="E113" s="32" t="s">
        <v>171</v>
      </c>
      <c r="F113" s="34"/>
      <c r="G113" s="11">
        <v>55.86</v>
      </c>
      <c r="H113" s="15">
        <v>3</v>
      </c>
      <c r="I113" s="14">
        <v>4</v>
      </c>
      <c r="J113" s="43">
        <f t="shared" si="10"/>
        <v>167.58</v>
      </c>
      <c r="K113" s="32" t="s">
        <v>172</v>
      </c>
    </row>
    <row r="114" ht="17.6" spans="1:11">
      <c r="A114" s="11">
        <v>152</v>
      </c>
      <c r="B114" s="15">
        <v>2</v>
      </c>
      <c r="C114" s="16">
        <v>1</v>
      </c>
      <c r="D114" s="43">
        <f t="shared" si="8"/>
        <v>304</v>
      </c>
      <c r="E114" s="32" t="s">
        <v>173</v>
      </c>
      <c r="F114" s="34"/>
      <c r="G114" s="11">
        <v>85.75</v>
      </c>
      <c r="H114" s="12"/>
      <c r="I114" s="16">
        <v>1</v>
      </c>
      <c r="J114" s="43">
        <f t="shared" si="10"/>
        <v>0</v>
      </c>
      <c r="K114" s="32" t="s">
        <v>174</v>
      </c>
    </row>
    <row r="115" ht="17.6" spans="1:11">
      <c r="A115" s="11">
        <v>183.75</v>
      </c>
      <c r="B115" s="12"/>
      <c r="C115" s="14">
        <v>2</v>
      </c>
      <c r="D115" s="43">
        <f t="shared" si="8"/>
        <v>0</v>
      </c>
      <c r="E115" s="32" t="s">
        <v>175</v>
      </c>
      <c r="F115" s="34"/>
      <c r="G115" s="11">
        <v>10.92</v>
      </c>
      <c r="H115" s="15">
        <v>2</v>
      </c>
      <c r="I115" s="14">
        <v>2</v>
      </c>
      <c r="J115" s="43">
        <f t="shared" si="10"/>
        <v>21.84</v>
      </c>
      <c r="K115" s="32" t="s">
        <v>176</v>
      </c>
    </row>
    <row r="116" ht="17.6" spans="1:11">
      <c r="A116" s="11">
        <v>1502.74</v>
      </c>
      <c r="B116" s="44">
        <v>1</v>
      </c>
      <c r="C116" s="16">
        <v>3</v>
      </c>
      <c r="D116" s="43">
        <f t="shared" si="8"/>
        <v>1502.74</v>
      </c>
      <c r="E116" s="57" t="s">
        <v>177</v>
      </c>
      <c r="F116" s="34"/>
      <c r="G116" s="11">
        <v>9.58</v>
      </c>
      <c r="H116" s="12"/>
      <c r="I116" s="16">
        <v>3</v>
      </c>
      <c r="J116" s="43">
        <f t="shared" si="10"/>
        <v>0</v>
      </c>
      <c r="K116" s="32" t="s">
        <v>178</v>
      </c>
    </row>
    <row r="117" ht="17.6" spans="1:11">
      <c r="A117" s="8" t="s">
        <v>179</v>
      </c>
      <c r="B117" s="9"/>
      <c r="C117" s="9"/>
      <c r="D117" s="9"/>
      <c r="E117" s="9"/>
      <c r="F117" s="9"/>
      <c r="G117" s="9"/>
      <c r="H117" s="9"/>
      <c r="I117" s="9"/>
      <c r="J117" s="9"/>
      <c r="K117" s="39"/>
    </row>
    <row r="118" ht="17.6" spans="1:11">
      <c r="A118" s="10" t="s">
        <v>6</v>
      </c>
      <c r="B118" s="10" t="s">
        <v>7</v>
      </c>
      <c r="C118" s="10"/>
      <c r="D118" s="10" t="s">
        <v>9</v>
      </c>
      <c r="E118" s="10" t="s">
        <v>10</v>
      </c>
      <c r="F118" s="28"/>
      <c r="G118" s="10" t="s">
        <v>6</v>
      </c>
      <c r="H118" s="10" t="s">
        <v>7</v>
      </c>
      <c r="I118" s="10"/>
      <c r="J118" s="10" t="s">
        <v>9</v>
      </c>
      <c r="K118" s="10" t="s">
        <v>10</v>
      </c>
    </row>
    <row r="119" ht="17.6" spans="1:11">
      <c r="A119" s="52"/>
      <c r="B119" s="15">
        <v>14</v>
      </c>
      <c r="C119" s="16">
        <v>4</v>
      </c>
      <c r="D119" s="43">
        <f t="shared" ref="D119:D124" si="11">B119*A119</f>
        <v>0</v>
      </c>
      <c r="E119" s="32" t="s">
        <v>180</v>
      </c>
      <c r="F119" s="34"/>
      <c r="G119" s="11"/>
      <c r="H119" s="58" t="s">
        <v>181</v>
      </c>
      <c r="I119" s="16">
        <v>4</v>
      </c>
      <c r="J119" s="20" t="e">
        <f t="shared" ref="J119:J124" si="12">H119*G119</f>
        <v>#VALUE!</v>
      </c>
      <c r="K119" s="32" t="s">
        <v>182</v>
      </c>
    </row>
    <row r="120" ht="17.6" spans="1:11">
      <c r="A120" s="52"/>
      <c r="B120" s="15">
        <v>14</v>
      </c>
      <c r="C120" s="16">
        <v>1</v>
      </c>
      <c r="D120" s="43">
        <f t="shared" si="11"/>
        <v>0</v>
      </c>
      <c r="E120" s="32" t="s">
        <v>183</v>
      </c>
      <c r="F120" s="34"/>
      <c r="G120" s="11"/>
      <c r="H120" s="15">
        <v>1</v>
      </c>
      <c r="I120" s="16">
        <v>1</v>
      </c>
      <c r="J120" s="43">
        <f t="shared" si="12"/>
        <v>0</v>
      </c>
      <c r="K120" s="32" t="s">
        <v>184</v>
      </c>
    </row>
    <row r="121" ht="17.6" spans="1:11">
      <c r="A121" s="52"/>
      <c r="B121" s="15">
        <v>12</v>
      </c>
      <c r="C121" s="16">
        <v>2</v>
      </c>
      <c r="D121" s="43">
        <f t="shared" si="11"/>
        <v>0</v>
      </c>
      <c r="E121" s="32" t="s">
        <v>185</v>
      </c>
      <c r="F121" s="34"/>
      <c r="G121" s="11"/>
      <c r="H121" s="12"/>
      <c r="I121" s="16">
        <v>2</v>
      </c>
      <c r="J121" s="43">
        <f t="shared" si="12"/>
        <v>0</v>
      </c>
      <c r="K121" s="33"/>
    </row>
    <row r="122" ht="17.6" spans="1:11">
      <c r="A122" s="52"/>
      <c r="B122" s="15">
        <v>14</v>
      </c>
      <c r="C122" s="16">
        <v>3</v>
      </c>
      <c r="D122" s="43">
        <f t="shared" si="11"/>
        <v>0</v>
      </c>
      <c r="E122" s="32" t="s">
        <v>186</v>
      </c>
      <c r="F122" s="34"/>
      <c r="G122" s="11"/>
      <c r="H122" s="12"/>
      <c r="I122" s="16">
        <v>3</v>
      </c>
      <c r="J122" s="43">
        <f t="shared" si="12"/>
        <v>0</v>
      </c>
      <c r="K122" s="33"/>
    </row>
    <row r="123" ht="17.6" spans="1:11">
      <c r="A123" s="52"/>
      <c r="B123" s="15">
        <v>7</v>
      </c>
      <c r="C123" s="16">
        <v>4</v>
      </c>
      <c r="D123" s="43">
        <f t="shared" si="11"/>
        <v>0</v>
      </c>
      <c r="E123" s="32" t="s">
        <v>187</v>
      </c>
      <c r="F123" s="34"/>
      <c r="G123" s="11"/>
      <c r="H123" s="12"/>
      <c r="I123" s="16">
        <v>4</v>
      </c>
      <c r="J123" s="43">
        <f t="shared" si="12"/>
        <v>0</v>
      </c>
      <c r="K123" s="33"/>
    </row>
    <row r="124" ht="17.6" spans="1:11">
      <c r="A124" s="52"/>
      <c r="B124" s="15">
        <v>14</v>
      </c>
      <c r="C124" s="16">
        <v>1</v>
      </c>
      <c r="D124" s="43">
        <f t="shared" si="11"/>
        <v>0</v>
      </c>
      <c r="E124" s="32" t="s">
        <v>188</v>
      </c>
      <c r="F124" s="34"/>
      <c r="G124" s="11"/>
      <c r="H124" s="12"/>
      <c r="I124" s="16">
        <v>1</v>
      </c>
      <c r="J124" s="43">
        <f t="shared" si="12"/>
        <v>0</v>
      </c>
      <c r="K124" s="33"/>
    </row>
    <row r="125" ht="17.6" spans="1:11">
      <c r="A125" s="8" t="s">
        <v>189</v>
      </c>
      <c r="B125" s="9"/>
      <c r="C125" s="9"/>
      <c r="D125" s="9"/>
      <c r="E125" s="9"/>
      <c r="F125" s="9"/>
      <c r="G125" s="9"/>
      <c r="H125" s="9"/>
      <c r="I125" s="9"/>
      <c r="J125" s="9"/>
      <c r="K125" s="39"/>
    </row>
    <row r="126" ht="17.6" spans="1:11">
      <c r="A126" s="10" t="s">
        <v>6</v>
      </c>
      <c r="B126" s="10" t="s">
        <v>7</v>
      </c>
      <c r="C126" s="10"/>
      <c r="D126" s="10" t="s">
        <v>9</v>
      </c>
      <c r="E126" s="10" t="s">
        <v>10</v>
      </c>
      <c r="F126" s="28"/>
      <c r="G126" s="10" t="s">
        <v>6</v>
      </c>
      <c r="H126" s="10" t="s">
        <v>7</v>
      </c>
      <c r="I126" s="10"/>
      <c r="J126" s="10" t="s">
        <v>9</v>
      </c>
      <c r="K126" s="10" t="s">
        <v>10</v>
      </c>
    </row>
    <row r="127" ht="17.6" spans="1:11">
      <c r="A127" s="11">
        <v>2.76</v>
      </c>
      <c r="B127" s="12"/>
      <c r="C127" s="14">
        <v>2</v>
      </c>
      <c r="D127" s="43">
        <f t="shared" ref="D127:D145" si="13">B127*A127</f>
        <v>0</v>
      </c>
      <c r="E127" s="32" t="s">
        <v>190</v>
      </c>
      <c r="F127" s="28"/>
      <c r="G127" s="11">
        <v>1.21</v>
      </c>
      <c r="H127" s="15">
        <v>10</v>
      </c>
      <c r="I127" s="14">
        <v>2</v>
      </c>
      <c r="J127" s="43">
        <f t="shared" ref="J127:J143" si="14">H127*G127</f>
        <v>12.1</v>
      </c>
      <c r="K127" s="29" t="s">
        <v>191</v>
      </c>
    </row>
    <row r="128" ht="17.6" spans="1:11">
      <c r="A128" s="11">
        <v>10.31</v>
      </c>
      <c r="B128" s="12"/>
      <c r="C128" s="14">
        <v>3</v>
      </c>
      <c r="D128" s="43">
        <f t="shared" si="13"/>
        <v>0</v>
      </c>
      <c r="E128" s="32" t="s">
        <v>192</v>
      </c>
      <c r="F128" s="34"/>
      <c r="G128" s="11">
        <v>1.41</v>
      </c>
      <c r="H128" s="15">
        <v>10</v>
      </c>
      <c r="I128" s="14">
        <v>3</v>
      </c>
      <c r="J128" s="43">
        <f t="shared" si="14"/>
        <v>14.1</v>
      </c>
      <c r="K128" s="29" t="s">
        <v>193</v>
      </c>
    </row>
    <row r="129" ht="17.6" spans="1:11">
      <c r="A129" s="11">
        <v>1.1</v>
      </c>
      <c r="B129" s="12"/>
      <c r="C129" s="14">
        <v>4</v>
      </c>
      <c r="D129" s="43">
        <f t="shared" si="13"/>
        <v>0</v>
      </c>
      <c r="E129" s="32" t="s">
        <v>194</v>
      </c>
      <c r="F129" s="34"/>
      <c r="G129" s="11">
        <v>1.49</v>
      </c>
      <c r="H129" s="12"/>
      <c r="I129" s="14">
        <v>4</v>
      </c>
      <c r="J129" s="43">
        <f t="shared" si="14"/>
        <v>0</v>
      </c>
      <c r="K129" s="29" t="s">
        <v>195</v>
      </c>
    </row>
    <row r="130" ht="17.6" spans="1:11">
      <c r="A130" s="11">
        <v>1.32</v>
      </c>
      <c r="B130" s="12"/>
      <c r="C130" s="14">
        <v>1</v>
      </c>
      <c r="D130" s="43">
        <f t="shared" si="13"/>
        <v>0</v>
      </c>
      <c r="E130" s="32" t="s">
        <v>196</v>
      </c>
      <c r="F130" s="34"/>
      <c r="G130" s="11">
        <v>1.56</v>
      </c>
      <c r="H130" s="12"/>
      <c r="I130" s="14">
        <v>1</v>
      </c>
      <c r="J130" s="43">
        <f t="shared" si="14"/>
        <v>0</v>
      </c>
      <c r="K130" s="29" t="s">
        <v>197</v>
      </c>
    </row>
    <row r="131" ht="17.6" spans="1:11">
      <c r="A131" s="11">
        <v>3.9</v>
      </c>
      <c r="B131" s="12"/>
      <c r="C131" s="14">
        <v>2</v>
      </c>
      <c r="D131" s="43">
        <f t="shared" si="13"/>
        <v>0</v>
      </c>
      <c r="E131" s="32" t="s">
        <v>198</v>
      </c>
      <c r="F131" s="34"/>
      <c r="G131" s="11">
        <v>6.1</v>
      </c>
      <c r="H131" s="12"/>
      <c r="I131" s="14">
        <v>2</v>
      </c>
      <c r="J131" s="43">
        <f t="shared" si="14"/>
        <v>0</v>
      </c>
      <c r="K131" s="29" t="s">
        <v>199</v>
      </c>
    </row>
    <row r="132" ht="17.6" spans="1:11">
      <c r="A132" s="11">
        <v>15.86</v>
      </c>
      <c r="B132" s="12"/>
      <c r="C132" s="14">
        <v>3</v>
      </c>
      <c r="D132" s="43">
        <f t="shared" si="13"/>
        <v>0</v>
      </c>
      <c r="E132" s="29" t="s">
        <v>200</v>
      </c>
      <c r="F132" s="34"/>
      <c r="G132" s="11">
        <v>2.81</v>
      </c>
      <c r="H132" s="12"/>
      <c r="I132" s="14">
        <v>3</v>
      </c>
      <c r="J132" s="43">
        <f t="shared" si="14"/>
        <v>0</v>
      </c>
      <c r="K132" s="29" t="s">
        <v>201</v>
      </c>
    </row>
    <row r="133" ht="17.6" spans="1:11">
      <c r="A133" s="11">
        <v>15.68</v>
      </c>
      <c r="B133" s="12"/>
      <c r="C133" s="14">
        <v>4</v>
      </c>
      <c r="D133" s="43">
        <f t="shared" si="13"/>
        <v>0</v>
      </c>
      <c r="E133" s="32" t="s">
        <v>202</v>
      </c>
      <c r="F133" s="34"/>
      <c r="G133" s="11">
        <v>2.12</v>
      </c>
      <c r="H133" s="12"/>
      <c r="I133" s="14">
        <v>4</v>
      </c>
      <c r="J133" s="43">
        <f t="shared" si="14"/>
        <v>0</v>
      </c>
      <c r="K133" s="29" t="s">
        <v>203</v>
      </c>
    </row>
    <row r="134" ht="17.6" spans="1:11">
      <c r="A134" s="11">
        <v>41.6</v>
      </c>
      <c r="B134" s="12"/>
      <c r="C134" s="14">
        <v>1</v>
      </c>
      <c r="D134" s="43">
        <f t="shared" si="13"/>
        <v>0</v>
      </c>
      <c r="E134" s="32" t="s">
        <v>204</v>
      </c>
      <c r="F134" s="34"/>
      <c r="G134" s="11">
        <v>2.48</v>
      </c>
      <c r="H134" s="12"/>
      <c r="I134" s="14">
        <v>1</v>
      </c>
      <c r="J134" s="43">
        <f t="shared" si="14"/>
        <v>0</v>
      </c>
      <c r="K134" s="29" t="s">
        <v>205</v>
      </c>
    </row>
    <row r="135" ht="17.6" spans="1:11">
      <c r="A135" s="11">
        <v>0.76</v>
      </c>
      <c r="B135" s="15">
        <v>12</v>
      </c>
      <c r="C135" s="16">
        <v>2</v>
      </c>
      <c r="D135" s="43">
        <f t="shared" si="13"/>
        <v>9.12</v>
      </c>
      <c r="E135" s="32" t="s">
        <v>206</v>
      </c>
      <c r="F135" s="34"/>
      <c r="G135" s="11">
        <v>2.32</v>
      </c>
      <c r="H135" s="12"/>
      <c r="I135" s="16">
        <v>2</v>
      </c>
      <c r="J135" s="43">
        <f t="shared" si="14"/>
        <v>0</v>
      </c>
      <c r="K135" s="29" t="s">
        <v>207</v>
      </c>
    </row>
    <row r="136" ht="17.6" spans="1:11">
      <c r="A136" s="11">
        <v>0.81</v>
      </c>
      <c r="B136" s="12"/>
      <c r="C136" s="14">
        <v>3</v>
      </c>
      <c r="D136" s="43">
        <f t="shared" si="13"/>
        <v>0</v>
      </c>
      <c r="E136" s="32" t="s">
        <v>208</v>
      </c>
      <c r="F136" s="34"/>
      <c r="G136" s="11">
        <v>6.94</v>
      </c>
      <c r="H136" s="12"/>
      <c r="I136" s="14">
        <v>3</v>
      </c>
      <c r="J136" s="43">
        <f t="shared" si="14"/>
        <v>0</v>
      </c>
      <c r="K136" s="29" t="s">
        <v>209</v>
      </c>
    </row>
    <row r="137" ht="17.6" spans="1:11">
      <c r="A137" s="11">
        <v>0.82</v>
      </c>
      <c r="B137" s="15">
        <v>10</v>
      </c>
      <c r="C137" s="16">
        <v>4</v>
      </c>
      <c r="D137" s="43">
        <f t="shared" si="13"/>
        <v>8.2</v>
      </c>
      <c r="E137" s="32" t="s">
        <v>210</v>
      </c>
      <c r="F137" s="34"/>
      <c r="G137" s="11">
        <v>0.07</v>
      </c>
      <c r="H137" s="15">
        <v>500</v>
      </c>
      <c r="I137" s="16">
        <v>4</v>
      </c>
      <c r="J137" s="43">
        <f t="shared" si="14"/>
        <v>35</v>
      </c>
      <c r="K137" s="29" t="s">
        <v>211</v>
      </c>
    </row>
    <row r="138" ht="17.6" spans="1:11">
      <c r="A138" s="11">
        <v>1.08</v>
      </c>
      <c r="B138" s="12"/>
      <c r="C138" s="14">
        <v>1</v>
      </c>
      <c r="D138" s="43">
        <f t="shared" si="13"/>
        <v>0</v>
      </c>
      <c r="E138" s="32" t="s">
        <v>212</v>
      </c>
      <c r="F138" s="34"/>
      <c r="G138" s="11">
        <v>0.12</v>
      </c>
      <c r="H138" s="15">
        <v>500</v>
      </c>
      <c r="I138" s="14">
        <v>1</v>
      </c>
      <c r="J138" s="43">
        <f t="shared" si="14"/>
        <v>60</v>
      </c>
      <c r="K138" s="29" t="s">
        <v>213</v>
      </c>
    </row>
    <row r="139" ht="17.6" spans="1:11">
      <c r="A139" s="11">
        <v>1.51</v>
      </c>
      <c r="B139" s="15">
        <v>10</v>
      </c>
      <c r="C139" s="16">
        <v>2</v>
      </c>
      <c r="D139" s="43">
        <f t="shared" si="13"/>
        <v>15.1</v>
      </c>
      <c r="E139" s="32" t="s">
        <v>214</v>
      </c>
      <c r="F139" s="34"/>
      <c r="G139" s="11">
        <v>0.08</v>
      </c>
      <c r="H139" s="15">
        <v>500</v>
      </c>
      <c r="I139" s="16">
        <v>2</v>
      </c>
      <c r="J139" s="43">
        <f t="shared" si="14"/>
        <v>40</v>
      </c>
      <c r="K139" s="29" t="s">
        <v>215</v>
      </c>
    </row>
    <row r="140" ht="17.6" spans="1:11">
      <c r="A140" s="11">
        <v>1.64</v>
      </c>
      <c r="B140" s="15">
        <v>10</v>
      </c>
      <c r="C140" s="16">
        <v>3</v>
      </c>
      <c r="D140" s="43">
        <f t="shared" si="13"/>
        <v>16.4</v>
      </c>
      <c r="E140" s="29" t="s">
        <v>216</v>
      </c>
      <c r="F140" s="34"/>
      <c r="G140" s="11">
        <v>0.18</v>
      </c>
      <c r="H140" s="15">
        <v>200</v>
      </c>
      <c r="I140" s="16">
        <v>3</v>
      </c>
      <c r="J140" s="43">
        <f t="shared" si="14"/>
        <v>36</v>
      </c>
      <c r="K140" s="29" t="s">
        <v>217</v>
      </c>
    </row>
    <row r="141" ht="17.6" spans="1:11">
      <c r="A141" s="11">
        <v>1.35</v>
      </c>
      <c r="B141" s="15">
        <v>15</v>
      </c>
      <c r="C141" s="16">
        <v>4</v>
      </c>
      <c r="D141" s="43">
        <f t="shared" si="13"/>
        <v>20.25</v>
      </c>
      <c r="E141" s="29" t="s">
        <v>218</v>
      </c>
      <c r="F141" s="34"/>
      <c r="G141" s="11">
        <v>1.98</v>
      </c>
      <c r="H141" s="15">
        <v>6</v>
      </c>
      <c r="I141" s="16">
        <v>4</v>
      </c>
      <c r="J141" s="43">
        <f t="shared" si="14"/>
        <v>11.88</v>
      </c>
      <c r="K141" s="42" t="s">
        <v>219</v>
      </c>
    </row>
    <row r="142" ht="17.6" spans="1:11">
      <c r="A142" s="11">
        <v>0.83</v>
      </c>
      <c r="B142" s="15">
        <v>10</v>
      </c>
      <c r="C142" s="16">
        <v>1</v>
      </c>
      <c r="D142" s="43">
        <f t="shared" si="13"/>
        <v>8.3</v>
      </c>
      <c r="E142" s="29" t="s">
        <v>220</v>
      </c>
      <c r="F142" s="34"/>
      <c r="G142" s="11">
        <v>0.27</v>
      </c>
      <c r="H142" s="12"/>
      <c r="I142" s="16">
        <v>1</v>
      </c>
      <c r="J142" s="43">
        <f t="shared" si="14"/>
        <v>0</v>
      </c>
      <c r="K142" s="29" t="s">
        <v>221</v>
      </c>
    </row>
    <row r="143" ht="17.6" spans="1:11">
      <c r="A143" s="11">
        <v>0.95</v>
      </c>
      <c r="B143" s="15">
        <v>10</v>
      </c>
      <c r="C143" s="16">
        <v>2</v>
      </c>
      <c r="D143" s="43">
        <f t="shared" si="13"/>
        <v>9.5</v>
      </c>
      <c r="E143" s="29" t="s">
        <v>222</v>
      </c>
      <c r="F143" s="34"/>
      <c r="G143" s="64">
        <v>23.76</v>
      </c>
      <c r="H143" s="15">
        <v>4</v>
      </c>
      <c r="I143" s="16">
        <v>2</v>
      </c>
      <c r="J143" s="43">
        <f t="shared" si="14"/>
        <v>95.04</v>
      </c>
      <c r="K143" s="68" t="s">
        <v>223</v>
      </c>
    </row>
    <row r="144" ht="17.6" spans="1:11">
      <c r="A144" s="11">
        <v>0.85</v>
      </c>
      <c r="B144" s="15">
        <v>10</v>
      </c>
      <c r="C144" s="16">
        <v>3</v>
      </c>
      <c r="D144" s="43">
        <f t="shared" si="13"/>
        <v>8.5</v>
      </c>
      <c r="E144" s="29" t="s">
        <v>224</v>
      </c>
      <c r="F144" s="34"/>
      <c r="G144" s="20"/>
      <c r="H144" s="20"/>
      <c r="I144" s="16">
        <v>3</v>
      </c>
      <c r="J144" s="20"/>
      <c r="K144" s="32" t="s">
        <v>225</v>
      </c>
    </row>
    <row r="145" ht="17.6" spans="1:11">
      <c r="A145" s="11">
        <v>0.91</v>
      </c>
      <c r="B145" s="15">
        <v>10</v>
      </c>
      <c r="C145" s="16">
        <v>4</v>
      </c>
      <c r="D145" s="43">
        <f t="shared" si="13"/>
        <v>9.1</v>
      </c>
      <c r="E145" s="29" t="s">
        <v>226</v>
      </c>
      <c r="F145" s="34"/>
      <c r="G145" s="20"/>
      <c r="H145" s="20"/>
      <c r="I145" s="16">
        <v>4</v>
      </c>
      <c r="J145" s="20"/>
      <c r="K145" s="20"/>
    </row>
    <row r="146" ht="17.6" spans="1:11">
      <c r="A146" s="8" t="s">
        <v>227</v>
      </c>
      <c r="B146" s="9"/>
      <c r="C146" s="9"/>
      <c r="D146" s="9"/>
      <c r="E146" s="9"/>
      <c r="F146" s="9"/>
      <c r="G146" s="9"/>
      <c r="H146" s="9"/>
      <c r="I146" s="9"/>
      <c r="J146" s="9"/>
      <c r="K146" s="39"/>
    </row>
    <row r="147" ht="17.6" spans="1:11">
      <c r="A147" s="10" t="s">
        <v>6</v>
      </c>
      <c r="B147" s="10" t="s">
        <v>7</v>
      </c>
      <c r="C147" s="10"/>
      <c r="D147" s="10" t="s">
        <v>9</v>
      </c>
      <c r="E147" s="10" t="s">
        <v>10</v>
      </c>
      <c r="F147" s="28"/>
      <c r="G147" s="10" t="s">
        <v>6</v>
      </c>
      <c r="H147" s="10" t="s">
        <v>7</v>
      </c>
      <c r="I147" s="10"/>
      <c r="J147" s="10" t="s">
        <v>9</v>
      </c>
      <c r="K147" s="10" t="s">
        <v>10</v>
      </c>
    </row>
    <row r="148" ht="17.6" spans="1:11">
      <c r="A148" s="11">
        <v>78.67</v>
      </c>
      <c r="B148" s="12"/>
      <c r="C148" s="12">
        <v>1</v>
      </c>
      <c r="D148" s="62">
        <f t="shared" ref="D148:D153" si="15">B148*A148</f>
        <v>0</v>
      </c>
      <c r="E148" s="29" t="s">
        <v>228</v>
      </c>
      <c r="F148" s="34"/>
      <c r="G148" s="11">
        <v>3.08</v>
      </c>
      <c r="H148" s="15">
        <v>2</v>
      </c>
      <c r="I148" s="12">
        <v>1</v>
      </c>
      <c r="J148" s="43">
        <f t="shared" ref="J148:J153" si="16">H148*G148</f>
        <v>6.16</v>
      </c>
      <c r="K148" s="32" t="s">
        <v>229</v>
      </c>
    </row>
    <row r="149" ht="17.6" spans="1:11">
      <c r="A149" s="11">
        <v>62</v>
      </c>
      <c r="B149" s="12"/>
      <c r="C149" s="12">
        <v>2</v>
      </c>
      <c r="D149" s="43">
        <f t="shared" si="15"/>
        <v>0</v>
      </c>
      <c r="E149" s="29" t="s">
        <v>230</v>
      </c>
      <c r="F149" s="34"/>
      <c r="G149" s="11">
        <v>12.75</v>
      </c>
      <c r="H149" s="12"/>
      <c r="I149" s="12">
        <v>2</v>
      </c>
      <c r="J149" s="43">
        <f t="shared" si="16"/>
        <v>0</v>
      </c>
      <c r="K149" s="32" t="s">
        <v>231</v>
      </c>
    </row>
    <row r="150" ht="17.6" spans="1:11">
      <c r="A150" s="11">
        <v>62</v>
      </c>
      <c r="B150" s="12"/>
      <c r="C150" s="12">
        <v>3</v>
      </c>
      <c r="D150" s="43">
        <f t="shared" si="15"/>
        <v>0</v>
      </c>
      <c r="E150" s="29" t="s">
        <v>232</v>
      </c>
      <c r="F150" s="34"/>
      <c r="G150" s="11">
        <v>25</v>
      </c>
      <c r="H150" s="12"/>
      <c r="I150" s="12">
        <v>3</v>
      </c>
      <c r="J150" s="43"/>
      <c r="K150" s="29" t="s">
        <v>233</v>
      </c>
    </row>
    <row r="151" ht="141" spans="1:11">
      <c r="A151" s="11">
        <v>2.88</v>
      </c>
      <c r="B151" s="12"/>
      <c r="C151" s="12">
        <v>4</v>
      </c>
      <c r="D151" s="43">
        <f t="shared" si="15"/>
        <v>0</v>
      </c>
      <c r="E151" s="59" t="s">
        <v>234</v>
      </c>
      <c r="F151" s="34"/>
      <c r="G151" s="11">
        <v>12.38</v>
      </c>
      <c r="H151" s="65"/>
      <c r="I151" s="12">
        <v>4</v>
      </c>
      <c r="J151" s="43">
        <f t="shared" si="16"/>
        <v>0</v>
      </c>
      <c r="K151" s="70" t="s">
        <v>235</v>
      </c>
    </row>
    <row r="152" ht="141" spans="1:11">
      <c r="A152" s="11">
        <v>3.51</v>
      </c>
      <c r="B152" s="12"/>
      <c r="C152" s="12">
        <v>1</v>
      </c>
      <c r="D152" s="43">
        <f t="shared" si="15"/>
        <v>0</v>
      </c>
      <c r="E152" s="59" t="s">
        <v>236</v>
      </c>
      <c r="F152" s="34"/>
      <c r="G152" s="11">
        <v>13.1</v>
      </c>
      <c r="H152" s="15">
        <v>4</v>
      </c>
      <c r="I152" s="12">
        <v>1</v>
      </c>
      <c r="J152" s="43">
        <f t="shared" si="16"/>
        <v>52.4</v>
      </c>
      <c r="K152" s="29" t="s">
        <v>237</v>
      </c>
    </row>
    <row r="153" ht="17.6" spans="1:11">
      <c r="A153" s="11">
        <v>2.51</v>
      </c>
      <c r="B153" s="12"/>
      <c r="C153" s="12">
        <v>2</v>
      </c>
      <c r="D153" s="43">
        <f t="shared" si="15"/>
        <v>0</v>
      </c>
      <c r="E153" s="29" t="s">
        <v>238</v>
      </c>
      <c r="F153" s="34"/>
      <c r="G153" s="11">
        <v>3.14</v>
      </c>
      <c r="H153" s="15">
        <v>12</v>
      </c>
      <c r="I153" s="12">
        <v>2</v>
      </c>
      <c r="J153" s="43">
        <f t="shared" si="16"/>
        <v>37.68</v>
      </c>
      <c r="K153" s="32" t="s">
        <v>239</v>
      </c>
    </row>
    <row r="154" ht="17.6" spans="1:11">
      <c r="A154" s="8" t="s">
        <v>240</v>
      </c>
      <c r="B154" s="9"/>
      <c r="C154" s="9"/>
      <c r="D154" s="9"/>
      <c r="E154" s="9"/>
      <c r="F154" s="9"/>
      <c r="G154" s="9"/>
      <c r="H154" s="9"/>
      <c r="I154" s="9"/>
      <c r="J154" s="9"/>
      <c r="K154" s="39"/>
    </row>
    <row r="155" ht="17.6" spans="1:11">
      <c r="A155" s="10" t="s">
        <v>6</v>
      </c>
      <c r="B155" s="10" t="s">
        <v>7</v>
      </c>
      <c r="C155" s="10"/>
      <c r="D155" s="10" t="s">
        <v>9</v>
      </c>
      <c r="E155" s="10" t="s">
        <v>10</v>
      </c>
      <c r="F155" s="28"/>
      <c r="G155" s="10" t="s">
        <v>6</v>
      </c>
      <c r="H155" s="10" t="s">
        <v>7</v>
      </c>
      <c r="I155" s="10"/>
      <c r="J155" s="10" t="s">
        <v>9</v>
      </c>
      <c r="K155" s="10" t="s">
        <v>10</v>
      </c>
    </row>
    <row r="156" ht="124" spans="1:11">
      <c r="A156" s="11">
        <v>19.76</v>
      </c>
      <c r="B156" s="12"/>
      <c r="C156" s="14">
        <v>1</v>
      </c>
      <c r="D156" s="43">
        <f t="shared" ref="D156:D170" si="17">B156*A156</f>
        <v>0</v>
      </c>
      <c r="E156" s="59" t="s">
        <v>241</v>
      </c>
      <c r="F156" s="34"/>
      <c r="G156" s="11">
        <v>24.78</v>
      </c>
      <c r="H156" s="15">
        <v>1</v>
      </c>
      <c r="I156" s="14">
        <v>1</v>
      </c>
      <c r="J156" s="43">
        <f t="shared" ref="J156:J167" si="18">H156*G156</f>
        <v>24.78</v>
      </c>
      <c r="K156" s="29" t="s">
        <v>242</v>
      </c>
    </row>
    <row r="157" ht="106" spans="1:11">
      <c r="A157" s="11">
        <v>19.65</v>
      </c>
      <c r="B157" s="12"/>
      <c r="C157" s="14">
        <v>2</v>
      </c>
      <c r="D157" s="43">
        <f t="shared" si="17"/>
        <v>0</v>
      </c>
      <c r="E157" s="59" t="s">
        <v>243</v>
      </c>
      <c r="F157" s="34"/>
      <c r="G157" s="11">
        <v>638.89</v>
      </c>
      <c r="H157" s="12"/>
      <c r="I157" s="14">
        <v>2</v>
      </c>
      <c r="J157" s="43">
        <f t="shared" si="18"/>
        <v>0</v>
      </c>
      <c r="K157" s="29" t="s">
        <v>244</v>
      </c>
    </row>
    <row r="158" ht="53" spans="1:11">
      <c r="A158" s="11">
        <v>1.85</v>
      </c>
      <c r="B158" s="12"/>
      <c r="C158" s="14">
        <v>3</v>
      </c>
      <c r="D158" s="43">
        <f t="shared" si="17"/>
        <v>0</v>
      </c>
      <c r="E158" s="59" t="s">
        <v>245</v>
      </c>
      <c r="F158" s="34"/>
      <c r="G158" s="11">
        <v>2.09</v>
      </c>
      <c r="H158" s="12"/>
      <c r="I158" s="14">
        <v>3</v>
      </c>
      <c r="J158" s="43">
        <f t="shared" si="18"/>
        <v>0</v>
      </c>
      <c r="K158" s="29" t="s">
        <v>246</v>
      </c>
    </row>
    <row r="159" ht="17.6" spans="1:11">
      <c r="A159" s="11">
        <v>268.05</v>
      </c>
      <c r="B159" s="12"/>
      <c r="C159" s="14">
        <v>4</v>
      </c>
      <c r="D159" s="43">
        <f t="shared" si="17"/>
        <v>0</v>
      </c>
      <c r="E159" s="29" t="s">
        <v>247</v>
      </c>
      <c r="F159" s="34"/>
      <c r="G159" s="11">
        <v>312.19</v>
      </c>
      <c r="H159" s="12"/>
      <c r="I159" s="14">
        <v>4</v>
      </c>
      <c r="J159" s="43">
        <f t="shared" si="18"/>
        <v>0</v>
      </c>
      <c r="K159" s="29" t="s">
        <v>248</v>
      </c>
    </row>
    <row r="160" ht="17.6" spans="1:11">
      <c r="A160" s="11">
        <v>165</v>
      </c>
      <c r="B160" s="15">
        <v>2</v>
      </c>
      <c r="C160" s="16">
        <v>1</v>
      </c>
      <c r="D160" s="43">
        <f t="shared" si="17"/>
        <v>330</v>
      </c>
      <c r="E160" s="29" t="s">
        <v>249</v>
      </c>
      <c r="F160" s="34"/>
      <c r="G160" s="11">
        <v>178.67</v>
      </c>
      <c r="H160" s="12"/>
      <c r="I160" s="16">
        <v>1</v>
      </c>
      <c r="J160" s="43">
        <f t="shared" si="18"/>
        <v>0</v>
      </c>
      <c r="K160" s="29" t="s">
        <v>250</v>
      </c>
    </row>
    <row r="161" ht="17.6" spans="1:11">
      <c r="A161" s="11">
        <v>0.29</v>
      </c>
      <c r="B161" s="63"/>
      <c r="C161" s="14">
        <v>2</v>
      </c>
      <c r="D161" s="43">
        <f t="shared" si="17"/>
        <v>0</v>
      </c>
      <c r="E161" s="32" t="s">
        <v>251</v>
      </c>
      <c r="F161" s="34"/>
      <c r="G161" s="11">
        <v>59.09</v>
      </c>
      <c r="H161" s="12"/>
      <c r="I161" s="14">
        <v>2</v>
      </c>
      <c r="J161" s="43">
        <f t="shared" si="18"/>
        <v>0</v>
      </c>
      <c r="K161" s="29" t="s">
        <v>252</v>
      </c>
    </row>
    <row r="162" ht="17.6" spans="1:11">
      <c r="A162" s="11">
        <v>30.13</v>
      </c>
      <c r="B162" s="15">
        <v>2</v>
      </c>
      <c r="C162" s="16">
        <v>3</v>
      </c>
      <c r="D162" s="43">
        <f t="shared" si="17"/>
        <v>60.26</v>
      </c>
      <c r="E162" s="29" t="s">
        <v>253</v>
      </c>
      <c r="F162" s="34"/>
      <c r="G162" s="11">
        <v>61.49</v>
      </c>
      <c r="H162" s="12"/>
      <c r="I162" s="16">
        <v>3</v>
      </c>
      <c r="J162" s="43">
        <f t="shared" si="18"/>
        <v>0</v>
      </c>
      <c r="K162" s="29" t="s">
        <v>254</v>
      </c>
    </row>
    <row r="163" ht="17.6" spans="1:11">
      <c r="A163" s="11">
        <v>48.94</v>
      </c>
      <c r="B163" s="15">
        <v>2</v>
      </c>
      <c r="C163" s="16">
        <v>4</v>
      </c>
      <c r="D163" s="43">
        <f t="shared" si="17"/>
        <v>97.88</v>
      </c>
      <c r="E163" s="29" t="s">
        <v>255</v>
      </c>
      <c r="F163" s="34"/>
      <c r="G163" s="11">
        <v>10.67</v>
      </c>
      <c r="H163" s="12"/>
      <c r="I163" s="16">
        <v>4</v>
      </c>
      <c r="J163" s="43">
        <f t="shared" si="18"/>
        <v>0</v>
      </c>
      <c r="K163" s="29" t="s">
        <v>256</v>
      </c>
    </row>
    <row r="164" ht="17.6" spans="1:11">
      <c r="A164" s="11">
        <v>1.1</v>
      </c>
      <c r="B164" s="12"/>
      <c r="C164" s="14">
        <v>1</v>
      </c>
      <c r="D164" s="43">
        <f t="shared" si="17"/>
        <v>0</v>
      </c>
      <c r="E164" s="29" t="s">
        <v>257</v>
      </c>
      <c r="F164" s="34"/>
      <c r="G164" s="11">
        <v>2.4</v>
      </c>
      <c r="H164" s="12"/>
      <c r="I164" s="14">
        <v>1</v>
      </c>
      <c r="J164" s="43">
        <f t="shared" si="18"/>
        <v>0</v>
      </c>
      <c r="K164" s="29" t="s">
        <v>258</v>
      </c>
    </row>
    <row r="165" ht="17.6" spans="1:11">
      <c r="A165" s="11">
        <v>10.09</v>
      </c>
      <c r="B165" s="15">
        <v>2</v>
      </c>
      <c r="C165" s="16">
        <v>2</v>
      </c>
      <c r="D165" s="43">
        <f t="shared" si="17"/>
        <v>20.18</v>
      </c>
      <c r="E165" s="29" t="s">
        <v>259</v>
      </c>
      <c r="F165" s="34"/>
      <c r="G165" s="11">
        <v>3.23</v>
      </c>
      <c r="H165" s="12"/>
      <c r="I165" s="16">
        <v>2</v>
      </c>
      <c r="J165" s="43">
        <f t="shared" si="18"/>
        <v>0</v>
      </c>
      <c r="K165" s="29" t="s">
        <v>260</v>
      </c>
    </row>
    <row r="166" ht="17.6" spans="1:11">
      <c r="A166" s="11">
        <v>0.74</v>
      </c>
      <c r="B166" s="15">
        <v>24</v>
      </c>
      <c r="C166" s="16">
        <v>3</v>
      </c>
      <c r="D166" s="43">
        <f t="shared" si="17"/>
        <v>17.76</v>
      </c>
      <c r="E166" s="29" t="s">
        <v>261</v>
      </c>
      <c r="F166" s="34"/>
      <c r="G166" s="11">
        <v>4.96</v>
      </c>
      <c r="H166" s="12"/>
      <c r="I166" s="16">
        <v>3</v>
      </c>
      <c r="J166" s="43">
        <f t="shared" si="18"/>
        <v>0</v>
      </c>
      <c r="K166" s="29" t="s">
        <v>262</v>
      </c>
    </row>
    <row r="167" ht="17.6" spans="1:11">
      <c r="A167" s="11">
        <v>0.42</v>
      </c>
      <c r="B167" s="15">
        <v>100</v>
      </c>
      <c r="C167" s="16">
        <v>4</v>
      </c>
      <c r="D167" s="43">
        <f t="shared" si="17"/>
        <v>42</v>
      </c>
      <c r="E167" s="29" t="s">
        <v>263</v>
      </c>
      <c r="F167" s="34"/>
      <c r="G167" s="11">
        <v>0.35</v>
      </c>
      <c r="H167" s="12"/>
      <c r="I167" s="16">
        <v>4</v>
      </c>
      <c r="J167" s="43">
        <f t="shared" si="18"/>
        <v>0</v>
      </c>
      <c r="K167" s="29" t="s">
        <v>264</v>
      </c>
    </row>
    <row r="168" ht="17.6" spans="1:11">
      <c r="A168" s="52">
        <v>0.08</v>
      </c>
      <c r="B168" s="15">
        <v>800</v>
      </c>
      <c r="C168" s="16">
        <v>1</v>
      </c>
      <c r="D168" s="43">
        <f t="shared" si="17"/>
        <v>64</v>
      </c>
      <c r="E168" s="42" t="s">
        <v>265</v>
      </c>
      <c r="F168" s="34"/>
      <c r="G168" s="19"/>
      <c r="H168" s="20"/>
      <c r="I168" s="16">
        <v>1</v>
      </c>
      <c r="J168" s="20"/>
      <c r="K168" s="20"/>
    </row>
    <row r="169" ht="17.6" spans="1:11">
      <c r="A169" s="52">
        <v>10</v>
      </c>
      <c r="B169" s="15">
        <v>288</v>
      </c>
      <c r="C169" s="16">
        <v>2</v>
      </c>
      <c r="D169" s="43">
        <f t="shared" si="17"/>
        <v>2880</v>
      </c>
      <c r="E169" s="42" t="s">
        <v>266</v>
      </c>
      <c r="F169" s="34"/>
      <c r="G169" s="19"/>
      <c r="H169" s="20"/>
      <c r="I169" s="16">
        <v>2</v>
      </c>
      <c r="J169" s="20"/>
      <c r="K169" s="20"/>
    </row>
    <row r="170" ht="17.6" spans="1:11">
      <c r="A170" s="52">
        <v>16.27</v>
      </c>
      <c r="B170" s="15">
        <v>30</v>
      </c>
      <c r="C170" s="16">
        <v>3</v>
      </c>
      <c r="D170" s="43">
        <f t="shared" si="17"/>
        <v>488.1</v>
      </c>
      <c r="E170" s="42" t="s">
        <v>267</v>
      </c>
      <c r="F170" s="34"/>
      <c r="G170" s="19"/>
      <c r="H170" s="20"/>
      <c r="I170" s="16">
        <v>3</v>
      </c>
      <c r="J170" s="20"/>
      <c r="K170" s="20"/>
    </row>
    <row r="171" ht="17.6" spans="1:11">
      <c r="A171" s="8" t="s">
        <v>268</v>
      </c>
      <c r="B171" s="9"/>
      <c r="C171" s="9"/>
      <c r="D171" s="9"/>
      <c r="E171" s="9"/>
      <c r="F171" s="9"/>
      <c r="G171" s="9"/>
      <c r="H171" s="9"/>
      <c r="I171" s="9"/>
      <c r="J171" s="9"/>
      <c r="K171" s="39"/>
    </row>
    <row r="172" ht="17.6" spans="1:11">
      <c r="A172" s="10" t="s">
        <v>6</v>
      </c>
      <c r="B172" s="10" t="s">
        <v>7</v>
      </c>
      <c r="C172" s="10"/>
      <c r="D172" s="10" t="s">
        <v>9</v>
      </c>
      <c r="E172" s="10" t="s">
        <v>10</v>
      </c>
      <c r="F172" s="28"/>
      <c r="G172" s="10" t="s">
        <v>6</v>
      </c>
      <c r="H172" s="10" t="s">
        <v>7</v>
      </c>
      <c r="I172" s="10"/>
      <c r="J172" s="10" t="s">
        <v>9</v>
      </c>
      <c r="K172" s="10" t="s">
        <v>10</v>
      </c>
    </row>
    <row r="173" ht="17.6" spans="1:11">
      <c r="A173" s="11">
        <v>29.28</v>
      </c>
      <c r="B173" s="12"/>
      <c r="C173" s="12">
        <v>4</v>
      </c>
      <c r="D173" s="43">
        <f t="shared" ref="D173:D180" si="19">B173*A173</f>
        <v>0</v>
      </c>
      <c r="E173" s="29" t="s">
        <v>269</v>
      </c>
      <c r="F173" s="34"/>
      <c r="G173" s="11">
        <v>65.49</v>
      </c>
      <c r="H173" s="15">
        <v>4</v>
      </c>
      <c r="I173" s="12">
        <v>4</v>
      </c>
      <c r="J173" s="43">
        <f t="shared" ref="J173:J179" si="20">H173*G173</f>
        <v>261.96</v>
      </c>
      <c r="K173" s="29" t="s">
        <v>270</v>
      </c>
    </row>
    <row r="174" ht="17.6" spans="1:11">
      <c r="A174" s="11">
        <v>39.46</v>
      </c>
      <c r="B174" s="12"/>
      <c r="C174" s="12">
        <v>1</v>
      </c>
      <c r="D174" s="43">
        <f t="shared" si="19"/>
        <v>0</v>
      </c>
      <c r="E174" s="29" t="s">
        <v>271</v>
      </c>
      <c r="F174" s="34"/>
      <c r="G174" s="11">
        <v>9.19</v>
      </c>
      <c r="H174" s="15">
        <v>5</v>
      </c>
      <c r="I174" s="12">
        <v>1</v>
      </c>
      <c r="J174" s="43">
        <f t="shared" si="20"/>
        <v>45.95</v>
      </c>
      <c r="K174" s="29" t="s">
        <v>272</v>
      </c>
    </row>
    <row r="175" ht="17.6" spans="1:11">
      <c r="A175" s="11">
        <v>29.72</v>
      </c>
      <c r="B175" s="12"/>
      <c r="C175" s="12">
        <v>2</v>
      </c>
      <c r="D175" s="43">
        <f t="shared" si="19"/>
        <v>0</v>
      </c>
      <c r="E175" s="29" t="s">
        <v>273</v>
      </c>
      <c r="F175" s="34"/>
      <c r="G175" s="11">
        <v>5.87</v>
      </c>
      <c r="H175" s="15">
        <v>5</v>
      </c>
      <c r="I175" s="12">
        <v>2</v>
      </c>
      <c r="J175" s="43">
        <f t="shared" si="20"/>
        <v>29.35</v>
      </c>
      <c r="K175" s="29" t="s">
        <v>274</v>
      </c>
    </row>
    <row r="176" ht="17.6" spans="1:11">
      <c r="A176" s="11">
        <v>20.28</v>
      </c>
      <c r="B176" s="12"/>
      <c r="C176" s="12">
        <v>3</v>
      </c>
      <c r="D176" s="43">
        <f t="shared" si="19"/>
        <v>0</v>
      </c>
      <c r="E176" s="29" t="s">
        <v>275</v>
      </c>
      <c r="F176" s="34"/>
      <c r="G176" s="11">
        <v>1</v>
      </c>
      <c r="H176" s="12"/>
      <c r="I176" s="12">
        <v>3</v>
      </c>
      <c r="J176" s="43">
        <f t="shared" si="20"/>
        <v>0</v>
      </c>
      <c r="K176" s="32" t="s">
        <v>276</v>
      </c>
    </row>
    <row r="177" ht="17.6" spans="1:11">
      <c r="A177" s="11">
        <v>11.3</v>
      </c>
      <c r="B177" s="12"/>
      <c r="C177" s="12">
        <v>4</v>
      </c>
      <c r="D177" s="43">
        <f t="shared" si="19"/>
        <v>0</v>
      </c>
      <c r="E177" s="29" t="s">
        <v>277</v>
      </c>
      <c r="F177" s="34"/>
      <c r="G177" s="11">
        <v>35.61</v>
      </c>
      <c r="H177" s="15">
        <v>2</v>
      </c>
      <c r="I177" s="12">
        <v>4</v>
      </c>
      <c r="J177" s="43">
        <f t="shared" si="20"/>
        <v>71.22</v>
      </c>
      <c r="K177" s="32" t="s">
        <v>278</v>
      </c>
    </row>
    <row r="178" ht="17.6" spans="1:11">
      <c r="A178" s="11">
        <v>8.46</v>
      </c>
      <c r="B178" s="12"/>
      <c r="C178" s="12">
        <v>1</v>
      </c>
      <c r="D178" s="43">
        <f t="shared" si="19"/>
        <v>0</v>
      </c>
      <c r="E178" s="29" t="s">
        <v>279</v>
      </c>
      <c r="F178" s="34"/>
      <c r="G178" s="11">
        <v>225</v>
      </c>
      <c r="H178" s="12"/>
      <c r="I178" s="12">
        <v>1</v>
      </c>
      <c r="J178" s="43">
        <f t="shared" si="20"/>
        <v>0</v>
      </c>
      <c r="K178" s="32" t="s">
        <v>280</v>
      </c>
    </row>
    <row r="179" ht="17.6" spans="1:11">
      <c r="A179" s="11">
        <v>580.24</v>
      </c>
      <c r="B179" s="12"/>
      <c r="C179" s="12">
        <v>2</v>
      </c>
      <c r="D179" s="43">
        <f t="shared" si="19"/>
        <v>0</v>
      </c>
      <c r="E179" s="29" t="s">
        <v>281</v>
      </c>
      <c r="F179" s="34"/>
      <c r="G179" s="11">
        <v>0.08</v>
      </c>
      <c r="H179" s="15">
        <v>1000</v>
      </c>
      <c r="I179" s="12">
        <v>2</v>
      </c>
      <c r="J179" s="43">
        <f t="shared" si="20"/>
        <v>80</v>
      </c>
      <c r="K179" s="29" t="s">
        <v>282</v>
      </c>
    </row>
    <row r="180" ht="17.6" spans="1:11">
      <c r="A180" s="11">
        <v>381.18</v>
      </c>
      <c r="B180" s="12"/>
      <c r="C180" s="12">
        <v>3</v>
      </c>
      <c r="D180" s="43">
        <f t="shared" si="19"/>
        <v>0</v>
      </c>
      <c r="E180" s="29" t="s">
        <v>283</v>
      </c>
      <c r="F180" s="34"/>
      <c r="G180" s="12"/>
      <c r="H180" s="12"/>
      <c r="I180" s="12">
        <v>3</v>
      </c>
      <c r="J180" s="43"/>
      <c r="K180" s="33"/>
    </row>
    <row r="181" ht="17.6" spans="1:11">
      <c r="A181" s="8" t="s">
        <v>284</v>
      </c>
      <c r="B181" s="9"/>
      <c r="C181" s="9"/>
      <c r="D181" s="9"/>
      <c r="E181" s="9"/>
      <c r="F181" s="9"/>
      <c r="G181" s="9"/>
      <c r="H181" s="9"/>
      <c r="I181" s="9"/>
      <c r="J181" s="9"/>
      <c r="K181" s="39"/>
    </row>
    <row r="182" ht="17.6" spans="1:11">
      <c r="A182" s="10" t="s">
        <v>6</v>
      </c>
      <c r="B182" s="10" t="s">
        <v>7</v>
      </c>
      <c r="C182" s="10"/>
      <c r="D182" s="10" t="s">
        <v>9</v>
      </c>
      <c r="E182" s="10" t="s">
        <v>10</v>
      </c>
      <c r="F182" s="28"/>
      <c r="G182" s="10" t="s">
        <v>6</v>
      </c>
      <c r="H182" s="10" t="s">
        <v>7</v>
      </c>
      <c r="I182" s="10"/>
      <c r="J182" s="10" t="s">
        <v>9</v>
      </c>
      <c r="K182" s="10" t="s">
        <v>10</v>
      </c>
    </row>
    <row r="183" ht="17.6" spans="1:11">
      <c r="A183" s="11">
        <v>9.83</v>
      </c>
      <c r="B183" s="15">
        <v>100</v>
      </c>
      <c r="C183" s="16">
        <v>1</v>
      </c>
      <c r="D183" s="43">
        <f t="shared" ref="D183:D195" si="21">B183*A183</f>
        <v>983</v>
      </c>
      <c r="E183" s="66" t="s">
        <v>285</v>
      </c>
      <c r="F183" s="34"/>
      <c r="G183" s="11">
        <v>490</v>
      </c>
      <c r="H183" s="15">
        <v>2</v>
      </c>
      <c r="I183" s="16">
        <v>1</v>
      </c>
      <c r="J183" s="43">
        <f t="shared" ref="J183:J195" si="22">H183*G183</f>
        <v>980</v>
      </c>
      <c r="K183" s="29" t="s">
        <v>286</v>
      </c>
    </row>
    <row r="184" ht="17.6" spans="1:11">
      <c r="A184" s="11">
        <v>1.48</v>
      </c>
      <c r="B184" s="15">
        <v>4</v>
      </c>
      <c r="C184" s="16">
        <v>2</v>
      </c>
      <c r="D184" s="43">
        <f t="shared" si="21"/>
        <v>5.92</v>
      </c>
      <c r="E184" s="67" t="s">
        <v>287</v>
      </c>
      <c r="F184" s="34"/>
      <c r="G184" s="11">
        <v>11.84</v>
      </c>
      <c r="H184" s="15">
        <v>30</v>
      </c>
      <c r="I184" s="16">
        <v>2</v>
      </c>
      <c r="J184" s="43">
        <f t="shared" si="22"/>
        <v>355.2</v>
      </c>
      <c r="K184" s="29" t="s">
        <v>288</v>
      </c>
    </row>
    <row r="185" ht="17.6" spans="1:11">
      <c r="A185" s="11">
        <v>3.98</v>
      </c>
      <c r="B185" s="12"/>
      <c r="C185" s="14">
        <v>3</v>
      </c>
      <c r="D185" s="43">
        <f t="shared" si="21"/>
        <v>0</v>
      </c>
      <c r="E185" s="32" t="s">
        <v>289</v>
      </c>
      <c r="F185" s="34"/>
      <c r="G185" s="11">
        <v>2.8</v>
      </c>
      <c r="H185" s="15">
        <v>36</v>
      </c>
      <c r="I185" s="14">
        <v>3</v>
      </c>
      <c r="J185" s="43">
        <f t="shared" si="22"/>
        <v>100.8</v>
      </c>
      <c r="K185" s="29" t="s">
        <v>290</v>
      </c>
    </row>
    <row r="186" ht="17.6" spans="1:11">
      <c r="A186" s="11">
        <v>30.81</v>
      </c>
      <c r="B186" s="12"/>
      <c r="C186" s="14">
        <v>4</v>
      </c>
      <c r="D186" s="43">
        <f t="shared" si="21"/>
        <v>0</v>
      </c>
      <c r="E186" s="29" t="s">
        <v>291</v>
      </c>
      <c r="F186" s="34"/>
      <c r="G186" s="11">
        <v>8.06</v>
      </c>
      <c r="H186" s="15">
        <v>16</v>
      </c>
      <c r="I186" s="14">
        <v>4</v>
      </c>
      <c r="J186" s="43">
        <f t="shared" si="22"/>
        <v>128.96</v>
      </c>
      <c r="K186" s="29" t="s">
        <v>292</v>
      </c>
    </row>
    <row r="187" ht="17.6" spans="1:11">
      <c r="A187" s="11">
        <v>175.7</v>
      </c>
      <c r="B187" s="15">
        <v>1</v>
      </c>
      <c r="C187" s="16">
        <v>1</v>
      </c>
      <c r="D187" s="43">
        <f t="shared" si="21"/>
        <v>175.7</v>
      </c>
      <c r="E187" s="29" t="s">
        <v>293</v>
      </c>
      <c r="F187" s="34"/>
      <c r="G187" s="11">
        <v>40.9</v>
      </c>
      <c r="H187" s="15">
        <v>1</v>
      </c>
      <c r="I187" s="16">
        <v>1</v>
      </c>
      <c r="J187" s="43">
        <f t="shared" si="22"/>
        <v>40.9</v>
      </c>
      <c r="K187" s="29" t="s">
        <v>294</v>
      </c>
    </row>
    <row r="188" ht="17.6" spans="1:11">
      <c r="A188" s="11">
        <v>71.4</v>
      </c>
      <c r="B188" s="12"/>
      <c r="C188" s="14">
        <v>2</v>
      </c>
      <c r="D188" s="43">
        <f t="shared" si="21"/>
        <v>0</v>
      </c>
      <c r="E188" s="29" t="s">
        <v>295</v>
      </c>
      <c r="F188" s="34"/>
      <c r="G188" s="11"/>
      <c r="H188" s="15">
        <v>110</v>
      </c>
      <c r="I188" s="14">
        <v>2</v>
      </c>
      <c r="J188" s="43">
        <f t="shared" si="22"/>
        <v>0</v>
      </c>
      <c r="K188" s="29" t="s">
        <v>296</v>
      </c>
    </row>
    <row r="189" ht="17.6" spans="1:11">
      <c r="A189" s="11">
        <v>0.09</v>
      </c>
      <c r="B189" s="15">
        <v>40</v>
      </c>
      <c r="C189" s="16">
        <v>3</v>
      </c>
      <c r="D189" s="43">
        <f t="shared" si="21"/>
        <v>3.6</v>
      </c>
      <c r="E189" s="29" t="s">
        <v>297</v>
      </c>
      <c r="F189" s="34"/>
      <c r="G189" s="11"/>
      <c r="H189" s="15">
        <v>12</v>
      </c>
      <c r="I189" s="16">
        <v>3</v>
      </c>
      <c r="J189" s="43">
        <f t="shared" si="22"/>
        <v>0</v>
      </c>
      <c r="K189" s="29" t="s">
        <v>298</v>
      </c>
    </row>
    <row r="190" ht="17.6" spans="1:11">
      <c r="A190" s="11">
        <v>11.82</v>
      </c>
      <c r="B190" s="15">
        <v>50</v>
      </c>
      <c r="C190" s="16">
        <v>4</v>
      </c>
      <c r="D190" s="43">
        <f t="shared" si="21"/>
        <v>591</v>
      </c>
      <c r="E190" s="68" t="s">
        <v>299</v>
      </c>
      <c r="F190" s="34"/>
      <c r="G190" s="11">
        <v>1.1</v>
      </c>
      <c r="H190" s="15">
        <v>200</v>
      </c>
      <c r="I190" s="16">
        <v>4</v>
      </c>
      <c r="J190" s="43">
        <f t="shared" si="22"/>
        <v>220</v>
      </c>
      <c r="K190" s="29" t="s">
        <v>300</v>
      </c>
    </row>
    <row r="191" ht="17.6" spans="1:11">
      <c r="A191" s="11">
        <v>11.82</v>
      </c>
      <c r="B191" s="15">
        <v>50</v>
      </c>
      <c r="C191" s="16">
        <v>1</v>
      </c>
      <c r="D191" s="43">
        <f t="shared" si="21"/>
        <v>591</v>
      </c>
      <c r="E191" s="68" t="s">
        <v>301</v>
      </c>
      <c r="F191" s="34"/>
      <c r="G191" s="11">
        <v>1.3</v>
      </c>
      <c r="H191" s="12"/>
      <c r="I191" s="16">
        <v>1</v>
      </c>
      <c r="J191" s="43">
        <f t="shared" si="22"/>
        <v>0</v>
      </c>
      <c r="K191" s="29" t="s">
        <v>302</v>
      </c>
    </row>
    <row r="192" ht="17.6" spans="1:11">
      <c r="A192" s="11">
        <v>175</v>
      </c>
      <c r="B192" s="15">
        <v>12</v>
      </c>
      <c r="C192" s="16">
        <v>2</v>
      </c>
      <c r="D192" s="43">
        <f t="shared" si="21"/>
        <v>2100</v>
      </c>
      <c r="E192" s="42" t="s">
        <v>303</v>
      </c>
      <c r="F192" s="34"/>
      <c r="G192" s="11"/>
      <c r="H192" s="69">
        <v>40</v>
      </c>
      <c r="I192" s="16">
        <v>2</v>
      </c>
      <c r="J192" s="43">
        <f t="shared" si="22"/>
        <v>0</v>
      </c>
      <c r="K192" s="32" t="s">
        <v>304</v>
      </c>
    </row>
    <row r="193" ht="17.6" spans="1:11">
      <c r="A193" s="11">
        <v>6.85</v>
      </c>
      <c r="B193" s="15">
        <v>12</v>
      </c>
      <c r="C193" s="16">
        <v>3</v>
      </c>
      <c r="D193" s="43">
        <f t="shared" si="21"/>
        <v>82.2</v>
      </c>
      <c r="E193" s="29" t="s">
        <v>305</v>
      </c>
      <c r="F193" s="34"/>
      <c r="G193" s="11">
        <v>18.34</v>
      </c>
      <c r="H193" s="69">
        <v>40</v>
      </c>
      <c r="I193" s="16">
        <v>3</v>
      </c>
      <c r="J193" s="43">
        <f t="shared" si="22"/>
        <v>733.6</v>
      </c>
      <c r="K193" s="32" t="s">
        <v>306</v>
      </c>
    </row>
    <row r="194" ht="17.6" spans="1:11">
      <c r="A194" s="11">
        <v>6.85</v>
      </c>
      <c r="B194" s="12"/>
      <c r="C194" s="14">
        <v>4</v>
      </c>
      <c r="D194" s="43">
        <f t="shared" si="21"/>
        <v>0</v>
      </c>
      <c r="E194" s="29" t="s">
        <v>307</v>
      </c>
      <c r="F194" s="34"/>
      <c r="G194" s="11">
        <v>10.13</v>
      </c>
      <c r="H194" s="15">
        <v>12</v>
      </c>
      <c r="I194" s="14">
        <v>4</v>
      </c>
      <c r="J194" s="43">
        <f t="shared" si="22"/>
        <v>121.56</v>
      </c>
      <c r="K194" s="29" t="s">
        <v>308</v>
      </c>
    </row>
    <row r="195" ht="17.6" spans="1:11">
      <c r="A195" s="11">
        <v>257.76</v>
      </c>
      <c r="B195" s="15">
        <v>4</v>
      </c>
      <c r="C195" s="16">
        <v>1</v>
      </c>
      <c r="D195" s="43">
        <f t="shared" si="21"/>
        <v>1031.04</v>
      </c>
      <c r="E195" s="42" t="s">
        <v>309</v>
      </c>
      <c r="F195" s="34"/>
      <c r="G195" s="11">
        <v>11.75</v>
      </c>
      <c r="H195" s="69">
        <v>3</v>
      </c>
      <c r="I195" s="16">
        <v>1</v>
      </c>
      <c r="J195" s="43">
        <f t="shared" si="22"/>
        <v>35.25</v>
      </c>
      <c r="K195" s="29" t="s">
        <v>310</v>
      </c>
    </row>
    <row r="196" ht="17.6" spans="1:11">
      <c r="A196" s="8" t="s">
        <v>311</v>
      </c>
      <c r="B196" s="9"/>
      <c r="C196" s="9"/>
      <c r="D196" s="9"/>
      <c r="E196" s="9"/>
      <c r="F196" s="9"/>
      <c r="G196" s="9"/>
      <c r="H196" s="9"/>
      <c r="I196" s="9"/>
      <c r="J196" s="9"/>
      <c r="K196" s="39"/>
    </row>
    <row r="197" ht="17.6" spans="1:11">
      <c r="A197" s="10" t="s">
        <v>6</v>
      </c>
      <c r="B197" s="10" t="s">
        <v>7</v>
      </c>
      <c r="C197" s="10"/>
      <c r="D197" s="10" t="s">
        <v>9</v>
      </c>
      <c r="E197" s="10" t="s">
        <v>10</v>
      </c>
      <c r="F197" s="28"/>
      <c r="G197" s="10" t="s">
        <v>6</v>
      </c>
      <c r="H197" s="10" t="s">
        <v>7</v>
      </c>
      <c r="I197" s="10"/>
      <c r="J197" s="10" t="s">
        <v>9</v>
      </c>
      <c r="K197" s="10" t="s">
        <v>10</v>
      </c>
    </row>
    <row r="198" ht="17.6" spans="1:11">
      <c r="A198" s="11">
        <v>4.06</v>
      </c>
      <c r="B198" s="12"/>
      <c r="C198" s="14">
        <v>2</v>
      </c>
      <c r="D198" s="43">
        <f t="shared" ref="D198:D204" si="23">B198*A198</f>
        <v>0</v>
      </c>
      <c r="E198" s="29" t="s">
        <v>312</v>
      </c>
      <c r="F198" s="34"/>
      <c r="G198" s="11"/>
      <c r="H198" s="12"/>
      <c r="I198" s="14">
        <v>2</v>
      </c>
      <c r="J198" s="43">
        <f t="shared" ref="J198:J201" si="24">H198*G198</f>
        <v>0</v>
      </c>
      <c r="K198" s="29" t="s">
        <v>313</v>
      </c>
    </row>
    <row r="199" ht="17.6" spans="1:11">
      <c r="A199" s="11">
        <v>13.16</v>
      </c>
      <c r="B199" s="12"/>
      <c r="C199" s="14">
        <v>3</v>
      </c>
      <c r="D199" s="43">
        <f t="shared" si="23"/>
        <v>0</v>
      </c>
      <c r="E199" s="29" t="s">
        <v>314</v>
      </c>
      <c r="F199" s="34"/>
      <c r="G199" s="11">
        <v>3.71</v>
      </c>
      <c r="H199" s="15">
        <v>48</v>
      </c>
      <c r="I199" s="14">
        <v>3</v>
      </c>
      <c r="J199" s="43">
        <f t="shared" si="24"/>
        <v>178.08</v>
      </c>
      <c r="K199" s="29" t="s">
        <v>315</v>
      </c>
    </row>
    <row r="200" ht="17.6" spans="1:11">
      <c r="A200" s="11"/>
      <c r="B200" s="12"/>
      <c r="C200" s="14">
        <v>4</v>
      </c>
      <c r="D200" s="43">
        <f t="shared" si="23"/>
        <v>0</v>
      </c>
      <c r="E200" s="32" t="s">
        <v>316</v>
      </c>
      <c r="F200" s="34"/>
      <c r="G200" s="11">
        <v>25.03</v>
      </c>
      <c r="H200" s="12"/>
      <c r="I200" s="14">
        <v>4</v>
      </c>
      <c r="J200" s="43">
        <f t="shared" si="24"/>
        <v>0</v>
      </c>
      <c r="K200" s="29" t="s">
        <v>317</v>
      </c>
    </row>
    <row r="201" ht="17.6" spans="1:11">
      <c r="A201" s="11">
        <v>7.21</v>
      </c>
      <c r="B201" s="12"/>
      <c r="C201" s="14">
        <v>1</v>
      </c>
      <c r="D201" s="43">
        <f t="shared" si="23"/>
        <v>0</v>
      </c>
      <c r="E201" s="29" t="s">
        <v>318</v>
      </c>
      <c r="F201" s="34"/>
      <c r="G201" s="11">
        <v>315</v>
      </c>
      <c r="H201" s="12"/>
      <c r="I201" s="14">
        <v>1</v>
      </c>
      <c r="J201" s="43">
        <f t="shared" si="24"/>
        <v>0</v>
      </c>
      <c r="K201" s="29" t="s">
        <v>319</v>
      </c>
    </row>
    <row r="202" ht="17.6" spans="1:11">
      <c r="A202" s="11">
        <v>9.73</v>
      </c>
      <c r="B202" s="15">
        <v>48</v>
      </c>
      <c r="C202" s="16">
        <v>2</v>
      </c>
      <c r="D202" s="43">
        <f t="shared" si="23"/>
        <v>467.04</v>
      </c>
      <c r="E202" s="29" t="s">
        <v>320</v>
      </c>
      <c r="F202" s="34"/>
      <c r="G202" s="11"/>
      <c r="H202" s="12"/>
      <c r="I202" s="16"/>
      <c r="J202" s="43"/>
      <c r="K202" s="29" t="s">
        <v>321</v>
      </c>
    </row>
    <row r="203" ht="17.6" spans="1:11">
      <c r="A203" s="11"/>
      <c r="B203" s="12"/>
      <c r="C203" s="14"/>
      <c r="D203" s="43">
        <f t="shared" si="23"/>
        <v>0</v>
      </c>
      <c r="E203" s="32" t="s">
        <v>322</v>
      </c>
      <c r="F203" s="34"/>
      <c r="G203" s="11">
        <v>8.66</v>
      </c>
      <c r="H203" s="12"/>
      <c r="I203" s="14">
        <v>2</v>
      </c>
      <c r="J203" s="43">
        <f>H203*G203</f>
        <v>0</v>
      </c>
      <c r="K203" s="29" t="s">
        <v>323</v>
      </c>
    </row>
    <row r="204" ht="17.6" spans="1:11">
      <c r="A204" s="11"/>
      <c r="B204" s="12"/>
      <c r="C204" s="14"/>
      <c r="D204" s="43">
        <f t="shared" si="23"/>
        <v>0</v>
      </c>
      <c r="E204" s="32" t="s">
        <v>324</v>
      </c>
      <c r="F204" s="34"/>
      <c r="G204" s="46"/>
      <c r="H204" s="12"/>
      <c r="I204" s="14"/>
      <c r="J204" s="20"/>
      <c r="K204" s="20"/>
    </row>
    <row r="205" ht="17.6" spans="1:11">
      <c r="A205" s="8" t="s">
        <v>325</v>
      </c>
      <c r="B205" s="9"/>
      <c r="C205" s="9"/>
      <c r="D205" s="9"/>
      <c r="E205" s="9"/>
      <c r="F205" s="9"/>
      <c r="G205" s="9"/>
      <c r="H205" s="9"/>
      <c r="I205" s="9"/>
      <c r="J205" s="9"/>
      <c r="K205" s="39"/>
    </row>
    <row r="206" ht="17.6" spans="1:11">
      <c r="A206" s="10" t="s">
        <v>6</v>
      </c>
      <c r="B206" s="10" t="s">
        <v>7</v>
      </c>
      <c r="C206" s="10"/>
      <c r="D206" s="10" t="s">
        <v>9</v>
      </c>
      <c r="E206" s="10" t="s">
        <v>10</v>
      </c>
      <c r="F206" s="28"/>
      <c r="G206" s="10" t="s">
        <v>6</v>
      </c>
      <c r="H206" s="10" t="s">
        <v>7</v>
      </c>
      <c r="I206" s="10"/>
      <c r="J206" s="10" t="s">
        <v>9</v>
      </c>
      <c r="K206" s="10" t="s">
        <v>10</v>
      </c>
    </row>
    <row r="207" ht="17.6" spans="1:11">
      <c r="A207" s="20"/>
      <c r="B207" s="15">
        <v>3</v>
      </c>
      <c r="C207" s="16">
        <v>3</v>
      </c>
      <c r="D207" s="20"/>
      <c r="E207" s="32" t="s">
        <v>326</v>
      </c>
      <c r="F207" s="34"/>
      <c r="G207" s="19"/>
      <c r="H207" s="58" t="s">
        <v>327</v>
      </c>
      <c r="I207" s="16">
        <v>3</v>
      </c>
      <c r="J207" s="20"/>
      <c r="K207" s="32" t="s">
        <v>328</v>
      </c>
    </row>
    <row r="208" ht="17.6" spans="1:11">
      <c r="A208" s="20"/>
      <c r="B208" s="58" t="s">
        <v>329</v>
      </c>
      <c r="C208" s="71" t="s">
        <v>330</v>
      </c>
      <c r="D208" s="20"/>
      <c r="E208" s="32" t="s">
        <v>331</v>
      </c>
      <c r="F208" s="34"/>
      <c r="G208" s="19"/>
      <c r="H208" s="15">
        <v>12</v>
      </c>
      <c r="I208" s="71" t="s">
        <v>330</v>
      </c>
      <c r="J208" s="20"/>
      <c r="K208" s="32" t="s">
        <v>332</v>
      </c>
    </row>
    <row r="209" ht="17.6" spans="1:11">
      <c r="A209" s="20"/>
      <c r="B209" s="58" t="s">
        <v>333</v>
      </c>
      <c r="C209" s="71" t="s">
        <v>334</v>
      </c>
      <c r="D209" s="20"/>
      <c r="E209" s="32" t="s">
        <v>335</v>
      </c>
      <c r="F209" s="34"/>
      <c r="G209" s="19"/>
      <c r="H209" s="63"/>
      <c r="I209" s="71" t="s">
        <v>334</v>
      </c>
      <c r="J209" s="20"/>
      <c r="K209" s="32" t="s">
        <v>336</v>
      </c>
    </row>
    <row r="210" ht="17.6" spans="1:11">
      <c r="A210" s="20"/>
      <c r="B210" s="15">
        <v>6</v>
      </c>
      <c r="C210" s="16">
        <v>2</v>
      </c>
      <c r="D210" s="20"/>
      <c r="E210" s="32" t="s">
        <v>337</v>
      </c>
      <c r="F210" s="34"/>
      <c r="G210" s="19"/>
      <c r="H210" s="72" t="s">
        <v>338</v>
      </c>
      <c r="I210" s="16">
        <v>2</v>
      </c>
      <c r="J210" s="20"/>
      <c r="K210" s="32" t="s">
        <v>339</v>
      </c>
    </row>
    <row r="211" ht="17.6" spans="1:11">
      <c r="A211" s="20"/>
      <c r="B211" s="72" t="s">
        <v>340</v>
      </c>
      <c r="C211" s="71" t="s">
        <v>341</v>
      </c>
      <c r="D211" s="20"/>
      <c r="E211" s="32" t="s">
        <v>342</v>
      </c>
      <c r="F211" s="34"/>
      <c r="G211" s="19"/>
      <c r="H211" s="72" t="s">
        <v>343</v>
      </c>
      <c r="I211" s="71" t="s">
        <v>341</v>
      </c>
      <c r="J211" s="20"/>
      <c r="K211" s="32" t="s">
        <v>344</v>
      </c>
    </row>
    <row r="212" ht="17.6" spans="1:11">
      <c r="A212" s="20"/>
      <c r="B212" s="72" t="s">
        <v>340</v>
      </c>
      <c r="C212" s="71" t="s">
        <v>330</v>
      </c>
      <c r="D212" s="20"/>
      <c r="E212" s="32" t="s">
        <v>345</v>
      </c>
      <c r="F212" s="34"/>
      <c r="G212" s="19"/>
      <c r="H212" s="72" t="s">
        <v>346</v>
      </c>
      <c r="I212" s="71" t="s">
        <v>330</v>
      </c>
      <c r="J212" s="20"/>
      <c r="K212" s="32" t="s">
        <v>347</v>
      </c>
    </row>
    <row r="213" ht="17.6" spans="1:11">
      <c r="A213" s="20"/>
      <c r="B213" s="72" t="s">
        <v>348</v>
      </c>
      <c r="C213" s="71" t="s">
        <v>334</v>
      </c>
      <c r="D213" s="20"/>
      <c r="E213" s="32" t="s">
        <v>349</v>
      </c>
      <c r="F213" s="34"/>
      <c r="G213" s="19"/>
      <c r="H213" s="72" t="s">
        <v>350</v>
      </c>
      <c r="I213" s="71" t="s">
        <v>334</v>
      </c>
      <c r="J213" s="20"/>
      <c r="K213" s="32" t="s">
        <v>351</v>
      </c>
    </row>
    <row r="214" ht="17.6" spans="1:11">
      <c r="A214" s="20"/>
      <c r="B214" s="15">
        <v>2</v>
      </c>
      <c r="C214" s="16">
        <v>2</v>
      </c>
      <c r="D214" s="20"/>
      <c r="E214" s="29" t="s">
        <v>352</v>
      </c>
      <c r="F214" s="34"/>
      <c r="G214" s="19"/>
      <c r="H214" s="72" t="s">
        <v>343</v>
      </c>
      <c r="I214" s="16">
        <v>2</v>
      </c>
      <c r="J214" s="20"/>
      <c r="K214" s="29" t="s">
        <v>353</v>
      </c>
    </row>
    <row r="215" ht="17.6" spans="1:11">
      <c r="A215" s="8" t="s">
        <v>354</v>
      </c>
      <c r="B215" s="9"/>
      <c r="C215" s="9"/>
      <c r="D215" s="9"/>
      <c r="E215" s="9"/>
      <c r="F215" s="9"/>
      <c r="G215" s="9"/>
      <c r="H215" s="9"/>
      <c r="I215" s="9"/>
      <c r="J215" s="9"/>
      <c r="K215" s="39"/>
    </row>
    <row r="216" ht="17.6" spans="1:11">
      <c r="A216" s="10" t="s">
        <v>6</v>
      </c>
      <c r="B216" s="10" t="s">
        <v>7</v>
      </c>
      <c r="C216" s="10"/>
      <c r="D216" s="10" t="s">
        <v>9</v>
      </c>
      <c r="E216" s="10" t="s">
        <v>10</v>
      </c>
      <c r="F216" s="28"/>
      <c r="G216" s="10" t="s">
        <v>6</v>
      </c>
      <c r="H216" s="10" t="s">
        <v>7</v>
      </c>
      <c r="I216" s="10"/>
      <c r="J216" s="10" t="s">
        <v>9</v>
      </c>
      <c r="K216" s="10" t="s">
        <v>10</v>
      </c>
    </row>
    <row r="217" ht="17.6" spans="1:11">
      <c r="A217" s="20"/>
      <c r="B217" s="73">
        <v>6</v>
      </c>
      <c r="C217" s="16">
        <v>3</v>
      </c>
      <c r="D217" s="20"/>
      <c r="E217" s="29" t="s">
        <v>355</v>
      </c>
      <c r="F217" s="34"/>
      <c r="G217" s="19"/>
      <c r="H217" s="73">
        <v>24</v>
      </c>
      <c r="I217" s="16">
        <v>3</v>
      </c>
      <c r="J217" s="20"/>
      <c r="K217" s="29" t="s">
        <v>356</v>
      </c>
    </row>
    <row r="218" ht="17.6" spans="1:11">
      <c r="A218" s="20"/>
      <c r="B218" s="12"/>
      <c r="C218" s="12"/>
      <c r="D218" s="20"/>
      <c r="E218" s="29" t="s">
        <v>357</v>
      </c>
      <c r="F218" s="34"/>
      <c r="G218" s="19"/>
      <c r="H218" s="63"/>
      <c r="I218" s="10" t="s">
        <v>334</v>
      </c>
      <c r="J218" s="20"/>
      <c r="K218" s="29" t="s">
        <v>358</v>
      </c>
    </row>
    <row r="219" ht="17.6" spans="1:11">
      <c r="A219" s="20"/>
      <c r="B219" s="12"/>
      <c r="C219" s="12"/>
      <c r="D219" s="20"/>
      <c r="E219" s="29" t="s">
        <v>359</v>
      </c>
      <c r="F219" s="34"/>
      <c r="G219" s="19"/>
      <c r="H219" s="73">
        <v>10</v>
      </c>
      <c r="I219" s="10" t="s">
        <v>360</v>
      </c>
      <c r="J219" s="20"/>
      <c r="K219" s="29" t="s">
        <v>361</v>
      </c>
    </row>
    <row r="220" ht="17.6" spans="1:11">
      <c r="A220" s="20"/>
      <c r="B220" s="12"/>
      <c r="C220" s="12"/>
      <c r="D220" s="20"/>
      <c r="E220" s="29" t="s">
        <v>362</v>
      </c>
      <c r="F220" s="34"/>
      <c r="G220" s="19"/>
      <c r="H220" s="73">
        <v>20</v>
      </c>
      <c r="I220" s="10" t="s">
        <v>341</v>
      </c>
      <c r="J220" s="20"/>
      <c r="K220" s="29" t="s">
        <v>363</v>
      </c>
    </row>
    <row r="221" ht="17.6" spans="1:11">
      <c r="A221" s="74" t="s">
        <v>364</v>
      </c>
      <c r="B221" s="75"/>
      <c r="C221" s="75"/>
      <c r="D221" s="75"/>
      <c r="E221" s="75"/>
      <c r="F221" s="75"/>
      <c r="G221" s="75"/>
      <c r="H221" s="75"/>
      <c r="I221" s="75"/>
      <c r="J221" s="75"/>
      <c r="K221" s="85"/>
    </row>
    <row r="222" ht="17.6" spans="1:11">
      <c r="A222" s="20"/>
      <c r="B222" s="10" t="s">
        <v>365</v>
      </c>
      <c r="C222" s="10" t="s">
        <v>334</v>
      </c>
      <c r="D222" s="20"/>
      <c r="E222" s="32" t="s">
        <v>366</v>
      </c>
      <c r="F222" s="34"/>
      <c r="G222" s="19"/>
      <c r="H222" s="10" t="s">
        <v>365</v>
      </c>
      <c r="I222" s="10" t="s">
        <v>334</v>
      </c>
      <c r="J222" s="20"/>
      <c r="K222" s="29" t="s">
        <v>367</v>
      </c>
    </row>
    <row r="223" ht="17.6" spans="1:11">
      <c r="A223" s="20"/>
      <c r="B223" s="10" t="s">
        <v>365</v>
      </c>
      <c r="C223" s="10" t="s">
        <v>360</v>
      </c>
      <c r="D223" s="20"/>
      <c r="E223" s="29" t="s">
        <v>368</v>
      </c>
      <c r="F223" s="34"/>
      <c r="G223" s="19"/>
      <c r="H223" s="10" t="s">
        <v>365</v>
      </c>
      <c r="I223" s="10" t="s">
        <v>360</v>
      </c>
      <c r="J223" s="20"/>
      <c r="K223" s="29" t="s">
        <v>369</v>
      </c>
    </row>
    <row r="224" ht="17.6" spans="1:11">
      <c r="A224" s="20"/>
      <c r="B224" s="10" t="s">
        <v>365</v>
      </c>
      <c r="C224" s="10" t="s">
        <v>341</v>
      </c>
      <c r="D224" s="20"/>
      <c r="E224" s="29" t="s">
        <v>370</v>
      </c>
      <c r="F224" s="34"/>
      <c r="G224" s="19"/>
      <c r="H224" s="10" t="s">
        <v>365</v>
      </c>
      <c r="I224" s="10" t="s">
        <v>341</v>
      </c>
      <c r="J224" s="20"/>
      <c r="K224" s="29" t="s">
        <v>371</v>
      </c>
    </row>
    <row r="225" ht="17.6" spans="1:11">
      <c r="A225" s="20"/>
      <c r="B225" s="12"/>
      <c r="C225" s="12"/>
      <c r="D225" s="20"/>
      <c r="E225" s="33"/>
      <c r="F225" s="34"/>
      <c r="G225" s="19"/>
      <c r="H225" s="12"/>
      <c r="I225" s="12"/>
      <c r="J225" s="20"/>
      <c r="K225" s="20"/>
    </row>
    <row r="226" ht="17.6" spans="1:11">
      <c r="A226" s="20"/>
      <c r="B226" s="12"/>
      <c r="C226" s="12"/>
      <c r="D226" s="20"/>
      <c r="E226" s="33"/>
      <c r="F226" s="34"/>
      <c r="G226" s="19"/>
      <c r="H226" s="12"/>
      <c r="I226" s="12"/>
      <c r="J226" s="20"/>
      <c r="K226" s="20"/>
    </row>
    <row r="227" ht="17.6" spans="1:11">
      <c r="A227" s="20"/>
      <c r="B227" s="12"/>
      <c r="C227" s="12"/>
      <c r="D227" s="20"/>
      <c r="E227" s="33"/>
      <c r="F227" s="34"/>
      <c r="G227" s="19"/>
      <c r="H227" s="12"/>
      <c r="I227" s="12"/>
      <c r="J227" s="20"/>
      <c r="K227" s="33"/>
    </row>
    <row r="228" ht="17.6" spans="1:11">
      <c r="A228" s="20"/>
      <c r="B228" s="12"/>
      <c r="C228" s="12"/>
      <c r="D228" s="20"/>
      <c r="E228" s="20"/>
      <c r="F228" s="34"/>
      <c r="G228" s="19"/>
      <c r="H228" s="12"/>
      <c r="I228" s="12"/>
      <c r="J228" s="20"/>
      <c r="K228" s="33"/>
    </row>
    <row r="229" ht="17.6" spans="1:11">
      <c r="A229" s="8" t="s">
        <v>372</v>
      </c>
      <c r="B229" s="9"/>
      <c r="C229" s="9"/>
      <c r="D229" s="9"/>
      <c r="E229" s="9"/>
      <c r="F229" s="9"/>
      <c r="G229" s="9"/>
      <c r="H229" s="9"/>
      <c r="I229" s="9"/>
      <c r="J229" s="9"/>
      <c r="K229" s="39"/>
    </row>
    <row r="230" ht="17.6" spans="1:11">
      <c r="A230" s="10" t="s">
        <v>6</v>
      </c>
      <c r="B230" s="10" t="s">
        <v>7</v>
      </c>
      <c r="C230" s="10"/>
      <c r="D230" s="10" t="s">
        <v>9</v>
      </c>
      <c r="E230" s="10" t="s">
        <v>10</v>
      </c>
      <c r="F230" s="28"/>
      <c r="G230" s="10" t="s">
        <v>6</v>
      </c>
      <c r="H230" s="10" t="s">
        <v>7</v>
      </c>
      <c r="I230" s="10"/>
      <c r="J230" s="10" t="s">
        <v>11</v>
      </c>
      <c r="K230" s="10" t="s">
        <v>10</v>
      </c>
    </row>
    <row r="231" ht="17.6" spans="1:11">
      <c r="A231" s="52">
        <v>540</v>
      </c>
      <c r="B231" s="15">
        <v>8</v>
      </c>
      <c r="C231" s="16">
        <v>1</v>
      </c>
      <c r="D231" s="43">
        <f t="shared" ref="D231:D249" si="25">B231*A231</f>
        <v>4320</v>
      </c>
      <c r="E231" s="57" t="s">
        <v>373</v>
      </c>
      <c r="F231" s="34"/>
      <c r="G231" s="11">
        <v>174.24</v>
      </c>
      <c r="H231" s="12"/>
      <c r="I231" s="16">
        <v>1</v>
      </c>
      <c r="J231" s="43">
        <f t="shared" ref="J231:J247" si="26">H231*G231</f>
        <v>0</v>
      </c>
      <c r="K231" s="29" t="s">
        <v>374</v>
      </c>
    </row>
    <row r="232" ht="17.6" spans="1:11">
      <c r="A232" s="52">
        <v>29.55</v>
      </c>
      <c r="B232" s="44">
        <v>8</v>
      </c>
      <c r="C232" s="16">
        <v>2</v>
      </c>
      <c r="D232" s="43">
        <f t="shared" si="25"/>
        <v>236.4</v>
      </c>
      <c r="E232" s="57" t="s">
        <v>375</v>
      </c>
      <c r="F232" s="34"/>
      <c r="G232" s="11">
        <v>62.79</v>
      </c>
      <c r="H232" s="12"/>
      <c r="I232" s="16">
        <v>2</v>
      </c>
      <c r="J232" s="43">
        <f t="shared" si="26"/>
        <v>0</v>
      </c>
      <c r="K232" s="29" t="s">
        <v>376</v>
      </c>
    </row>
    <row r="233" ht="17.6" spans="1:11">
      <c r="A233" s="52">
        <v>62.79</v>
      </c>
      <c r="B233" s="12"/>
      <c r="C233" s="14">
        <v>3</v>
      </c>
      <c r="D233" s="43">
        <f t="shared" si="25"/>
        <v>0</v>
      </c>
      <c r="E233" s="32" t="s">
        <v>377</v>
      </c>
      <c r="F233" s="34"/>
      <c r="G233" s="11">
        <v>65.94</v>
      </c>
      <c r="H233" s="12"/>
      <c r="I233" s="14">
        <v>3</v>
      </c>
      <c r="J233" s="43">
        <f t="shared" si="26"/>
        <v>0</v>
      </c>
      <c r="K233" s="29" t="s">
        <v>378</v>
      </c>
    </row>
    <row r="234" ht="17.6" spans="1:11">
      <c r="A234" s="52">
        <v>126</v>
      </c>
      <c r="B234" s="15">
        <v>10</v>
      </c>
      <c r="C234" s="16">
        <v>4</v>
      </c>
      <c r="D234" s="43">
        <f t="shared" si="25"/>
        <v>1260</v>
      </c>
      <c r="E234" s="32" t="s">
        <v>379</v>
      </c>
      <c r="F234" s="34"/>
      <c r="G234" s="11">
        <v>6.25</v>
      </c>
      <c r="H234" s="15">
        <v>30</v>
      </c>
      <c r="I234" s="16">
        <v>4</v>
      </c>
      <c r="J234" s="43">
        <f t="shared" si="26"/>
        <v>187.5</v>
      </c>
      <c r="K234" s="53" t="s">
        <v>380</v>
      </c>
    </row>
    <row r="235" ht="17.6" spans="1:11">
      <c r="A235" s="52">
        <v>1.7</v>
      </c>
      <c r="B235" s="12"/>
      <c r="C235" s="14">
        <v>1</v>
      </c>
      <c r="D235" s="43">
        <f t="shared" si="25"/>
        <v>0</v>
      </c>
      <c r="E235" s="32" t="s">
        <v>381</v>
      </c>
      <c r="F235" s="34"/>
      <c r="G235" s="11">
        <v>0.97</v>
      </c>
      <c r="H235" s="15">
        <v>300</v>
      </c>
      <c r="I235" s="14">
        <v>1</v>
      </c>
      <c r="J235" s="43">
        <f t="shared" si="26"/>
        <v>291</v>
      </c>
      <c r="K235" s="53" t="s">
        <v>382</v>
      </c>
    </row>
    <row r="236" ht="17.6" spans="1:11">
      <c r="A236" s="52">
        <v>57.5</v>
      </c>
      <c r="B236" s="15">
        <v>6</v>
      </c>
      <c r="C236" s="16">
        <v>2</v>
      </c>
      <c r="D236" s="43">
        <f t="shared" si="25"/>
        <v>345</v>
      </c>
      <c r="E236" s="32" t="s">
        <v>383</v>
      </c>
      <c r="F236" s="34"/>
      <c r="G236" s="11">
        <v>25.87</v>
      </c>
      <c r="H236" s="15">
        <v>6</v>
      </c>
      <c r="I236" s="16">
        <v>2</v>
      </c>
      <c r="J236" s="43">
        <f t="shared" si="26"/>
        <v>155.22</v>
      </c>
      <c r="K236" s="29" t="s">
        <v>384</v>
      </c>
    </row>
    <row r="237" ht="17.6" spans="1:11">
      <c r="A237" s="52">
        <v>22</v>
      </c>
      <c r="B237" s="15">
        <v>6</v>
      </c>
      <c r="C237" s="16">
        <v>3</v>
      </c>
      <c r="D237" s="43">
        <f t="shared" si="25"/>
        <v>132</v>
      </c>
      <c r="E237" s="32" t="s">
        <v>385</v>
      </c>
      <c r="F237" s="34"/>
      <c r="G237" s="11">
        <v>5.23</v>
      </c>
      <c r="H237" s="12"/>
      <c r="I237" s="16">
        <v>3</v>
      </c>
      <c r="J237" s="43">
        <f t="shared" si="26"/>
        <v>0</v>
      </c>
      <c r="K237" s="29" t="s">
        <v>386</v>
      </c>
    </row>
    <row r="238" ht="17.6" spans="1:11">
      <c r="A238" s="52">
        <v>66.9</v>
      </c>
      <c r="B238" s="12"/>
      <c r="C238" s="14">
        <v>4</v>
      </c>
      <c r="D238" s="43">
        <f t="shared" si="25"/>
        <v>0</v>
      </c>
      <c r="E238" s="32" t="s">
        <v>387</v>
      </c>
      <c r="F238" s="34"/>
      <c r="G238" s="11">
        <v>71.96</v>
      </c>
      <c r="H238" s="65"/>
      <c r="I238" s="14">
        <v>4</v>
      </c>
      <c r="J238" s="86">
        <f t="shared" si="26"/>
        <v>0</v>
      </c>
      <c r="K238" s="70" t="s">
        <v>388</v>
      </c>
    </row>
    <row r="239" ht="17.6" spans="1:11">
      <c r="A239" s="52">
        <v>123.84</v>
      </c>
      <c r="B239" s="15">
        <v>2</v>
      </c>
      <c r="C239" s="16">
        <v>1</v>
      </c>
      <c r="D239" s="43">
        <f t="shared" si="25"/>
        <v>247.68</v>
      </c>
      <c r="E239" s="32" t="s">
        <v>389</v>
      </c>
      <c r="F239" s="34"/>
      <c r="G239" s="11"/>
      <c r="H239" s="12"/>
      <c r="I239" s="16">
        <v>1</v>
      </c>
      <c r="J239" s="43">
        <f t="shared" si="26"/>
        <v>0</v>
      </c>
      <c r="K239" s="29" t="s">
        <v>390</v>
      </c>
    </row>
    <row r="240" ht="17.6" spans="1:11">
      <c r="A240" s="52">
        <v>9.39</v>
      </c>
      <c r="B240" s="15">
        <v>5</v>
      </c>
      <c r="C240" s="16">
        <v>2</v>
      </c>
      <c r="D240" s="43">
        <f t="shared" si="25"/>
        <v>46.95</v>
      </c>
      <c r="E240" s="32" t="s">
        <v>391</v>
      </c>
      <c r="F240" s="34"/>
      <c r="G240" s="11"/>
      <c r="H240" s="12"/>
      <c r="I240" s="16">
        <v>2</v>
      </c>
      <c r="J240" s="43">
        <f t="shared" si="26"/>
        <v>0</v>
      </c>
      <c r="K240" s="29" t="s">
        <v>392</v>
      </c>
    </row>
    <row r="241" ht="17.6" spans="1:11">
      <c r="A241" s="52"/>
      <c r="B241" s="12"/>
      <c r="C241" s="14">
        <v>3</v>
      </c>
      <c r="D241" s="43">
        <f t="shared" si="25"/>
        <v>0</v>
      </c>
      <c r="E241" s="32" t="s">
        <v>393</v>
      </c>
      <c r="F241" s="34"/>
      <c r="G241" s="11"/>
      <c r="H241" s="12"/>
      <c r="I241" s="14">
        <v>3</v>
      </c>
      <c r="J241" s="43">
        <f t="shared" si="26"/>
        <v>0</v>
      </c>
      <c r="K241" s="29" t="s">
        <v>394</v>
      </c>
    </row>
    <row r="242" ht="17.6" spans="1:11">
      <c r="A242" s="52"/>
      <c r="B242" s="12"/>
      <c r="C242" s="14">
        <v>4</v>
      </c>
      <c r="D242" s="43">
        <f t="shared" si="25"/>
        <v>0</v>
      </c>
      <c r="E242" s="32" t="s">
        <v>395</v>
      </c>
      <c r="F242" s="34"/>
      <c r="G242" s="11"/>
      <c r="H242" s="12"/>
      <c r="I242" s="14">
        <v>4</v>
      </c>
      <c r="J242" s="43">
        <f t="shared" si="26"/>
        <v>0</v>
      </c>
      <c r="K242" s="29" t="s">
        <v>396</v>
      </c>
    </row>
    <row r="243" ht="17.6" spans="1:11">
      <c r="A243" s="52"/>
      <c r="B243" s="12"/>
      <c r="C243" s="14">
        <v>1</v>
      </c>
      <c r="D243" s="43">
        <f t="shared" si="25"/>
        <v>0</v>
      </c>
      <c r="E243" s="32" t="s">
        <v>397</v>
      </c>
      <c r="F243" s="34"/>
      <c r="G243" s="11"/>
      <c r="H243" s="12"/>
      <c r="I243" s="14">
        <v>1</v>
      </c>
      <c r="J243" s="43">
        <f t="shared" si="26"/>
        <v>0</v>
      </c>
      <c r="K243" s="29" t="s">
        <v>398</v>
      </c>
    </row>
    <row r="244" ht="17.6" spans="1:11">
      <c r="A244" s="52"/>
      <c r="B244" s="12"/>
      <c r="C244" s="14">
        <v>2</v>
      </c>
      <c r="D244" s="43">
        <f t="shared" si="25"/>
        <v>0</v>
      </c>
      <c r="E244" s="32" t="s">
        <v>399</v>
      </c>
      <c r="F244" s="34"/>
      <c r="G244" s="11">
        <v>2.84</v>
      </c>
      <c r="H244" s="15">
        <v>40</v>
      </c>
      <c r="I244" s="14">
        <v>2</v>
      </c>
      <c r="J244" s="43">
        <f t="shared" si="26"/>
        <v>113.6</v>
      </c>
      <c r="K244" s="32" t="s">
        <v>400</v>
      </c>
    </row>
    <row r="245" ht="17.6" spans="1:11">
      <c r="A245" s="52">
        <v>3.52</v>
      </c>
      <c r="B245" s="15">
        <v>12</v>
      </c>
      <c r="C245" s="16">
        <v>3</v>
      </c>
      <c r="D245" s="43">
        <f t="shared" si="25"/>
        <v>42.24</v>
      </c>
      <c r="E245" s="29" t="s">
        <v>401</v>
      </c>
      <c r="F245" s="34"/>
      <c r="G245" s="79">
        <v>4.87</v>
      </c>
      <c r="H245" s="15">
        <v>72</v>
      </c>
      <c r="I245" s="16">
        <v>3</v>
      </c>
      <c r="J245" s="87">
        <f t="shared" si="26"/>
        <v>350.64</v>
      </c>
      <c r="K245" s="42" t="s">
        <v>402</v>
      </c>
    </row>
    <row r="246" ht="17.6" spans="1:11">
      <c r="A246" s="52">
        <v>103.5</v>
      </c>
      <c r="B246" s="15">
        <v>6</v>
      </c>
      <c r="C246" s="16">
        <v>4</v>
      </c>
      <c r="D246" s="43">
        <f t="shared" si="25"/>
        <v>621</v>
      </c>
      <c r="E246" s="32" t="s">
        <v>403</v>
      </c>
      <c r="F246" s="34"/>
      <c r="G246" s="80">
        <v>255</v>
      </c>
      <c r="H246" s="15">
        <v>2</v>
      </c>
      <c r="I246" s="16">
        <v>4</v>
      </c>
      <c r="J246" s="43">
        <f t="shared" si="26"/>
        <v>510</v>
      </c>
      <c r="K246" s="29" t="s">
        <v>404</v>
      </c>
    </row>
    <row r="247" ht="17.6" spans="1:11">
      <c r="A247" s="52">
        <v>255</v>
      </c>
      <c r="B247" s="15">
        <v>1</v>
      </c>
      <c r="C247" s="16">
        <v>1</v>
      </c>
      <c r="D247" s="43">
        <f t="shared" si="25"/>
        <v>255</v>
      </c>
      <c r="E247" s="32" t="s">
        <v>405</v>
      </c>
      <c r="F247" s="34"/>
      <c r="G247" s="11">
        <v>129</v>
      </c>
      <c r="H247" s="81"/>
      <c r="I247" s="16">
        <v>1</v>
      </c>
      <c r="J247" s="86">
        <f t="shared" si="26"/>
        <v>0</v>
      </c>
      <c r="K247" s="70" t="s">
        <v>406</v>
      </c>
    </row>
    <row r="248" ht="17.6" spans="1:11">
      <c r="A248" s="52">
        <v>255</v>
      </c>
      <c r="B248" s="15">
        <v>2</v>
      </c>
      <c r="C248" s="16">
        <v>2</v>
      </c>
      <c r="D248" s="43">
        <f t="shared" si="25"/>
        <v>510</v>
      </c>
      <c r="E248" s="32" t="s">
        <v>407</v>
      </c>
      <c r="F248" s="34"/>
      <c r="G248" s="82"/>
      <c r="H248" s="72" t="s">
        <v>408</v>
      </c>
      <c r="I248" s="16">
        <v>2</v>
      </c>
      <c r="J248" s="82"/>
      <c r="K248" s="42" t="s">
        <v>409</v>
      </c>
    </row>
    <row r="249" ht="17.6" spans="1:11">
      <c r="A249" s="52">
        <v>65</v>
      </c>
      <c r="B249" s="15">
        <v>1</v>
      </c>
      <c r="C249" s="16">
        <v>3</v>
      </c>
      <c r="D249" s="43">
        <f t="shared" si="25"/>
        <v>65</v>
      </c>
      <c r="E249" s="57" t="s">
        <v>410</v>
      </c>
      <c r="F249" s="34"/>
      <c r="G249" s="83"/>
      <c r="H249" s="72" t="s">
        <v>408</v>
      </c>
      <c r="I249" s="16">
        <v>3</v>
      </c>
      <c r="J249" s="82"/>
      <c r="K249" s="42" t="s">
        <v>411</v>
      </c>
    </row>
    <row r="250" ht="17.6" spans="1:11">
      <c r="A250" s="20"/>
      <c r="B250" s="12"/>
      <c r="C250" s="12"/>
      <c r="D250" s="20"/>
      <c r="E250" s="20"/>
      <c r="F250" s="34"/>
      <c r="G250" s="84"/>
      <c r="H250" s="73">
        <v>2</v>
      </c>
      <c r="I250" s="16">
        <v>1</v>
      </c>
      <c r="J250" s="82"/>
      <c r="K250" s="42" t="s">
        <v>412</v>
      </c>
    </row>
    <row r="251" ht="17.6" spans="1:11">
      <c r="A251" s="20"/>
      <c r="B251" s="12"/>
      <c r="C251" s="12"/>
      <c r="D251" s="20"/>
      <c r="E251" s="20"/>
      <c r="F251" s="34"/>
      <c r="G251" s="84"/>
      <c r="H251" s="72" t="s">
        <v>343</v>
      </c>
      <c r="I251" s="71" t="s">
        <v>360</v>
      </c>
      <c r="J251" s="82"/>
      <c r="K251" s="42" t="s">
        <v>413</v>
      </c>
    </row>
    <row r="252" ht="17.6" spans="1:11">
      <c r="A252" s="20"/>
      <c r="B252" s="12"/>
      <c r="C252" s="12"/>
      <c r="D252" s="20"/>
      <c r="E252" s="20"/>
      <c r="F252" s="34"/>
      <c r="G252" s="84"/>
      <c r="H252" s="73">
        <v>4</v>
      </c>
      <c r="I252" s="16">
        <v>3</v>
      </c>
      <c r="J252" s="82"/>
      <c r="K252" s="42" t="s">
        <v>414</v>
      </c>
    </row>
    <row r="253" ht="17.6" spans="1:11">
      <c r="A253" s="20"/>
      <c r="B253" s="12"/>
      <c r="C253" s="12"/>
      <c r="D253" s="20"/>
      <c r="E253" s="20"/>
      <c r="F253" s="34"/>
      <c r="G253" s="84"/>
      <c r="H253" s="73">
        <v>10</v>
      </c>
      <c r="I253" s="16">
        <v>4</v>
      </c>
      <c r="J253" s="82"/>
      <c r="K253" s="42" t="s">
        <v>415</v>
      </c>
    </row>
    <row r="254" ht="17.6" spans="1:11">
      <c r="A254" s="20"/>
      <c r="B254" s="12"/>
      <c r="C254" s="12"/>
      <c r="D254" s="20"/>
      <c r="E254" s="20"/>
      <c r="F254" s="34"/>
      <c r="G254" s="84"/>
      <c r="H254" s="73">
        <v>3</v>
      </c>
      <c r="I254" s="16">
        <v>1</v>
      </c>
      <c r="J254" s="82"/>
      <c r="K254" s="42" t="s">
        <v>416</v>
      </c>
    </row>
    <row r="255" ht="17.6" spans="1:11">
      <c r="A255" s="20"/>
      <c r="B255" s="12"/>
      <c r="C255" s="12"/>
      <c r="D255" s="20"/>
      <c r="E255" s="20"/>
      <c r="F255" s="34"/>
      <c r="G255" s="19"/>
      <c r="H255" s="58" t="s">
        <v>417</v>
      </c>
      <c r="I255" s="71"/>
      <c r="J255" s="20"/>
      <c r="K255" s="29" t="s">
        <v>418</v>
      </c>
    </row>
    <row r="256" ht="17.6" spans="1:11">
      <c r="A256" s="20"/>
      <c r="B256" s="76" t="s">
        <v>419</v>
      </c>
      <c r="C256" s="77"/>
      <c r="D256" s="78"/>
      <c r="E256" s="43">
        <f>SUM(D231:D249,D217:D228,D207:D214,D198:D204,D183:D195,D173:D180,D156:D170,D148:D153,D127:D145,D119:D124,D109:D116,D104:D106,D51:D99,D35:D48,D20:D30,D7:D17)</f>
        <v>22426.6</v>
      </c>
      <c r="F256" s="34"/>
      <c r="G256" s="19"/>
      <c r="H256" s="76" t="s">
        <v>419</v>
      </c>
      <c r="I256" s="77"/>
      <c r="J256" s="78"/>
      <c r="K256" s="43">
        <v>1607.96</v>
      </c>
    </row>
    <row r="257" ht="17.6" spans="1:11">
      <c r="A257" s="20"/>
      <c r="B257" s="63"/>
      <c r="C257" s="63"/>
      <c r="D257" s="20"/>
      <c r="E257" s="20"/>
      <c r="F257" s="34"/>
      <c r="G257" s="19"/>
      <c r="H257" s="20"/>
      <c r="I257" s="20"/>
      <c r="J257" s="20"/>
      <c r="K257" s="33"/>
    </row>
    <row r="258" ht="17.6" spans="1:11">
      <c r="A258" s="20"/>
      <c r="B258" s="20"/>
      <c r="C258" s="20"/>
      <c r="D258" s="32" t="s">
        <v>420</v>
      </c>
      <c r="E258" s="20">
        <f>E256+K256</f>
        <v>24034.56</v>
      </c>
      <c r="F258" s="34"/>
      <c r="G258" s="19"/>
      <c r="H258" s="20"/>
      <c r="I258" s="20"/>
      <c r="J258" s="20"/>
      <c r="K258" s="29" t="s">
        <v>421</v>
      </c>
    </row>
    <row r="259" ht="17.6" spans="1:11">
      <c r="A259" s="88"/>
      <c r="B259" s="88"/>
      <c r="C259" s="88"/>
      <c r="D259" s="88"/>
      <c r="E259" s="89"/>
      <c r="F259" s="88"/>
      <c r="G259" s="90"/>
      <c r="H259" s="88"/>
      <c r="I259" s="88"/>
      <c r="J259" s="88"/>
      <c r="K259" s="89"/>
    </row>
  </sheetData>
  <mergeCells count="24">
    <mergeCell ref="A1:K1"/>
    <mergeCell ref="A2:E2"/>
    <mergeCell ref="G2:K2"/>
    <mergeCell ref="A3:E3"/>
    <mergeCell ref="G3:K3"/>
    <mergeCell ref="A5:K5"/>
    <mergeCell ref="A18:K18"/>
    <mergeCell ref="A33:K33"/>
    <mergeCell ref="A49:K49"/>
    <mergeCell ref="A102:K102"/>
    <mergeCell ref="A107:K107"/>
    <mergeCell ref="A117:K117"/>
    <mergeCell ref="A125:K125"/>
    <mergeCell ref="A146:K146"/>
    <mergeCell ref="A154:K154"/>
    <mergeCell ref="A171:K171"/>
    <mergeCell ref="A181:K181"/>
    <mergeCell ref="A196:K196"/>
    <mergeCell ref="A205:K205"/>
    <mergeCell ref="A215:K215"/>
    <mergeCell ref="A221:K221"/>
    <mergeCell ref="A229:K229"/>
    <mergeCell ref="B256:D256"/>
    <mergeCell ref="H256:J256"/>
  </mergeCells>
  <conditionalFormatting sqref="G246">
    <cfRule type="cellIs" dxfId="0" priority="1" stopIfTrue="1" operator="lessThan">
      <formula>0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2024-12-13T13:39:49Z</dcterms:created>
  <dcterms:modified xsi:type="dcterms:W3CDTF">2024-12-13T15:13:10Z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91E0303EAF76ADACA5C85B67A52C7B3E_41</vt:lpwstr>
  </property>
  <property fmtid="{D5CDD505-2E9C-101B-9397-08002B2CF9AE}" pid="3" name="KSOProductBuildVer">
    <vt:lpwstr>2052-6.8.2.8850</vt:lpwstr>
  </property>
</Properties>
</file>