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<sst xmlns="http://schemas.openxmlformats.org/spreadsheetml/2006/main" count="56" uniqueCount="30">
  <si>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1978 Season</t>
  </si>
  <si>
    <t>1978 Toronto Blue Jays Batting Statistics</t>
  </si>
  <si>
    <t>Number</t>
  </si>
  <si>
    <t>Name</t>
  </si>
  <si>
    <t>Opponent</t>
  </si>
  <si>
    <t>G</t>
  </si>
  <si>
    <t>AB</t>
  </si>
  <si>
    <t>R</t>
  </si>
  <si>
    <t>H</t>
  </si>
  <si>
    <t>RBI</t>
  </si>
  <si>
    <t>Avg.</t>
  </si>
  <si>
    <t>2B</t>
  </si>
  <si>
    <t>3B</t>
  </si>
  <si>
    <t>HR</t>
  </si>
  <si>
    <t>Rick Bosetti</t>
  </si>
  <si>
    <t>Angels</t>
  </si>
  <si>
    <t>Athletics</t>
  </si>
  <si>
    <t>Brewers</t>
  </si>
  <si>
    <t>Indians</t>
  </si>
  <si>
    <t>Mariners</t>
  </si>
  <si>
    <t>Orioles</t>
  </si>
  <si>
    <t>Rangers</t>
  </si>
  <si>
    <t>Red Sox</t>
  </si>
  <si>
    <t>Royals</t>
  </si>
  <si>
    <t>Tigers</t>
  </si>
  <si>
    <t>Twins</t>
  </si>
  <si>
    <t>White Sox</t>
  </si>
  <si>
    <t>Yankees</t>
  </si>
  <si>
    <t>Totals</t>
  </si>
  <si>
    <t>Al Woods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</si>
</sst>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;@"/>
    <numFmt numFmtId="177" formatCode="0.000"/>
  </numFmts>
  <fonts count="29">
    <font>
      <sz val="11"/>
      <color theme="1"/>
      <name val="宋体"/>
      <charset val="134"/>
      <scheme val="minor"/>
    </font>
    <font>
      <b/>
      <sz val="11"/>
      <name val="Arial"/>
      <charset val="134"/>
    </font>
    <font>
      <sz val="11"/>
      <color indexed="8"/>
      <name val="Calibri"/>
      <charset val="134"/>
    </font>
    <font>
      <b/>
      <sz val="10"/>
      <name val="Arial"/>
      <charset val="134"/>
    </font>
    <font>
      <sz val="14"/>
      <color theme="0"/>
      <name val="Arial"/>
      <charset val="134"/>
    </font>
    <font>
      <b/>
      <u/>
      <sz val="10"/>
      <name val="Arial"/>
      <charset val="134"/>
    </font>
    <font>
      <sz val="11"/>
      <color theme="1"/>
      <name val="宋体"/>
      <charset val="134"/>
      <scheme val="minor"/>
    </font>
    <font>
      <i/>
      <sz val="10"/>
      <name val="Arial"/>
      <charset val="134"/>
    </font>
    <font>
      <sz val="10"/>
      <name val="Arial"/>
      <charset val="134"/>
    </font>
    <font>
      <u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1" fillId="0" borderId="0" xfId="49" applyFont="1" applyAlignment="1">
      <alignment horizontal="center"/>
    </xf>
    <xf numFmtId="0" fontId="2" fillId="0" borderId="0" xfId="49" applyAlignment="1">
      <alignment horizontal="center"/>
    </xf>
    <xf numFmtId="176" fontId="3" fillId="0" borderId="0" xfId="49" applyNumberFormat="1" applyFont="1"/>
    <xf numFmtId="0" fontId="4" fillId="2" borderId="0" xfId="49" applyFont="1" applyFill="1" applyAlignment="1">
      <alignment horizontal="center"/>
    </xf>
    <xf numFmtId="176" fontId="2" fillId="0" borderId="0" xfId="49" applyNumberFormat="1"/>
    <xf numFmtId="0" fontId="5" fillId="0" borderId="0" xfId="49" applyFont="1" applyAlignment="1">
      <alignment horizontal="center" vertical="center"/>
    </xf>
    <xf numFmtId="176" fontId="5" fillId="0" borderId="0" xfId="49" applyNumberFormat="1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7" fillId="0" borderId="0" xfId="49" applyFont="1" applyAlignment="1">
      <alignment horizontal="right" vertical="center"/>
    </xf>
    <xf numFmtId="0" fontId="7" fillId="0" borderId="0" xfId="49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0" fontId="5" fillId="0" borderId="1" xfId="49" applyFont="1" applyBorder="1" applyAlignment="1">
      <alignment horizontal="center" vertical="center"/>
    </xf>
    <xf numFmtId="0" fontId="2" fillId="0" borderId="1" xfId="49" applyBorder="1" applyAlignment="1">
      <alignment horizontal="center" vertical="center"/>
    </xf>
    <xf numFmtId="0" fontId="2" fillId="0" borderId="0" xfId="49" applyBorder="1" applyAlignment="1">
      <alignment vertical="center"/>
    </xf>
    <xf numFmtId="0" fontId="2" fillId="0" borderId="0" xfId="49" applyAlignment="1">
      <alignment horizontal="center" vertical="center"/>
    </xf>
    <xf numFmtId="176" fontId="2" fillId="0" borderId="0" xfId="49" applyNumberFormat="1" applyAlignment="1">
      <alignment vertical="center"/>
    </xf>
    <xf numFmtId="177" fontId="2" fillId="0" borderId="0" xfId="49" applyNumberFormat="1" applyAlignment="1">
      <alignment horizontal="center"/>
    </xf>
    <xf numFmtId="177" fontId="5" fillId="0" borderId="0" xfId="49" applyNumberFormat="1" applyFont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77" fontId="2" fillId="0" borderId="1" xfId="49" applyNumberFormat="1" applyBorder="1" applyAlignment="1">
      <alignment horizontal="center" vertical="center"/>
    </xf>
    <xf numFmtId="177" fontId="2" fillId="0" borderId="0" xfId="49" applyNumberFormat="1" applyBorder="1" applyAlignment="1">
      <alignment vertical="center"/>
    </xf>
    <xf numFmtId="0" fontId="2" fillId="0" borderId="0" xfId="49"/>
    <xf numFmtId="0" fontId="8" fillId="0" borderId="0" xfId="49" applyFont="1"/>
    <xf numFmtId="0" fontId="9" fillId="0" borderId="0" xfId="49" applyFont="1"/>
    <xf numFmtId="0" fontId="6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ownloads/1978%20Toronto%20Blue%20Jays%20-%20Batt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978 Stats"/>
      <sheetName val="Angels"/>
      <sheetName val="Athletics"/>
      <sheetName val="Brewers"/>
      <sheetName val="Indians"/>
      <sheetName val="Mariners"/>
      <sheetName val="Orioles"/>
      <sheetName val="Rangers"/>
      <sheetName val="RedSox"/>
      <sheetName val="Royals"/>
      <sheetName val="Tigers"/>
      <sheetName val="Twins"/>
      <sheetName val="WhiteSox"/>
      <sheetName val="Yankees"/>
    </sheetNames>
    <sheetDataSet>
      <sheetData sheetId="0"/>
      <sheetData sheetId="1">
        <row r="6">
          <cell r="C6">
            <v>7</v>
          </cell>
          <cell r="D6">
            <v>29</v>
          </cell>
          <cell r="E6">
            <v>3</v>
          </cell>
          <cell r="F6">
            <v>7</v>
          </cell>
          <cell r="G6">
            <v>2</v>
          </cell>
          <cell r="H6">
            <v>0.241379310344828</v>
          </cell>
          <cell r="I6">
            <v>0</v>
          </cell>
          <cell r="J6">
            <v>1</v>
          </cell>
          <cell r="K6">
            <v>0</v>
          </cell>
        </row>
        <row r="18">
          <cell r="C18">
            <v>3</v>
          </cell>
          <cell r="D18">
            <v>9</v>
          </cell>
          <cell r="E18">
            <v>1</v>
          </cell>
          <cell r="F18">
            <v>2</v>
          </cell>
          <cell r="G18">
            <v>1</v>
          </cell>
          <cell r="H18">
            <v>0.222222222222222</v>
          </cell>
          <cell r="I18">
            <v>0</v>
          </cell>
          <cell r="J18">
            <v>1</v>
          </cell>
          <cell r="K18">
            <v>0</v>
          </cell>
        </row>
      </sheetData>
      <sheetData sheetId="2">
        <row r="6">
          <cell r="C6">
            <v>9</v>
          </cell>
          <cell r="D6">
            <v>36</v>
          </cell>
          <cell r="E6">
            <v>7</v>
          </cell>
          <cell r="F6">
            <v>8</v>
          </cell>
          <cell r="G6">
            <v>4</v>
          </cell>
          <cell r="H6">
            <v>0.222222222222222</v>
          </cell>
          <cell r="I6">
            <v>1</v>
          </cell>
          <cell r="J6">
            <v>1</v>
          </cell>
          <cell r="K6">
            <v>0</v>
          </cell>
        </row>
        <row r="19">
          <cell r="C19">
            <v>3</v>
          </cell>
          <cell r="D19">
            <v>10</v>
          </cell>
          <cell r="E19">
            <v>0</v>
          </cell>
          <cell r="F19">
            <v>2</v>
          </cell>
          <cell r="G19">
            <v>2</v>
          </cell>
          <cell r="H19">
            <v>0.2</v>
          </cell>
          <cell r="I19">
            <v>0</v>
          </cell>
          <cell r="J19">
            <v>0</v>
          </cell>
          <cell r="K19">
            <v>0</v>
          </cell>
        </row>
      </sheetData>
      <sheetData sheetId="3">
        <row r="6">
          <cell r="C6">
            <v>8</v>
          </cell>
          <cell r="D6">
            <v>33</v>
          </cell>
          <cell r="E6">
            <v>6</v>
          </cell>
          <cell r="F6">
            <v>7</v>
          </cell>
          <cell r="G6">
            <v>3</v>
          </cell>
          <cell r="H6">
            <v>0.212121212121212</v>
          </cell>
          <cell r="I6">
            <v>0</v>
          </cell>
          <cell r="J6">
            <v>0</v>
          </cell>
          <cell r="K6">
            <v>1</v>
          </cell>
        </row>
        <row r="23">
          <cell r="C23">
            <v>6</v>
          </cell>
          <cell r="D23">
            <v>25</v>
          </cell>
          <cell r="E23">
            <v>1</v>
          </cell>
          <cell r="F23">
            <v>4</v>
          </cell>
          <cell r="G23">
            <v>1</v>
          </cell>
          <cell r="H23">
            <v>0.16</v>
          </cell>
          <cell r="I23">
            <v>1</v>
          </cell>
          <cell r="J23">
            <v>0</v>
          </cell>
          <cell r="K23">
            <v>0</v>
          </cell>
        </row>
      </sheetData>
      <sheetData sheetId="4">
        <row r="6">
          <cell r="C6">
            <v>6</v>
          </cell>
          <cell r="D6">
            <v>25</v>
          </cell>
          <cell r="E6">
            <v>3</v>
          </cell>
          <cell r="F6">
            <v>5</v>
          </cell>
          <cell r="G6">
            <v>0</v>
          </cell>
          <cell r="H6">
            <v>0.2</v>
          </cell>
          <cell r="I6">
            <v>0</v>
          </cell>
          <cell r="J6">
            <v>0</v>
          </cell>
          <cell r="K6">
            <v>0</v>
          </cell>
        </row>
        <row r="22">
          <cell r="C22">
            <v>5</v>
          </cell>
          <cell r="D22">
            <v>21</v>
          </cell>
          <cell r="E22">
            <v>1</v>
          </cell>
          <cell r="F22">
            <v>6</v>
          </cell>
          <cell r="G22">
            <v>1</v>
          </cell>
          <cell r="H22">
            <v>0.285714285714286</v>
          </cell>
          <cell r="I22">
            <v>1</v>
          </cell>
          <cell r="J22">
            <v>0</v>
          </cell>
          <cell r="K22">
            <v>0</v>
          </cell>
        </row>
      </sheetData>
      <sheetData sheetId="5">
        <row r="6">
          <cell r="C6">
            <v>8</v>
          </cell>
          <cell r="D6">
            <v>36</v>
          </cell>
          <cell r="E6">
            <v>6</v>
          </cell>
          <cell r="F6">
            <v>11</v>
          </cell>
          <cell r="G6">
            <v>5</v>
          </cell>
          <cell r="H6">
            <v>0.305555555555556</v>
          </cell>
          <cell r="I6">
            <v>2</v>
          </cell>
          <cell r="J6">
            <v>0</v>
          </cell>
          <cell r="K6">
            <v>1</v>
          </cell>
        </row>
        <row r="18">
          <cell r="C18">
            <v>2</v>
          </cell>
          <cell r="D18">
            <v>8</v>
          </cell>
          <cell r="E18">
            <v>0</v>
          </cell>
          <cell r="F18">
            <v>3</v>
          </cell>
          <cell r="G18">
            <v>0</v>
          </cell>
          <cell r="H18">
            <v>0.375</v>
          </cell>
          <cell r="I18">
            <v>0</v>
          </cell>
          <cell r="J18">
            <v>0</v>
          </cell>
          <cell r="K18">
            <v>0</v>
          </cell>
        </row>
      </sheetData>
      <sheetData sheetId="6">
        <row r="6">
          <cell r="C6">
            <v>9</v>
          </cell>
          <cell r="D6">
            <v>31</v>
          </cell>
          <cell r="E6">
            <v>2</v>
          </cell>
          <cell r="F6">
            <v>4</v>
          </cell>
          <cell r="G6">
            <v>0</v>
          </cell>
          <cell r="H6">
            <v>0.129032258064516</v>
          </cell>
          <cell r="I6">
            <v>1</v>
          </cell>
          <cell r="J6">
            <v>0</v>
          </cell>
          <cell r="K6">
            <v>0</v>
          </cell>
        </row>
        <row r="23">
          <cell r="C23">
            <v>8</v>
          </cell>
          <cell r="D23">
            <v>26</v>
          </cell>
          <cell r="E23">
            <v>3</v>
          </cell>
          <cell r="F23">
            <v>3</v>
          </cell>
          <cell r="G23">
            <v>2</v>
          </cell>
          <cell r="H23">
            <v>0.115384615384615</v>
          </cell>
          <cell r="I23">
            <v>1</v>
          </cell>
          <cell r="J23">
            <v>0</v>
          </cell>
          <cell r="K23">
            <v>1</v>
          </cell>
        </row>
      </sheetData>
      <sheetData sheetId="7">
        <row r="6">
          <cell r="C6">
            <v>7</v>
          </cell>
          <cell r="D6">
            <v>30</v>
          </cell>
          <cell r="E6">
            <v>3</v>
          </cell>
          <cell r="F6">
            <v>13</v>
          </cell>
          <cell r="G6">
            <v>2</v>
          </cell>
          <cell r="H6">
            <v>0.433333333333333</v>
          </cell>
          <cell r="I6">
            <v>3</v>
          </cell>
          <cell r="J6">
            <v>0</v>
          </cell>
          <cell r="K6">
            <v>1</v>
          </cell>
        </row>
        <row r="19">
          <cell r="C19">
            <v>4</v>
          </cell>
          <cell r="D19">
            <v>12</v>
          </cell>
          <cell r="E19">
            <v>1</v>
          </cell>
          <cell r="F19">
            <v>4</v>
          </cell>
          <cell r="G19">
            <v>2</v>
          </cell>
          <cell r="H19">
            <v>0.333333333333333</v>
          </cell>
          <cell r="I19">
            <v>2</v>
          </cell>
          <cell r="J19">
            <v>0</v>
          </cell>
          <cell r="K19">
            <v>0</v>
          </cell>
        </row>
      </sheetData>
      <sheetData sheetId="8">
        <row r="6">
          <cell r="C6">
            <v>8</v>
          </cell>
          <cell r="D6">
            <v>39</v>
          </cell>
          <cell r="E6">
            <v>0</v>
          </cell>
          <cell r="F6">
            <v>12</v>
          </cell>
          <cell r="G6">
            <v>6</v>
          </cell>
          <cell r="H6">
            <v>0.307692307692308</v>
          </cell>
          <cell r="I6">
            <v>0</v>
          </cell>
          <cell r="J6">
            <v>0</v>
          </cell>
          <cell r="K6">
            <v>0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0</v>
          </cell>
          <cell r="H23">
            <v>0.333333333333333</v>
          </cell>
          <cell r="I23">
            <v>1</v>
          </cell>
          <cell r="J23">
            <v>0</v>
          </cell>
          <cell r="K23">
            <v>0</v>
          </cell>
        </row>
      </sheetData>
      <sheetData sheetId="9">
        <row r="6">
          <cell r="C6">
            <v>8</v>
          </cell>
          <cell r="D6">
            <v>28</v>
          </cell>
          <cell r="E6">
            <v>3</v>
          </cell>
          <cell r="F6">
            <v>7</v>
          </cell>
          <cell r="G6">
            <v>2</v>
          </cell>
          <cell r="H6">
            <v>0.25</v>
          </cell>
          <cell r="I6">
            <v>2</v>
          </cell>
          <cell r="J6">
            <v>0</v>
          </cell>
          <cell r="K6">
            <v>0</v>
          </cell>
        </row>
        <row r="18">
          <cell r="C18">
            <v>6</v>
          </cell>
          <cell r="D18">
            <v>24</v>
          </cell>
          <cell r="E18">
            <v>4</v>
          </cell>
          <cell r="F18">
            <v>10</v>
          </cell>
          <cell r="G18">
            <v>1</v>
          </cell>
          <cell r="H18">
            <v>0.416666666666667</v>
          </cell>
          <cell r="I18">
            <v>2</v>
          </cell>
          <cell r="J18">
            <v>1</v>
          </cell>
          <cell r="K18">
            <v>0</v>
          </cell>
        </row>
      </sheetData>
      <sheetData sheetId="10">
        <row r="6">
          <cell r="C6">
            <v>12</v>
          </cell>
          <cell r="D6">
            <v>53</v>
          </cell>
          <cell r="E6">
            <v>9</v>
          </cell>
          <cell r="F6">
            <v>18</v>
          </cell>
          <cell r="G6">
            <v>3</v>
          </cell>
          <cell r="H6">
            <v>0.339622641509434</v>
          </cell>
          <cell r="I6">
            <v>3</v>
          </cell>
          <cell r="J6">
            <v>0</v>
          </cell>
          <cell r="K6">
            <v>1</v>
          </cell>
        </row>
        <row r="23">
          <cell r="C23">
            <v>7</v>
          </cell>
          <cell r="D23">
            <v>27</v>
          </cell>
          <cell r="E23">
            <v>1</v>
          </cell>
          <cell r="F23">
            <v>3</v>
          </cell>
          <cell r="G23">
            <v>3</v>
          </cell>
          <cell r="H23">
            <v>0.111111111111111</v>
          </cell>
          <cell r="I23">
            <v>1</v>
          </cell>
          <cell r="J23">
            <v>0</v>
          </cell>
          <cell r="K23">
            <v>0</v>
          </cell>
        </row>
      </sheetData>
      <sheetData sheetId="11">
        <row r="6">
          <cell r="C6">
            <v>8</v>
          </cell>
          <cell r="D6">
            <v>37</v>
          </cell>
          <cell r="E6">
            <v>2</v>
          </cell>
          <cell r="F6">
            <v>9</v>
          </cell>
          <cell r="G6">
            <v>2</v>
          </cell>
          <cell r="H6">
            <v>0.243243243243243</v>
          </cell>
          <cell r="I6">
            <v>3</v>
          </cell>
          <cell r="J6">
            <v>0</v>
          </cell>
          <cell r="K6">
            <v>0</v>
          </cell>
        </row>
        <row r="18">
          <cell r="C18">
            <v>8</v>
          </cell>
          <cell r="D18">
            <v>30</v>
          </cell>
          <cell r="E18">
            <v>5</v>
          </cell>
          <cell r="F18">
            <v>11</v>
          </cell>
          <cell r="G18">
            <v>7</v>
          </cell>
          <cell r="H18">
            <v>0.366666666666667</v>
          </cell>
          <cell r="I18">
            <v>3</v>
          </cell>
          <cell r="J18">
            <v>1</v>
          </cell>
          <cell r="K18">
            <v>1</v>
          </cell>
        </row>
      </sheetData>
      <sheetData sheetId="12">
        <row r="6">
          <cell r="C6">
            <v>9</v>
          </cell>
          <cell r="D6">
            <v>36</v>
          </cell>
          <cell r="E6">
            <v>5</v>
          </cell>
          <cell r="F6">
            <v>7</v>
          </cell>
          <cell r="G6">
            <v>4</v>
          </cell>
          <cell r="H6">
            <v>0.194444444444444</v>
          </cell>
          <cell r="I6">
            <v>4</v>
          </cell>
          <cell r="J6">
            <v>0</v>
          </cell>
          <cell r="K6">
            <v>0</v>
          </cell>
        </row>
        <row r="18">
          <cell r="C18">
            <v>2</v>
          </cell>
          <cell r="D18">
            <v>4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</sheetData>
      <sheetData sheetId="13">
        <row r="6">
          <cell r="C6">
            <v>9</v>
          </cell>
          <cell r="D6">
            <v>38</v>
          </cell>
          <cell r="E6">
            <v>5</v>
          </cell>
          <cell r="F6">
            <v>13</v>
          </cell>
          <cell r="G6">
            <v>5</v>
          </cell>
          <cell r="H6">
            <v>0.342105263157895</v>
          </cell>
          <cell r="I6">
            <v>2</v>
          </cell>
          <cell r="J6">
            <v>2</v>
          </cell>
          <cell r="K6">
            <v>1</v>
          </cell>
        </row>
        <row r="23">
          <cell r="C23">
            <v>8</v>
          </cell>
          <cell r="D23">
            <v>33</v>
          </cell>
          <cell r="E23">
            <v>3</v>
          </cell>
          <cell r="F23">
            <v>9</v>
          </cell>
          <cell r="G23">
            <v>2</v>
          </cell>
          <cell r="H23">
            <v>0.272727272727273</v>
          </cell>
          <cell r="I23">
            <v>2</v>
          </cell>
          <cell r="J23">
            <v>1</v>
          </cell>
          <cell r="K2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workbookViewId="0">
      <selection activeCell="A1" sqref="A1:Q35"/>
    </sheetView>
  </sheetViews>
  <sheetFormatPr defaultColWidth="9.23076923076923" defaultRowHeight="16.8"/>
  <cols>
    <col min="2" max="2" width="11.6923076923077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/>
      <c r="B2" s="3"/>
      <c r="C2" s="2"/>
      <c r="D2" s="2"/>
      <c r="E2" s="1"/>
      <c r="F2" s="1"/>
      <c r="G2" s="1"/>
      <c r="H2" s="2"/>
      <c r="I2" s="19"/>
      <c r="J2" s="2"/>
      <c r="K2" s="2"/>
      <c r="L2" s="2"/>
      <c r="M2" s="24"/>
      <c r="N2" s="24"/>
      <c r="O2" s="24"/>
      <c r="P2" s="24"/>
      <c r="Q2" s="24"/>
    </row>
    <row r="3" ht="20.4" spans="1:17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>
      <c r="A4" s="2"/>
      <c r="B4" s="5"/>
      <c r="C4" s="2"/>
      <c r="D4" s="2"/>
      <c r="E4" s="2"/>
      <c r="F4" s="2"/>
      <c r="G4" s="2"/>
      <c r="H4" s="2"/>
      <c r="I4" s="19"/>
      <c r="J4" s="2"/>
      <c r="K4" s="2"/>
      <c r="L4" s="2"/>
      <c r="M4" s="24"/>
      <c r="N4" s="24"/>
      <c r="O4" s="24"/>
      <c r="P4" s="24"/>
      <c r="Q4" s="24"/>
    </row>
    <row r="5" spans="1:17">
      <c r="A5" s="6" t="s">
        <v>2</v>
      </c>
      <c r="B5" s="7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20" t="s">
        <v>10</v>
      </c>
      <c r="J5" s="6" t="s">
        <v>11</v>
      </c>
      <c r="K5" s="6" t="s">
        <v>12</v>
      </c>
      <c r="L5" s="6" t="s">
        <v>13</v>
      </c>
      <c r="M5" s="24"/>
      <c r="N5" s="24"/>
      <c r="O5" s="24"/>
      <c r="P5" s="24"/>
      <c r="Q5" s="24"/>
    </row>
    <row r="6" spans="1:17">
      <c r="A6" s="8">
        <v>22</v>
      </c>
      <c r="B6" s="9" t="s">
        <v>14</v>
      </c>
      <c r="C6" s="10" t="s">
        <v>15</v>
      </c>
      <c r="D6" s="8">
        <f>[1]Angels!C6</f>
        <v>7</v>
      </c>
      <c r="E6" s="8">
        <f>[1]Angels!D6</f>
        <v>29</v>
      </c>
      <c r="F6" s="8">
        <f>[1]Angels!E6</f>
        <v>3</v>
      </c>
      <c r="G6" s="8">
        <f>[1]Angels!F6</f>
        <v>7</v>
      </c>
      <c r="H6" s="8">
        <f>[1]Angels!G6</f>
        <v>2</v>
      </c>
      <c r="I6" s="21">
        <f>[1]Angels!H6</f>
        <v>0.241379310344828</v>
      </c>
      <c r="J6" s="8">
        <f>[1]Angels!I6</f>
        <v>0</v>
      </c>
      <c r="K6" s="8">
        <f>[1]Angels!J6</f>
        <v>1</v>
      </c>
      <c r="L6" s="8">
        <f>[1]Angels!K6</f>
        <v>0</v>
      </c>
      <c r="M6" s="25"/>
      <c r="N6" s="26"/>
      <c r="O6" s="26"/>
      <c r="P6" s="26"/>
      <c r="Q6" s="26"/>
    </row>
    <row r="7" spans="1:17">
      <c r="A7" s="8"/>
      <c r="B7" s="9"/>
      <c r="C7" s="10" t="s">
        <v>16</v>
      </c>
      <c r="D7" s="8">
        <f>[1]Athletics!C6</f>
        <v>9</v>
      </c>
      <c r="E7" s="8">
        <f>[1]Athletics!D6</f>
        <v>36</v>
      </c>
      <c r="F7" s="8">
        <f>[1]Athletics!E6</f>
        <v>7</v>
      </c>
      <c r="G7" s="8">
        <f>[1]Athletics!F6</f>
        <v>8</v>
      </c>
      <c r="H7" s="8">
        <f>[1]Athletics!G6</f>
        <v>4</v>
      </c>
      <c r="I7" s="21">
        <f>[1]Athletics!H6</f>
        <v>0.222222222222222</v>
      </c>
      <c r="J7" s="8">
        <f>[1]Athletics!I6</f>
        <v>1</v>
      </c>
      <c r="K7" s="8">
        <f>[1]Athletics!J6</f>
        <v>1</v>
      </c>
      <c r="L7" s="8">
        <f>[1]Athletics!K6</f>
        <v>0</v>
      </c>
      <c r="M7" s="25"/>
      <c r="N7" s="25"/>
      <c r="O7" s="25"/>
      <c r="P7" s="25"/>
      <c r="Q7" s="25"/>
    </row>
    <row r="8" spans="1:17">
      <c r="A8" s="8"/>
      <c r="B8" s="9"/>
      <c r="C8" s="10" t="s">
        <v>17</v>
      </c>
      <c r="D8" s="8">
        <f>[1]Brewers!C6</f>
        <v>8</v>
      </c>
      <c r="E8" s="8">
        <f>[1]Brewers!D6</f>
        <v>33</v>
      </c>
      <c r="F8" s="8">
        <f>[1]Brewers!E6</f>
        <v>6</v>
      </c>
      <c r="G8" s="8">
        <f>[1]Brewers!F6</f>
        <v>7</v>
      </c>
      <c r="H8" s="8">
        <f>[1]Brewers!G6</f>
        <v>3</v>
      </c>
      <c r="I8" s="21">
        <f>[1]Brewers!H6</f>
        <v>0.212121212121212</v>
      </c>
      <c r="J8" s="8">
        <f>[1]Brewers!I6</f>
        <v>0</v>
      </c>
      <c r="K8" s="8">
        <f>[1]Brewers!J6</f>
        <v>0</v>
      </c>
      <c r="L8" s="8">
        <f>[1]Brewers!K6</f>
        <v>1</v>
      </c>
      <c r="M8" s="25"/>
      <c r="N8" s="25"/>
      <c r="O8" s="25"/>
      <c r="P8" s="25"/>
      <c r="Q8" s="25"/>
    </row>
    <row r="9" spans="1:17">
      <c r="A9" s="8"/>
      <c r="B9" s="9"/>
      <c r="C9" s="10" t="s">
        <v>18</v>
      </c>
      <c r="D9" s="8">
        <f>[1]Indians!C6</f>
        <v>6</v>
      </c>
      <c r="E9" s="8">
        <f>[1]Indians!D6</f>
        <v>25</v>
      </c>
      <c r="F9" s="8">
        <f>[1]Indians!E6</f>
        <v>3</v>
      </c>
      <c r="G9" s="8">
        <f>[1]Indians!F6</f>
        <v>5</v>
      </c>
      <c r="H9" s="8">
        <f>[1]Indians!G6</f>
        <v>0</v>
      </c>
      <c r="I9" s="21">
        <f>[1]Indians!H6</f>
        <v>0.2</v>
      </c>
      <c r="J9" s="8">
        <f>[1]Indians!I6</f>
        <v>0</v>
      </c>
      <c r="K9" s="8">
        <f>[1]Indians!J6</f>
        <v>0</v>
      </c>
      <c r="L9" s="8">
        <f>[1]Indians!K6</f>
        <v>0</v>
      </c>
      <c r="M9" s="25"/>
      <c r="N9" s="25"/>
      <c r="O9" s="25"/>
      <c r="P9" s="25"/>
      <c r="Q9" s="25"/>
    </row>
    <row r="10" spans="1:17">
      <c r="A10" s="8"/>
      <c r="B10" s="9"/>
      <c r="C10" s="11" t="s">
        <v>19</v>
      </c>
      <c r="D10" s="8">
        <f>[1]Mariners!C6</f>
        <v>8</v>
      </c>
      <c r="E10" s="8">
        <f>[1]Mariners!D6</f>
        <v>36</v>
      </c>
      <c r="F10" s="8">
        <f>[1]Mariners!E6</f>
        <v>6</v>
      </c>
      <c r="G10" s="8">
        <f>[1]Mariners!F6</f>
        <v>11</v>
      </c>
      <c r="H10" s="8">
        <f>[1]Mariners!G6</f>
        <v>5</v>
      </c>
      <c r="I10" s="21">
        <f>[1]Mariners!H6</f>
        <v>0.305555555555556</v>
      </c>
      <c r="J10" s="8">
        <f>[1]Mariners!I6</f>
        <v>2</v>
      </c>
      <c r="K10" s="8">
        <f>[1]Mariners!J6</f>
        <v>0</v>
      </c>
      <c r="L10" s="8">
        <f>[1]Mariners!K6</f>
        <v>1</v>
      </c>
      <c r="M10" s="25"/>
      <c r="N10" s="25"/>
      <c r="O10" s="25"/>
      <c r="P10" s="25"/>
      <c r="Q10" s="25"/>
    </row>
    <row r="11" spans="1:17">
      <c r="A11" s="8"/>
      <c r="B11" s="9"/>
      <c r="C11" s="11" t="s">
        <v>20</v>
      </c>
      <c r="D11" s="8">
        <f>[1]Orioles!C6</f>
        <v>9</v>
      </c>
      <c r="E11" s="8">
        <f>[1]Orioles!D6</f>
        <v>31</v>
      </c>
      <c r="F11" s="8">
        <f>[1]Orioles!E6</f>
        <v>2</v>
      </c>
      <c r="G11" s="8">
        <f>[1]Orioles!F6</f>
        <v>4</v>
      </c>
      <c r="H11" s="8">
        <f>[1]Orioles!G6</f>
        <v>0</v>
      </c>
      <c r="I11" s="21">
        <f>[1]Orioles!H6</f>
        <v>0.129032258064516</v>
      </c>
      <c r="J11" s="8">
        <f>[1]Orioles!I6</f>
        <v>1</v>
      </c>
      <c r="K11" s="8">
        <f>[1]Orioles!J6</f>
        <v>0</v>
      </c>
      <c r="L11" s="8">
        <f>[1]Orioles!K6</f>
        <v>0</v>
      </c>
      <c r="M11" s="25"/>
      <c r="N11" s="25"/>
      <c r="O11" s="25"/>
      <c r="P11" s="25"/>
      <c r="Q11" s="25"/>
    </row>
    <row r="12" spans="1:17">
      <c r="A12" s="8"/>
      <c r="B12" s="9"/>
      <c r="C12" s="11" t="s">
        <v>21</v>
      </c>
      <c r="D12" s="8">
        <f>[1]Rangers!C6</f>
        <v>7</v>
      </c>
      <c r="E12" s="8">
        <f>[1]Rangers!D6</f>
        <v>30</v>
      </c>
      <c r="F12" s="8">
        <f>[1]Rangers!E6</f>
        <v>3</v>
      </c>
      <c r="G12" s="8">
        <f>[1]Rangers!F6</f>
        <v>13</v>
      </c>
      <c r="H12" s="8">
        <f>[1]Rangers!G6</f>
        <v>2</v>
      </c>
      <c r="I12" s="21">
        <f>[1]Rangers!H6</f>
        <v>0.433333333333333</v>
      </c>
      <c r="J12" s="8">
        <f>[1]Rangers!I6</f>
        <v>3</v>
      </c>
      <c r="K12" s="8">
        <f>[1]Rangers!J6</f>
        <v>0</v>
      </c>
      <c r="L12" s="8">
        <f>[1]Rangers!K6</f>
        <v>1</v>
      </c>
      <c r="M12" s="25"/>
      <c r="N12" s="25"/>
      <c r="O12" s="25"/>
      <c r="P12" s="25"/>
      <c r="Q12" s="25"/>
    </row>
    <row r="13" spans="1:17">
      <c r="A13" s="8"/>
      <c r="B13" s="9"/>
      <c r="C13" s="10" t="s">
        <v>22</v>
      </c>
      <c r="D13" s="8">
        <f>[1]RedSox!C6</f>
        <v>8</v>
      </c>
      <c r="E13" s="8">
        <f>[1]RedSox!D6</f>
        <v>39</v>
      </c>
      <c r="F13" s="8">
        <f>[1]RedSox!E6</f>
        <v>0</v>
      </c>
      <c r="G13" s="8">
        <f>[1]RedSox!F6</f>
        <v>12</v>
      </c>
      <c r="H13" s="8">
        <f>[1]RedSox!G6</f>
        <v>6</v>
      </c>
      <c r="I13" s="21">
        <f>[1]RedSox!H6</f>
        <v>0.307692307692308</v>
      </c>
      <c r="J13" s="8">
        <f>[1]RedSox!I6</f>
        <v>0</v>
      </c>
      <c r="K13" s="8">
        <f>[1]RedSox!J6</f>
        <v>0</v>
      </c>
      <c r="L13" s="8">
        <f>[1]RedSox!K6</f>
        <v>0</v>
      </c>
      <c r="M13" s="25"/>
      <c r="N13" s="25"/>
      <c r="O13" s="25"/>
      <c r="P13" s="25"/>
      <c r="Q13" s="25"/>
    </row>
    <row r="14" spans="1:17">
      <c r="A14" s="8"/>
      <c r="B14" s="9"/>
      <c r="C14" s="10" t="s">
        <v>23</v>
      </c>
      <c r="D14" s="8">
        <f>[1]Royals!C6</f>
        <v>8</v>
      </c>
      <c r="E14" s="8">
        <f>[1]Royals!D6</f>
        <v>28</v>
      </c>
      <c r="F14" s="8">
        <f>[1]Royals!E6</f>
        <v>3</v>
      </c>
      <c r="G14" s="8">
        <f>[1]Royals!F6</f>
        <v>7</v>
      </c>
      <c r="H14" s="8">
        <f>[1]Royals!G6</f>
        <v>2</v>
      </c>
      <c r="I14" s="21">
        <f>[1]Royals!H6</f>
        <v>0.25</v>
      </c>
      <c r="J14" s="8">
        <f>[1]Royals!I6</f>
        <v>2</v>
      </c>
      <c r="K14" s="8">
        <f>[1]Royals!J6</f>
        <v>0</v>
      </c>
      <c r="L14" s="8">
        <f>[1]Royals!K6</f>
        <v>0</v>
      </c>
      <c r="M14" s="25"/>
      <c r="N14" s="25"/>
      <c r="O14" s="25"/>
      <c r="P14" s="25"/>
      <c r="Q14" s="25"/>
    </row>
    <row r="15" spans="1:17">
      <c r="A15" s="8"/>
      <c r="B15" s="9"/>
      <c r="C15" s="10" t="s">
        <v>24</v>
      </c>
      <c r="D15" s="8">
        <f>[1]Tigers!C6</f>
        <v>12</v>
      </c>
      <c r="E15" s="8">
        <f>[1]Tigers!D6</f>
        <v>53</v>
      </c>
      <c r="F15" s="8">
        <f>[1]Tigers!E6</f>
        <v>9</v>
      </c>
      <c r="G15" s="8">
        <f>[1]Tigers!F6</f>
        <v>18</v>
      </c>
      <c r="H15" s="8">
        <f>[1]Tigers!G6</f>
        <v>3</v>
      </c>
      <c r="I15" s="21">
        <f>[1]Tigers!H6</f>
        <v>0.339622641509434</v>
      </c>
      <c r="J15" s="8">
        <f>[1]Tigers!I6</f>
        <v>3</v>
      </c>
      <c r="K15" s="8">
        <f>[1]Tigers!J6</f>
        <v>0</v>
      </c>
      <c r="L15" s="8">
        <f>[1]Tigers!K6</f>
        <v>1</v>
      </c>
      <c r="M15" s="25"/>
      <c r="N15" s="25"/>
      <c r="O15" s="25"/>
      <c r="P15" s="25"/>
      <c r="Q15" s="25"/>
    </row>
    <row r="16" spans="1:17">
      <c r="A16" s="8"/>
      <c r="B16" s="9"/>
      <c r="C16" s="11" t="s">
        <v>25</v>
      </c>
      <c r="D16" s="8">
        <f>[1]Twins!C6</f>
        <v>8</v>
      </c>
      <c r="E16" s="8">
        <f>[1]Twins!D6</f>
        <v>37</v>
      </c>
      <c r="F16" s="8">
        <f>[1]Twins!E6</f>
        <v>2</v>
      </c>
      <c r="G16" s="8">
        <f>[1]Twins!F6</f>
        <v>9</v>
      </c>
      <c r="H16" s="8">
        <f>[1]Twins!G6</f>
        <v>2</v>
      </c>
      <c r="I16" s="21">
        <f>[1]Twins!H6</f>
        <v>0.243243243243243</v>
      </c>
      <c r="J16" s="8">
        <f>[1]Twins!I6</f>
        <v>3</v>
      </c>
      <c r="K16" s="8">
        <f>[1]Twins!J6</f>
        <v>0</v>
      </c>
      <c r="L16" s="8">
        <f>[1]Twins!K6</f>
        <v>0</v>
      </c>
      <c r="M16" s="25"/>
      <c r="N16" s="25"/>
      <c r="O16" s="25"/>
      <c r="P16" s="25"/>
      <c r="Q16" s="25"/>
    </row>
    <row r="17" spans="1:17">
      <c r="A17" s="8"/>
      <c r="B17" s="9"/>
      <c r="C17" s="10" t="s">
        <v>26</v>
      </c>
      <c r="D17" s="8">
        <f>[1]WhiteSox!C6</f>
        <v>9</v>
      </c>
      <c r="E17" s="8">
        <f>[1]WhiteSox!D6</f>
        <v>36</v>
      </c>
      <c r="F17" s="8">
        <f>[1]WhiteSox!E6</f>
        <v>5</v>
      </c>
      <c r="G17" s="8">
        <f>[1]WhiteSox!F6</f>
        <v>7</v>
      </c>
      <c r="H17" s="8">
        <f>[1]WhiteSox!G6</f>
        <v>4</v>
      </c>
      <c r="I17" s="21">
        <f>[1]WhiteSox!H6</f>
        <v>0.194444444444444</v>
      </c>
      <c r="J17" s="8">
        <f>[1]WhiteSox!I6</f>
        <v>4</v>
      </c>
      <c r="K17" s="8">
        <f>[1]WhiteSox!J6</f>
        <v>0</v>
      </c>
      <c r="L17" s="8">
        <f>[1]WhiteSox!K6</f>
        <v>0</v>
      </c>
      <c r="M17" s="25"/>
      <c r="N17" s="25"/>
      <c r="O17" s="25"/>
      <c r="P17" s="25"/>
      <c r="Q17" s="25"/>
    </row>
    <row r="18" ht="17.55" spans="1:17">
      <c r="A18" s="8"/>
      <c r="B18" s="9"/>
      <c r="C18" s="11" t="s">
        <v>27</v>
      </c>
      <c r="D18" s="8">
        <f>[1]Yankees!C6</f>
        <v>9</v>
      </c>
      <c r="E18" s="8">
        <f>[1]Yankees!D6</f>
        <v>38</v>
      </c>
      <c r="F18" s="8">
        <f>[1]Yankees!E6</f>
        <v>5</v>
      </c>
      <c r="G18" s="8">
        <f>[1]Yankees!F6</f>
        <v>13</v>
      </c>
      <c r="H18" s="8">
        <f>[1]Yankees!G6</f>
        <v>5</v>
      </c>
      <c r="I18" s="21">
        <f>[1]Yankees!H6</f>
        <v>0.342105263157895</v>
      </c>
      <c r="J18" s="8">
        <f>[1]Yankees!I6</f>
        <v>2</v>
      </c>
      <c r="K18" s="8">
        <f>[1]Yankees!J6</f>
        <v>2</v>
      </c>
      <c r="L18" s="8">
        <f>[1]Yankees!K6</f>
        <v>1</v>
      </c>
      <c r="M18" s="25"/>
      <c r="N18" s="25"/>
      <c r="O18" s="25"/>
      <c r="P18" s="25"/>
      <c r="Q18" s="25"/>
    </row>
    <row r="19" ht="17.55" spans="1:17">
      <c r="A19" s="12"/>
      <c r="B19" s="13"/>
      <c r="C19" s="14" t="s">
        <v>28</v>
      </c>
      <c r="D19" s="15">
        <f>0</f>
        <v>0</v>
      </c>
      <c r="E19" s="15">
        <f t="shared" ref="E19:H19" si="0">SUM(E6:E18)</f>
        <v>451</v>
      </c>
      <c r="F19" s="15">
        <f t="shared" si="0"/>
        <v>54</v>
      </c>
      <c r="G19" s="15">
        <f t="shared" si="0"/>
        <v>121</v>
      </c>
      <c r="H19" s="15">
        <f t="shared" si="0"/>
        <v>38</v>
      </c>
      <c r="I19" s="22">
        <f>G19/E19</f>
        <v>0.268292682926829</v>
      </c>
      <c r="J19" s="15">
        <f t="shared" ref="J19:L19" si="1">SUM(J6:J18)</f>
        <v>21</v>
      </c>
      <c r="K19" s="15">
        <f t="shared" si="1"/>
        <v>4</v>
      </c>
      <c r="L19" s="15">
        <f t="shared" si="1"/>
        <v>5</v>
      </c>
      <c r="M19" s="24"/>
      <c r="N19" s="24"/>
      <c r="O19" s="24"/>
      <c r="P19" s="24"/>
      <c r="Q19" s="24"/>
    </row>
    <row r="20" spans="1:17">
      <c r="A20" s="12"/>
      <c r="B20" s="13"/>
      <c r="C20" s="16"/>
      <c r="D20" s="16"/>
      <c r="E20" s="16"/>
      <c r="F20" s="16"/>
      <c r="G20" s="16"/>
      <c r="H20" s="16"/>
      <c r="I20" s="23"/>
      <c r="J20" s="16"/>
      <c r="K20" s="16"/>
      <c r="L20" s="16"/>
      <c r="M20" s="24"/>
      <c r="N20" s="24"/>
      <c r="O20" s="24"/>
      <c r="P20" s="24"/>
      <c r="Q20" s="24"/>
    </row>
    <row r="21" spans="1:17">
      <c r="A21" s="6" t="s">
        <v>2</v>
      </c>
      <c r="B21" s="7" t="s">
        <v>3</v>
      </c>
      <c r="C21" s="6" t="s">
        <v>4</v>
      </c>
      <c r="D21" s="6" t="s">
        <v>5</v>
      </c>
      <c r="E21" s="6" t="s">
        <v>6</v>
      </c>
      <c r="F21" s="6" t="s">
        <v>7</v>
      </c>
      <c r="G21" s="6" t="s">
        <v>8</v>
      </c>
      <c r="H21" s="6" t="s">
        <v>9</v>
      </c>
      <c r="I21" s="20" t="s">
        <v>10</v>
      </c>
      <c r="J21" s="6" t="s">
        <v>11</v>
      </c>
      <c r="K21" s="6" t="s">
        <v>12</v>
      </c>
      <c r="L21" s="6" t="s">
        <v>13</v>
      </c>
      <c r="M21" s="27"/>
      <c r="N21" s="27"/>
      <c r="O21" s="27"/>
      <c r="P21" s="27"/>
      <c r="Q21" s="27"/>
    </row>
    <row r="22" spans="1:17">
      <c r="A22" s="8">
        <v>20</v>
      </c>
      <c r="B22" s="9" t="s">
        <v>29</v>
      </c>
      <c r="C22" s="10" t="s">
        <v>15</v>
      </c>
      <c r="D22" s="8">
        <f>[1]Angels!C18</f>
        <v>3</v>
      </c>
      <c r="E22" s="8">
        <f>[1]Angels!D18</f>
        <v>9</v>
      </c>
      <c r="F22" s="8">
        <f>[1]Angels!E18</f>
        <v>1</v>
      </c>
      <c r="G22" s="8">
        <f>[1]Angels!F18</f>
        <v>2</v>
      </c>
      <c r="H22" s="8">
        <f>[1]Angels!G18</f>
        <v>1</v>
      </c>
      <c r="I22" s="21">
        <f>[1]Angels!H18</f>
        <v>0.222222222222222</v>
      </c>
      <c r="J22" s="8">
        <f>[1]Angels!I18</f>
        <v>0</v>
      </c>
      <c r="K22" s="8">
        <f>[1]Angels!J18</f>
        <v>1</v>
      </c>
      <c r="L22" s="8">
        <f>[1]Angels!K18</f>
        <v>0</v>
      </c>
      <c r="M22" s="27"/>
      <c r="N22" s="27"/>
      <c r="O22" s="27"/>
      <c r="P22" s="27"/>
      <c r="Q22" s="27"/>
    </row>
    <row r="23" spans="1:17">
      <c r="A23" s="8"/>
      <c r="B23" s="9"/>
      <c r="C23" s="10" t="s">
        <v>16</v>
      </c>
      <c r="D23" s="8">
        <f>[1]Athletics!C19</f>
        <v>3</v>
      </c>
      <c r="E23" s="8">
        <f>[1]Athletics!D19</f>
        <v>10</v>
      </c>
      <c r="F23" s="8">
        <f>[1]Athletics!E19</f>
        <v>0</v>
      </c>
      <c r="G23" s="8">
        <f>[1]Athletics!F19</f>
        <v>2</v>
      </c>
      <c r="H23" s="8">
        <f>[1]Athletics!G19</f>
        <v>2</v>
      </c>
      <c r="I23" s="21">
        <f>[1]Athletics!H19</f>
        <v>0.2</v>
      </c>
      <c r="J23" s="8">
        <f>[1]Athletics!I19</f>
        <v>0</v>
      </c>
      <c r="K23" s="8">
        <f>[1]Athletics!J19</f>
        <v>0</v>
      </c>
      <c r="L23" s="8">
        <f>[1]Athletics!K19</f>
        <v>0</v>
      </c>
      <c r="M23" s="27"/>
      <c r="N23" s="27"/>
      <c r="O23" s="27"/>
      <c r="P23" s="27"/>
      <c r="Q23" s="27"/>
    </row>
    <row r="24" spans="1:17">
      <c r="A24" s="8"/>
      <c r="B24" s="9"/>
      <c r="C24" s="10" t="s">
        <v>17</v>
      </c>
      <c r="D24" s="8">
        <f>[1]Brewers!C23</f>
        <v>6</v>
      </c>
      <c r="E24" s="8">
        <f>[1]Brewers!D23</f>
        <v>25</v>
      </c>
      <c r="F24" s="8">
        <f>[1]Brewers!E23</f>
        <v>1</v>
      </c>
      <c r="G24" s="8">
        <f>[1]Brewers!F23</f>
        <v>4</v>
      </c>
      <c r="H24" s="8">
        <f>[1]Brewers!G23</f>
        <v>1</v>
      </c>
      <c r="I24" s="21">
        <f>[1]Brewers!H23</f>
        <v>0.16</v>
      </c>
      <c r="J24" s="8">
        <f>[1]Brewers!I23</f>
        <v>1</v>
      </c>
      <c r="K24" s="8">
        <f>[1]Brewers!J23</f>
        <v>0</v>
      </c>
      <c r="L24" s="8">
        <f>[1]Brewers!K23</f>
        <v>0</v>
      </c>
      <c r="M24" s="27"/>
      <c r="N24" s="27"/>
      <c r="O24" s="27"/>
      <c r="P24" s="27"/>
      <c r="Q24" s="27"/>
    </row>
    <row r="25" spans="1:17">
      <c r="A25" s="8"/>
      <c r="B25" s="9"/>
      <c r="C25" s="10" t="s">
        <v>18</v>
      </c>
      <c r="D25" s="8">
        <f>[1]Indians!C22</f>
        <v>5</v>
      </c>
      <c r="E25" s="8">
        <f>[1]Indians!D22</f>
        <v>21</v>
      </c>
      <c r="F25" s="8">
        <f>[1]Indians!E22</f>
        <v>1</v>
      </c>
      <c r="G25" s="8">
        <f>[1]Indians!F22</f>
        <v>6</v>
      </c>
      <c r="H25" s="8">
        <f>[1]Indians!G22</f>
        <v>1</v>
      </c>
      <c r="I25" s="21">
        <f>[1]Indians!H22</f>
        <v>0.285714285714286</v>
      </c>
      <c r="J25" s="8">
        <f>[1]Indians!I22</f>
        <v>1</v>
      </c>
      <c r="K25" s="8">
        <f>[1]Indians!J22</f>
        <v>0</v>
      </c>
      <c r="L25" s="8">
        <f>[1]Indians!K22</f>
        <v>0</v>
      </c>
      <c r="M25" s="27"/>
      <c r="N25" s="27"/>
      <c r="O25" s="27"/>
      <c r="P25" s="27"/>
      <c r="Q25" s="27"/>
    </row>
    <row r="26" spans="1:17">
      <c r="A26" s="8"/>
      <c r="B26" s="9"/>
      <c r="C26" s="11" t="s">
        <v>19</v>
      </c>
      <c r="D26" s="8">
        <f>[1]Mariners!C18</f>
        <v>2</v>
      </c>
      <c r="E26" s="8">
        <f>[1]Mariners!D18</f>
        <v>8</v>
      </c>
      <c r="F26" s="8">
        <f>[1]Mariners!E18</f>
        <v>0</v>
      </c>
      <c r="G26" s="8">
        <f>[1]Mariners!F18</f>
        <v>3</v>
      </c>
      <c r="H26" s="8">
        <f>[1]Mariners!G18</f>
        <v>0</v>
      </c>
      <c r="I26" s="21">
        <f>[1]Mariners!H18</f>
        <v>0.375</v>
      </c>
      <c r="J26" s="8">
        <f>[1]Mariners!I18</f>
        <v>0</v>
      </c>
      <c r="K26" s="8">
        <f>[1]Mariners!J18</f>
        <v>0</v>
      </c>
      <c r="L26" s="8">
        <f>[1]Mariners!K18</f>
        <v>0</v>
      </c>
      <c r="M26" s="27"/>
      <c r="N26" s="27"/>
      <c r="O26" s="27"/>
      <c r="P26" s="27"/>
      <c r="Q26" s="27"/>
    </row>
    <row r="27" spans="1:17">
      <c r="A27" s="8"/>
      <c r="B27" s="9"/>
      <c r="C27" s="11" t="s">
        <v>20</v>
      </c>
      <c r="D27" s="8">
        <f>[1]Orioles!C23</f>
        <v>8</v>
      </c>
      <c r="E27" s="8">
        <f>[1]Orioles!D23</f>
        <v>26</v>
      </c>
      <c r="F27" s="8">
        <f>[1]Orioles!E23</f>
        <v>3</v>
      </c>
      <c r="G27" s="8">
        <f>[1]Orioles!F23</f>
        <v>3</v>
      </c>
      <c r="H27" s="8">
        <f>[1]Orioles!G23</f>
        <v>2</v>
      </c>
      <c r="I27" s="21">
        <f>[1]Orioles!H23</f>
        <v>0.115384615384615</v>
      </c>
      <c r="J27" s="8">
        <f>[1]Orioles!I23</f>
        <v>1</v>
      </c>
      <c r="K27" s="8">
        <f>[1]Orioles!J23</f>
        <v>0</v>
      </c>
      <c r="L27" s="8">
        <f>[1]Orioles!K23</f>
        <v>1</v>
      </c>
      <c r="M27" s="27"/>
      <c r="N27" s="27"/>
      <c r="O27" s="27"/>
      <c r="P27" s="27"/>
      <c r="Q27" s="27"/>
    </row>
    <row r="28" spans="1:17">
      <c r="A28" s="8"/>
      <c r="B28" s="9"/>
      <c r="C28" s="11" t="s">
        <v>21</v>
      </c>
      <c r="D28" s="8">
        <f>[1]Rangers!C19</f>
        <v>4</v>
      </c>
      <c r="E28" s="8">
        <f>[1]Rangers!D19</f>
        <v>12</v>
      </c>
      <c r="F28" s="8">
        <f>[1]Rangers!E19</f>
        <v>1</v>
      </c>
      <c r="G28" s="8">
        <f>[1]Rangers!F19</f>
        <v>4</v>
      </c>
      <c r="H28" s="8">
        <f>[1]Rangers!G19</f>
        <v>2</v>
      </c>
      <c r="I28" s="21">
        <f>[1]Rangers!H19</f>
        <v>0.333333333333333</v>
      </c>
      <c r="J28" s="8">
        <f>[1]Rangers!I19</f>
        <v>2</v>
      </c>
      <c r="K28" s="8">
        <f>[1]Rangers!J19</f>
        <v>0</v>
      </c>
      <c r="L28" s="8">
        <f>[1]Rangers!K19</f>
        <v>0</v>
      </c>
      <c r="M28" s="27"/>
      <c r="N28" s="27"/>
      <c r="O28" s="27"/>
      <c r="P28" s="27"/>
      <c r="Q28" s="27"/>
    </row>
    <row r="29" spans="1:17">
      <c r="A29" s="8"/>
      <c r="B29" s="9"/>
      <c r="C29" s="10" t="s">
        <v>22</v>
      </c>
      <c r="D29" s="8">
        <f>[1]RedSox!C23</f>
        <v>1</v>
      </c>
      <c r="E29" s="8">
        <f>[1]RedSox!D23</f>
        <v>3</v>
      </c>
      <c r="F29" s="8">
        <f>[1]RedSox!E23</f>
        <v>1</v>
      </c>
      <c r="G29" s="8">
        <f>[1]RedSox!F23</f>
        <v>1</v>
      </c>
      <c r="H29" s="8">
        <f>[1]RedSox!G23</f>
        <v>0</v>
      </c>
      <c r="I29" s="21">
        <f>[1]RedSox!H23</f>
        <v>0.333333333333333</v>
      </c>
      <c r="J29" s="8">
        <f>[1]RedSox!I23</f>
        <v>1</v>
      </c>
      <c r="K29" s="8">
        <f>[1]RedSox!J23</f>
        <v>0</v>
      </c>
      <c r="L29" s="8">
        <f>[1]RedSox!K23</f>
        <v>0</v>
      </c>
      <c r="M29" s="27"/>
      <c r="N29" s="27"/>
      <c r="O29" s="27"/>
      <c r="P29" s="27"/>
      <c r="Q29" s="27"/>
    </row>
    <row r="30" spans="1:17">
      <c r="A30" s="8"/>
      <c r="B30" s="9"/>
      <c r="C30" s="10" t="s">
        <v>23</v>
      </c>
      <c r="D30" s="8">
        <f>[1]Royals!C18</f>
        <v>6</v>
      </c>
      <c r="E30" s="8">
        <f>[1]Royals!D18</f>
        <v>24</v>
      </c>
      <c r="F30" s="8">
        <f>[1]Royals!E18</f>
        <v>4</v>
      </c>
      <c r="G30" s="8">
        <f>[1]Royals!F18</f>
        <v>10</v>
      </c>
      <c r="H30" s="8">
        <f>[1]Royals!G18</f>
        <v>1</v>
      </c>
      <c r="I30" s="21">
        <f>[1]Royals!H18</f>
        <v>0.416666666666667</v>
      </c>
      <c r="J30" s="8">
        <f>[1]Royals!I18</f>
        <v>2</v>
      </c>
      <c r="K30" s="8">
        <f>[1]Royals!J18</f>
        <v>1</v>
      </c>
      <c r="L30" s="8">
        <f>[1]Royals!K18</f>
        <v>0</v>
      </c>
      <c r="M30" s="27"/>
      <c r="N30" s="27"/>
      <c r="O30" s="27"/>
      <c r="P30" s="27"/>
      <c r="Q30" s="27"/>
    </row>
    <row r="31" spans="1:17">
      <c r="A31" s="8"/>
      <c r="B31" s="9"/>
      <c r="C31" s="10" t="s">
        <v>24</v>
      </c>
      <c r="D31" s="8">
        <f>[1]Tigers!C23</f>
        <v>7</v>
      </c>
      <c r="E31" s="8">
        <f>[1]Tigers!D23</f>
        <v>27</v>
      </c>
      <c r="F31" s="8">
        <f>[1]Tigers!E23</f>
        <v>1</v>
      </c>
      <c r="G31" s="8">
        <f>[1]Tigers!F23</f>
        <v>3</v>
      </c>
      <c r="H31" s="8">
        <f>[1]Tigers!G23</f>
        <v>3</v>
      </c>
      <c r="I31" s="21">
        <f>[1]Tigers!H23</f>
        <v>0.111111111111111</v>
      </c>
      <c r="J31" s="8">
        <f>[1]Tigers!I23</f>
        <v>1</v>
      </c>
      <c r="K31" s="8">
        <f>[1]Tigers!J23</f>
        <v>0</v>
      </c>
      <c r="L31" s="8">
        <f>[1]Tigers!K23</f>
        <v>0</v>
      </c>
      <c r="M31" s="27"/>
      <c r="N31" s="27"/>
      <c r="O31" s="27"/>
      <c r="P31" s="27"/>
      <c r="Q31" s="27"/>
    </row>
    <row r="32" spans="1:17">
      <c r="A32" s="8"/>
      <c r="B32" s="9"/>
      <c r="C32" s="11" t="s">
        <v>25</v>
      </c>
      <c r="D32" s="8">
        <f>[1]Twins!C18</f>
        <v>8</v>
      </c>
      <c r="E32" s="8">
        <f>[1]Twins!D18</f>
        <v>30</v>
      </c>
      <c r="F32" s="8">
        <f>[1]Twins!E18</f>
        <v>5</v>
      </c>
      <c r="G32" s="8">
        <f>[1]Twins!F18</f>
        <v>11</v>
      </c>
      <c r="H32" s="8">
        <f>[1]Twins!G18</f>
        <v>7</v>
      </c>
      <c r="I32" s="21">
        <f>[1]Twins!H18</f>
        <v>0.366666666666667</v>
      </c>
      <c r="J32" s="8">
        <f>[1]Twins!I18</f>
        <v>3</v>
      </c>
      <c r="K32" s="8">
        <f>[1]Twins!J18</f>
        <v>1</v>
      </c>
      <c r="L32" s="8">
        <f>[1]Twins!K18</f>
        <v>1</v>
      </c>
      <c r="M32" s="27"/>
      <c r="N32" s="27"/>
      <c r="O32" s="27"/>
      <c r="P32" s="27"/>
      <c r="Q32" s="27"/>
    </row>
    <row r="33" spans="1:17">
      <c r="A33" s="8"/>
      <c r="B33" s="9"/>
      <c r="C33" s="10" t="s">
        <v>26</v>
      </c>
      <c r="D33" s="8">
        <f>[1]WhiteSox!C18</f>
        <v>2</v>
      </c>
      <c r="E33" s="8">
        <f>[1]WhiteSox!D18</f>
        <v>4</v>
      </c>
      <c r="F33" s="8">
        <f>[1]WhiteSox!E18</f>
        <v>0</v>
      </c>
      <c r="G33" s="8">
        <f>[1]WhiteSox!F18</f>
        <v>0</v>
      </c>
      <c r="H33" s="8">
        <f>[1]WhiteSox!G18</f>
        <v>1</v>
      </c>
      <c r="I33" s="21">
        <f>[1]WhiteSox!H18</f>
        <v>0</v>
      </c>
      <c r="J33" s="8">
        <f>[1]WhiteSox!I18</f>
        <v>0</v>
      </c>
      <c r="K33" s="8">
        <f>[1]WhiteSox!J18</f>
        <v>0</v>
      </c>
      <c r="L33" s="8">
        <f>[1]WhiteSox!K18</f>
        <v>0</v>
      </c>
      <c r="M33" s="27"/>
      <c r="N33" s="27"/>
      <c r="O33" s="27"/>
      <c r="P33" s="27"/>
      <c r="Q33" s="27"/>
    </row>
    <row r="34" ht="17.55" spans="1:17">
      <c r="A34" s="8"/>
      <c r="B34" s="9"/>
      <c r="C34" s="11" t="s">
        <v>27</v>
      </c>
      <c r="D34" s="8">
        <f>[1]Yankees!C23</f>
        <v>8</v>
      </c>
      <c r="E34" s="8">
        <f>[1]Yankees!D23</f>
        <v>33</v>
      </c>
      <c r="F34" s="8">
        <f>[1]Yankees!E23</f>
        <v>3</v>
      </c>
      <c r="G34" s="8">
        <f>[1]Yankees!F23</f>
        <v>9</v>
      </c>
      <c r="H34" s="8">
        <f>[1]Yankees!G23</f>
        <v>2</v>
      </c>
      <c r="I34" s="21">
        <f>[1]Yankees!H23</f>
        <v>0.272727272727273</v>
      </c>
      <c r="J34" s="8">
        <f>[1]Yankees!I23</f>
        <v>2</v>
      </c>
      <c r="K34" s="8">
        <f>[1]Yankees!J23</f>
        <v>1</v>
      </c>
      <c r="L34" s="8">
        <f>[1]Yankees!K23</f>
        <v>0</v>
      </c>
      <c r="M34" s="27"/>
      <c r="N34" s="27"/>
      <c r="O34" s="27"/>
      <c r="P34" s="27"/>
      <c r="Q34" s="27"/>
    </row>
    <row r="35" ht="17.55" spans="1:17">
      <c r="A35" s="17"/>
      <c r="B35" s="18"/>
      <c r="C35" s="14" t="s">
        <v>28</v>
      </c>
      <c r="D35" s="15">
        <f>0</f>
        <v>0</v>
      </c>
      <c r="E35" s="15">
        <f t="shared" ref="E35:H35" si="2">SUM(E22:E34)</f>
        <v>232</v>
      </c>
      <c r="F35" s="15">
        <f t="shared" si="2"/>
        <v>21</v>
      </c>
      <c r="G35" s="15">
        <f t="shared" si="2"/>
        <v>58</v>
      </c>
      <c r="H35" s="15">
        <f t="shared" si="2"/>
        <v>23</v>
      </c>
      <c r="I35" s="22">
        <f>G35/E35</f>
        <v>0.25</v>
      </c>
      <c r="J35" s="15">
        <f t="shared" ref="J35:L35" si="3">SUM(J22:J34)</f>
        <v>14</v>
      </c>
      <c r="K35" s="15">
        <f t="shared" si="3"/>
        <v>4</v>
      </c>
      <c r="L35" s="15">
        <f t="shared" si="3"/>
        <v>2</v>
      </c>
      <c r="M35" s="27"/>
      <c r="N35" s="27"/>
      <c r="O35" s="27"/>
      <c r="P35" s="27"/>
      <c r="Q35" s="27"/>
    </row>
  </sheetData>
  <mergeCells count="6">
    <mergeCell ref="A1:Q1"/>
    <mergeCell ref="A3:Q3"/>
    <mergeCell ref="A6:A18"/>
    <mergeCell ref="A22:A34"/>
    <mergeCell ref="B6:B18"/>
    <mergeCell ref="B22:B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2025-01-11T15:59:35Z</dcterms:created>
  <dcterms:modified xsi:type="dcterms:W3CDTF">2025-01-11T16:37:31Z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1E2B12C7E776F3D9E72482678A298300_41</vt:lpwstr>
  </property>
  <property fmtid="{D5CDD505-2E9C-101B-9397-08002B2CF9AE}" pid="3" name="KSOProductBuildVer">
    <vt:lpwstr>2052-6.8.2.8850</vt:lpwstr>
  </property>
</Properties>
</file>