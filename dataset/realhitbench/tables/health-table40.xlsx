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<sst xmlns="http://schemas.openxmlformats.org/spreadsheetml/2006/main" count="31" uniqueCount="17">
  <si>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Cumulative data (Ext1 + Expt2); total 6 replicates</t>
  </si>
  <si>
    <t>% infected DCs</t>
  </si>
  <si>
    <t>Replicate 1</t>
  </si>
  <si>
    <t>Replicate 2</t>
  </si>
  <si>
    <t>Replicate 3</t>
  </si>
  <si>
    <t>Replicate 4</t>
  </si>
  <si>
    <t>Replicate 5</t>
  </si>
  <si>
    <t>Replicate 6</t>
  </si>
  <si>
    <t>Mean</t>
  </si>
  <si>
    <t>SD</t>
  </si>
  <si>
    <t>Set1</t>
  </si>
  <si>
    <t>DC + LDPm 24 h  + SAG 0 h</t>
  </si>
  <si>
    <t>Set2</t>
  </si>
  <si>
    <t>DC + LDPm 24 h  + SAG 0.3 h</t>
  </si>
  <si>
    <t>Set3</t>
  </si>
  <si>
    <t>DC + LDPm 24 h  + SAG 1 h</t>
  </si>
  <si>
    <t>No. of intracellular amastigotes/1000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</si>
</sst>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/>
    </xf>
    <xf numFmtId="0" fontId="2" fillId="0" borderId="0" xfId="0" applyFont="1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0" fillId="0" borderId="8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I19" sqref="I19"/>
    </sheetView>
  </sheetViews>
  <sheetFormatPr defaultColWidth="8.72727272727273" defaultRowHeight="14"/>
  <cols>
    <col min="2" max="2" width="29.0909090909091" customWidth="1"/>
    <col min="3" max="3" width="17.0909090909091" customWidth="1"/>
    <col min="4" max="4" width="32.0909090909091" customWidth="1"/>
    <col min="5" max="5" width="17.0909090909091" customWidth="1"/>
    <col min="6" max="6" width="18.3636363636364" customWidth="1"/>
    <col min="7" max="7" width="16.5454545454545" customWidth="1"/>
    <col min="8" max="8" width="20.8181818181818" customWidth="1"/>
    <col min="9" max="10" width="12.8181818181818"/>
  </cols>
  <sheetData>
    <row r="1" ht="21" spans="1:10">
      <c r="A1" s="1"/>
      <c r="B1" s="2" t="s">
        <v>0</v>
      </c>
      <c r="C1" s="2"/>
      <c r="D1" s="2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ht="17.5" spans="1:10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</row>
    <row r="4" spans="1:10">
      <c r="A4" s="4"/>
      <c r="B4" s="5"/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7" t="s">
        <v>8</v>
      </c>
      <c r="J4" s="8" t="s">
        <v>9</v>
      </c>
    </row>
    <row r="5" spans="1:10">
      <c r="A5" s="9" t="s">
        <v>10</v>
      </c>
      <c r="B5" s="10" t="s">
        <v>11</v>
      </c>
      <c r="C5" s="11">
        <v>85.85</v>
      </c>
      <c r="D5" s="12">
        <v>85.57</v>
      </c>
      <c r="E5" s="12">
        <v>84.47</v>
      </c>
      <c r="F5" s="12">
        <v>86.2</v>
      </c>
      <c r="G5" s="12">
        <v>86.57</v>
      </c>
      <c r="H5" s="13">
        <v>83.96</v>
      </c>
      <c r="I5" s="20">
        <f t="shared" ref="I5:I7" si="0">AVERAGE(C5:H5)</f>
        <v>85.4366666666667</v>
      </c>
      <c r="J5" s="10">
        <f t="shared" ref="J5:J7" si="1">STDEV(C5:H5)</f>
        <v>1.01693002053566</v>
      </c>
    </row>
    <row r="6" spans="1:10">
      <c r="A6" s="9" t="s">
        <v>12</v>
      </c>
      <c r="B6" s="10" t="s">
        <v>13</v>
      </c>
      <c r="C6" s="11">
        <v>88.24</v>
      </c>
      <c r="D6" s="12">
        <v>87.004</v>
      </c>
      <c r="E6" s="12">
        <v>85.51</v>
      </c>
      <c r="F6" s="12">
        <v>83.63</v>
      </c>
      <c r="G6" s="12">
        <v>83.17</v>
      </c>
      <c r="H6" s="13">
        <v>82.93</v>
      </c>
      <c r="I6" s="20">
        <f t="shared" si="0"/>
        <v>85.0806666666667</v>
      </c>
      <c r="J6" s="10">
        <f t="shared" si="1"/>
        <v>2.20206145842178</v>
      </c>
    </row>
    <row r="7" spans="1:10">
      <c r="A7" s="14" t="s">
        <v>14</v>
      </c>
      <c r="B7" s="15" t="s">
        <v>15</v>
      </c>
      <c r="C7" s="16">
        <v>85.71</v>
      </c>
      <c r="D7" s="17">
        <v>85.12</v>
      </c>
      <c r="E7" s="17">
        <v>86.35</v>
      </c>
      <c r="F7" s="17">
        <v>86.49</v>
      </c>
      <c r="G7" s="17">
        <v>84.68</v>
      </c>
      <c r="H7" s="18">
        <v>84.63</v>
      </c>
      <c r="I7" s="21">
        <f t="shared" si="0"/>
        <v>85.4966666666667</v>
      </c>
      <c r="J7" s="15">
        <f t="shared" si="1"/>
        <v>0.81490285719628</v>
      </c>
    </row>
    <row r="8" spans="1:10">
      <c r="A8" s="1"/>
      <c r="B8" s="1"/>
      <c r="C8" s="19"/>
      <c r="D8" s="19"/>
      <c r="E8" s="19"/>
      <c r="F8" s="19"/>
      <c r="G8" s="19"/>
      <c r="H8" s="19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ht="17.5" spans="1:10">
      <c r="A10" s="1"/>
      <c r="B10" s="3" t="s">
        <v>16</v>
      </c>
      <c r="C10" s="1"/>
      <c r="D10" s="1"/>
      <c r="E10" s="1"/>
      <c r="F10" s="1"/>
      <c r="G10" s="1"/>
      <c r="H10" s="1"/>
      <c r="I10" s="1"/>
      <c r="J10" s="1"/>
    </row>
    <row r="11" spans="1:10">
      <c r="A11" s="4"/>
      <c r="B11" s="5"/>
      <c r="C11" s="6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8" t="s">
        <v>7</v>
      </c>
      <c r="I11" s="7" t="s">
        <v>8</v>
      </c>
      <c r="J11" s="8" t="s">
        <v>9</v>
      </c>
    </row>
    <row r="12" spans="1:10">
      <c r="A12" s="9" t="s">
        <v>10</v>
      </c>
      <c r="B12" s="10" t="s">
        <v>11</v>
      </c>
      <c r="C12" s="11">
        <v>4680</v>
      </c>
      <c r="D12" s="12">
        <v>4060</v>
      </c>
      <c r="E12" s="12">
        <v>4599</v>
      </c>
      <c r="F12" s="12">
        <v>4383</v>
      </c>
      <c r="G12" s="12">
        <v>4489</v>
      </c>
      <c r="H12" s="13">
        <v>4178</v>
      </c>
      <c r="I12" s="20">
        <f t="shared" ref="I12:I14" si="2">AVERAGE(C12:H12)</f>
        <v>4398.16666666667</v>
      </c>
      <c r="J12" s="10">
        <f t="shared" ref="J12:J14" si="3">STDEV(C12:H12)</f>
        <v>241.277779056975</v>
      </c>
    </row>
    <row r="13" spans="1:10">
      <c r="A13" s="9" t="s">
        <v>12</v>
      </c>
      <c r="B13" s="10" t="s">
        <v>13</v>
      </c>
      <c r="C13" s="11">
        <v>4836</v>
      </c>
      <c r="D13" s="12">
        <v>4329</v>
      </c>
      <c r="E13" s="12">
        <v>4770</v>
      </c>
      <c r="F13" s="12">
        <v>3980</v>
      </c>
      <c r="G13" s="12">
        <v>4034</v>
      </c>
      <c r="H13" s="13">
        <v>4008</v>
      </c>
      <c r="I13" s="20">
        <f t="shared" si="2"/>
        <v>4326.16666666667</v>
      </c>
      <c r="J13" s="10">
        <f t="shared" si="3"/>
        <v>390.729787278455</v>
      </c>
    </row>
    <row r="14" spans="1:10">
      <c r="A14" s="14" t="s">
        <v>14</v>
      </c>
      <c r="B14" s="15" t="s">
        <v>15</v>
      </c>
      <c r="C14" s="16">
        <v>4672</v>
      </c>
      <c r="D14" s="17">
        <v>4156</v>
      </c>
      <c r="E14" s="17">
        <v>4746</v>
      </c>
      <c r="F14" s="17">
        <v>4085</v>
      </c>
      <c r="G14" s="17">
        <v>4004</v>
      </c>
      <c r="H14" s="18">
        <v>4144</v>
      </c>
      <c r="I14" s="21">
        <f t="shared" si="2"/>
        <v>4301.16666666667</v>
      </c>
      <c r="J14" s="15">
        <f t="shared" si="3"/>
        <v>321.311323589236</v>
      </c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2024-12-05T13:13:00Z</dcterms:created>
  <dcterms:modified xsi:type="dcterms:W3CDTF">2024-12-26T09:19:29Z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A0DC5C4E0EDE425DB4F71AAC11DF5589_11</vt:lpwstr>
  </property>
  <property fmtid="{D5CDD505-2E9C-101B-9397-08002B2CF9AE}" pid="3" name="KSOProductBuildVer">
    <vt:lpwstr>2052-12.1.0.19302</vt:lpwstr>
  </property>
</Properties>
</file>