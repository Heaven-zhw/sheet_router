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<sst xmlns="http://schemas.openxmlformats.org/spreadsheetml/2006/main" count="123" uniqueCount="25">
  <si>
    <t>Expt1</t>
  </si>
  <si>
    <t>MFI</t>
  </si>
  <si>
    <t>Isotype MFI</t>
  </si>
  <si>
    <t>MFI (actual)=MFI-isotype MFI</t>
  </si>
  <si>
    <t>Isotype stained</t>
  </si>
  <si>
    <t>Uninf</t>
  </si>
  <si>
    <t>DC</t>
  </si>
  <si>
    <t xml:space="preserve">CD40 stained </t>
  </si>
  <si>
    <t>Set1</t>
  </si>
  <si>
    <t xml:space="preserve"> DC-SAG</t>
  </si>
  <si>
    <t>Set2</t>
  </si>
  <si>
    <t xml:space="preserve"> DC + SAG</t>
  </si>
  <si>
    <t>Set3</t>
  </si>
  <si>
    <t>AG83 (SbSLD)</t>
  </si>
  <si>
    <t>DC -SAG</t>
  </si>
  <si>
    <t>Set4</t>
  </si>
  <si>
    <t xml:space="preserve"> DC+ SAG</t>
  </si>
  <si>
    <t>Set5</t>
  </si>
  <si>
    <t>GE1F8R (SbRLD)</t>
  </si>
  <si>
    <t>Set6</t>
  </si>
  <si>
    <t>MFI (actual)</t>
  </si>
  <si>
    <t>fold change</t>
  </si>
  <si>
    <t>Expt2</t>
  </si>
  <si>
    <t>Expt3</t>
  </si>
  <si>
    <t>DC + SAG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</si>
</sst>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Fill="1" applyBorder="1" applyAlignment="1"/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Fill="1" applyBorder="1" applyAlignment="1"/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workbookViewId="0">
      <selection activeCell="N21" sqref="N21"/>
    </sheetView>
  </sheetViews>
  <sheetFormatPr defaultColWidth="8.72727272727273" defaultRowHeight="14" outlineLevelCol="6"/>
  <cols>
    <col min="1" max="1" width="20.6363636363636" customWidth="1"/>
    <col min="3" max="3" width="15.7272727272727" customWidth="1"/>
    <col min="4" max="4" width="11.1818181818182" customWidth="1"/>
    <col min="6" max="6" width="15.7272727272727" customWidth="1"/>
    <col min="7" max="7" width="35.090909090909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3" t="s">
        <v>1</v>
      </c>
      <c r="F2" s="3" t="s">
        <v>2</v>
      </c>
      <c r="G2" s="3" t="s">
        <v>3</v>
      </c>
    </row>
    <row r="3" spans="1:7">
      <c r="A3" s="4" t="s">
        <v>4</v>
      </c>
      <c r="B3" s="5"/>
      <c r="C3" s="6" t="s">
        <v>5</v>
      </c>
      <c r="D3" s="7" t="s">
        <v>6</v>
      </c>
      <c r="E3" s="8">
        <v>3481</v>
      </c>
      <c r="F3" s="8">
        <v>3481</v>
      </c>
      <c r="G3" s="9">
        <f t="shared" ref="G3:G9" si="0">(E3-F3)</f>
        <v>0</v>
      </c>
    </row>
    <row r="4" spans="1:7">
      <c r="A4" s="10" t="s">
        <v>7</v>
      </c>
      <c r="B4" s="11" t="s">
        <v>8</v>
      </c>
      <c r="C4" s="12" t="s">
        <v>5</v>
      </c>
      <c r="D4" s="5" t="s">
        <v>9</v>
      </c>
      <c r="E4" s="6">
        <v>4676</v>
      </c>
      <c r="F4" s="6">
        <v>3481</v>
      </c>
      <c r="G4" s="13">
        <f t="shared" si="0"/>
        <v>1195</v>
      </c>
    </row>
    <row r="5" spans="1:7">
      <c r="A5" s="14"/>
      <c r="B5" s="15" t="s">
        <v>10</v>
      </c>
      <c r="C5" s="16"/>
      <c r="D5" s="17" t="s">
        <v>11</v>
      </c>
      <c r="E5" s="18">
        <v>11381</v>
      </c>
      <c r="F5" s="18">
        <v>3481</v>
      </c>
      <c r="G5" s="19">
        <f t="shared" si="0"/>
        <v>7900</v>
      </c>
    </row>
    <row r="6" spans="1:7">
      <c r="A6" s="14"/>
      <c r="B6" s="11" t="s">
        <v>12</v>
      </c>
      <c r="C6" s="12" t="s">
        <v>13</v>
      </c>
      <c r="D6" s="5" t="s">
        <v>14</v>
      </c>
      <c r="E6" s="6">
        <v>4320</v>
      </c>
      <c r="F6" s="6">
        <v>3481</v>
      </c>
      <c r="G6" s="13">
        <f t="shared" si="0"/>
        <v>839</v>
      </c>
    </row>
    <row r="7" spans="1:7">
      <c r="A7" s="14"/>
      <c r="B7" s="15" t="s">
        <v>15</v>
      </c>
      <c r="C7" s="16"/>
      <c r="D7" s="17" t="s">
        <v>16</v>
      </c>
      <c r="E7" s="18">
        <v>10918</v>
      </c>
      <c r="F7" s="18">
        <v>3481</v>
      </c>
      <c r="G7" s="19">
        <f t="shared" si="0"/>
        <v>7437</v>
      </c>
    </row>
    <row r="8" spans="1:7">
      <c r="A8" s="14"/>
      <c r="B8" s="11" t="s">
        <v>17</v>
      </c>
      <c r="C8" s="12" t="s">
        <v>18</v>
      </c>
      <c r="D8" s="5" t="s">
        <v>9</v>
      </c>
      <c r="E8" s="6">
        <v>4267</v>
      </c>
      <c r="F8" s="6">
        <v>3481</v>
      </c>
      <c r="G8" s="13">
        <f t="shared" si="0"/>
        <v>786</v>
      </c>
    </row>
    <row r="9" spans="1:7">
      <c r="A9" s="20"/>
      <c r="B9" s="15" t="s">
        <v>19</v>
      </c>
      <c r="C9" s="16"/>
      <c r="D9" s="17" t="s">
        <v>16</v>
      </c>
      <c r="E9" s="18">
        <v>5579</v>
      </c>
      <c r="F9" s="18">
        <v>3481</v>
      </c>
      <c r="G9" s="19">
        <f t="shared" si="0"/>
        <v>2098</v>
      </c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11"/>
      <c r="B12" s="5"/>
      <c r="C12" s="5"/>
      <c r="D12" s="5"/>
      <c r="E12" s="21" t="s">
        <v>20</v>
      </c>
      <c r="F12" s="22"/>
      <c r="G12" s="23" t="s">
        <v>21</v>
      </c>
    </row>
    <row r="13" spans="1:7">
      <c r="A13" s="24" t="s">
        <v>7</v>
      </c>
      <c r="B13" s="11" t="s">
        <v>8</v>
      </c>
      <c r="C13" s="12" t="s">
        <v>5</v>
      </c>
      <c r="D13" s="5" t="s">
        <v>9</v>
      </c>
      <c r="E13" s="25">
        <v>1195</v>
      </c>
      <c r="F13" s="13">
        <v>1195</v>
      </c>
      <c r="G13" s="13">
        <f t="shared" ref="G13:G18" si="1">(E13/F13)</f>
        <v>1</v>
      </c>
    </row>
    <row r="14" spans="1:7">
      <c r="A14" s="26"/>
      <c r="B14" s="15" t="s">
        <v>10</v>
      </c>
      <c r="C14" s="16"/>
      <c r="D14" s="17" t="s">
        <v>11</v>
      </c>
      <c r="E14" s="27">
        <v>7900</v>
      </c>
      <c r="F14" s="19">
        <v>1195</v>
      </c>
      <c r="G14" s="19">
        <f t="shared" si="1"/>
        <v>6.61087866108787</v>
      </c>
    </row>
    <row r="15" spans="1:7">
      <c r="A15" s="26"/>
      <c r="B15" s="11" t="s">
        <v>12</v>
      </c>
      <c r="C15" s="12" t="s">
        <v>13</v>
      </c>
      <c r="D15" s="5" t="s">
        <v>14</v>
      </c>
      <c r="E15" s="25">
        <v>839</v>
      </c>
      <c r="F15" s="13">
        <v>1195</v>
      </c>
      <c r="G15" s="13">
        <f t="shared" si="1"/>
        <v>0.702092050209205</v>
      </c>
    </row>
    <row r="16" spans="1:7">
      <c r="A16" s="26"/>
      <c r="B16" s="15" t="s">
        <v>15</v>
      </c>
      <c r="C16" s="16"/>
      <c r="D16" s="17" t="s">
        <v>16</v>
      </c>
      <c r="E16" s="27">
        <v>7437</v>
      </c>
      <c r="F16" s="19">
        <v>1195</v>
      </c>
      <c r="G16" s="19">
        <f t="shared" si="1"/>
        <v>6.2234309623431</v>
      </c>
    </row>
    <row r="17" spans="1:7">
      <c r="A17" s="26"/>
      <c r="B17" s="11" t="s">
        <v>17</v>
      </c>
      <c r="C17" s="12" t="s">
        <v>18</v>
      </c>
      <c r="D17" s="5" t="s">
        <v>9</v>
      </c>
      <c r="E17" s="25">
        <v>786</v>
      </c>
      <c r="F17" s="13">
        <v>1195</v>
      </c>
      <c r="G17" s="13">
        <f t="shared" si="1"/>
        <v>0.657740585774059</v>
      </c>
    </row>
    <row r="18" spans="1:7">
      <c r="A18" s="28"/>
      <c r="B18" s="15" t="s">
        <v>19</v>
      </c>
      <c r="C18" s="16"/>
      <c r="D18" s="17" t="s">
        <v>16</v>
      </c>
      <c r="E18" s="27">
        <v>2098</v>
      </c>
      <c r="F18" s="19">
        <v>1195</v>
      </c>
      <c r="G18" s="19">
        <f t="shared" si="1"/>
        <v>1.75564853556485</v>
      </c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1" t="s">
        <v>22</v>
      </c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3" t="s">
        <v>1</v>
      </c>
      <c r="F23" s="3" t="s">
        <v>2</v>
      </c>
      <c r="G23" s="3" t="s">
        <v>3</v>
      </c>
    </row>
    <row r="24" spans="1:7">
      <c r="A24" s="4" t="s">
        <v>4</v>
      </c>
      <c r="B24" s="5"/>
      <c r="C24" s="6" t="s">
        <v>5</v>
      </c>
      <c r="D24" s="7" t="s">
        <v>6</v>
      </c>
      <c r="E24" s="8">
        <v>3274</v>
      </c>
      <c r="F24" s="8">
        <v>3274</v>
      </c>
      <c r="G24" s="9">
        <f t="shared" ref="G24:G30" si="2">(E24-F24)</f>
        <v>0</v>
      </c>
    </row>
    <row r="25" spans="1:7">
      <c r="A25" s="10" t="s">
        <v>7</v>
      </c>
      <c r="B25" s="11" t="s">
        <v>8</v>
      </c>
      <c r="C25" s="12" t="s">
        <v>5</v>
      </c>
      <c r="D25" s="5" t="s">
        <v>9</v>
      </c>
      <c r="E25" s="6">
        <v>4670</v>
      </c>
      <c r="F25" s="6">
        <v>3274</v>
      </c>
      <c r="G25" s="13">
        <f t="shared" si="2"/>
        <v>1396</v>
      </c>
    </row>
    <row r="26" spans="1:7">
      <c r="A26" s="14"/>
      <c r="B26" s="15" t="s">
        <v>10</v>
      </c>
      <c r="C26" s="16"/>
      <c r="D26" s="17" t="s">
        <v>11</v>
      </c>
      <c r="E26" s="18">
        <v>9680</v>
      </c>
      <c r="F26" s="18">
        <v>3274</v>
      </c>
      <c r="G26" s="19">
        <f t="shared" si="2"/>
        <v>6406</v>
      </c>
    </row>
    <row r="27" spans="1:7">
      <c r="A27" s="14"/>
      <c r="B27" s="11" t="s">
        <v>12</v>
      </c>
      <c r="C27" s="12" t="s">
        <v>13</v>
      </c>
      <c r="D27" s="5" t="s">
        <v>14</v>
      </c>
      <c r="E27" s="6">
        <v>4753</v>
      </c>
      <c r="F27" s="6">
        <v>3274</v>
      </c>
      <c r="G27" s="13">
        <f t="shared" si="2"/>
        <v>1479</v>
      </c>
    </row>
    <row r="28" spans="1:7">
      <c r="A28" s="14"/>
      <c r="B28" s="15" t="s">
        <v>15</v>
      </c>
      <c r="C28" s="16"/>
      <c r="D28" s="17" t="s">
        <v>16</v>
      </c>
      <c r="E28" s="18">
        <v>10281</v>
      </c>
      <c r="F28" s="18">
        <v>3274</v>
      </c>
      <c r="G28" s="19">
        <f t="shared" si="2"/>
        <v>7007</v>
      </c>
    </row>
    <row r="29" spans="1:7">
      <c r="A29" s="14"/>
      <c r="B29" s="11" t="s">
        <v>17</v>
      </c>
      <c r="C29" s="12" t="s">
        <v>18</v>
      </c>
      <c r="D29" s="5" t="s">
        <v>9</v>
      </c>
      <c r="E29" s="6">
        <v>5548</v>
      </c>
      <c r="F29" s="6">
        <v>3274</v>
      </c>
      <c r="G29" s="13">
        <f t="shared" si="2"/>
        <v>2274</v>
      </c>
    </row>
    <row r="30" spans="1:7">
      <c r="A30" s="20"/>
      <c r="B30" s="15" t="s">
        <v>19</v>
      </c>
      <c r="C30" s="16"/>
      <c r="D30" s="17" t="s">
        <v>16</v>
      </c>
      <c r="E30" s="18">
        <v>5879</v>
      </c>
      <c r="F30" s="18">
        <v>3274</v>
      </c>
      <c r="G30" s="19">
        <f t="shared" si="2"/>
        <v>2605</v>
      </c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11"/>
      <c r="B33" s="5"/>
      <c r="C33" s="5"/>
      <c r="D33" s="5"/>
      <c r="E33" s="21" t="s">
        <v>20</v>
      </c>
      <c r="F33" s="22"/>
      <c r="G33" s="23" t="s">
        <v>21</v>
      </c>
    </row>
    <row r="34" spans="1:7">
      <c r="A34" s="24" t="s">
        <v>7</v>
      </c>
      <c r="B34" s="11" t="s">
        <v>8</v>
      </c>
      <c r="C34" s="12" t="s">
        <v>5</v>
      </c>
      <c r="D34" s="5" t="s">
        <v>9</v>
      </c>
      <c r="E34" s="25">
        <v>1396</v>
      </c>
      <c r="F34" s="13">
        <v>1396</v>
      </c>
      <c r="G34" s="13">
        <f t="shared" ref="G34:G39" si="3">(E34/F34)</f>
        <v>1</v>
      </c>
    </row>
    <row r="35" spans="1:7">
      <c r="A35" s="26"/>
      <c r="B35" s="15" t="s">
        <v>10</v>
      </c>
      <c r="C35" s="16"/>
      <c r="D35" s="17" t="s">
        <v>11</v>
      </c>
      <c r="E35" s="27">
        <v>6406</v>
      </c>
      <c r="F35" s="19">
        <v>1396</v>
      </c>
      <c r="G35" s="19">
        <f t="shared" si="3"/>
        <v>4.58882521489971</v>
      </c>
    </row>
    <row r="36" spans="1:7">
      <c r="A36" s="26"/>
      <c r="B36" s="11" t="s">
        <v>12</v>
      </c>
      <c r="C36" s="12" t="s">
        <v>13</v>
      </c>
      <c r="D36" s="5" t="s">
        <v>14</v>
      </c>
      <c r="E36" s="25">
        <v>1479</v>
      </c>
      <c r="F36" s="13">
        <v>1396</v>
      </c>
      <c r="G36" s="13">
        <f t="shared" si="3"/>
        <v>1.05945558739255</v>
      </c>
    </row>
    <row r="37" spans="1:7">
      <c r="A37" s="26"/>
      <c r="B37" s="15" t="s">
        <v>15</v>
      </c>
      <c r="C37" s="16"/>
      <c r="D37" s="17" t="s">
        <v>16</v>
      </c>
      <c r="E37" s="27">
        <v>7007</v>
      </c>
      <c r="F37" s="19">
        <v>1396</v>
      </c>
      <c r="G37" s="19">
        <f t="shared" si="3"/>
        <v>5.01934097421203</v>
      </c>
    </row>
    <row r="38" spans="1:7">
      <c r="A38" s="26"/>
      <c r="B38" s="11" t="s">
        <v>17</v>
      </c>
      <c r="C38" s="12" t="s">
        <v>18</v>
      </c>
      <c r="D38" s="5" t="s">
        <v>9</v>
      </c>
      <c r="E38" s="25">
        <v>2274</v>
      </c>
      <c r="F38" s="13">
        <v>1396</v>
      </c>
      <c r="G38" s="13">
        <f t="shared" si="3"/>
        <v>1.62893982808023</v>
      </c>
    </row>
    <row r="39" spans="1:7">
      <c r="A39" s="28"/>
      <c r="B39" s="15" t="s">
        <v>19</v>
      </c>
      <c r="C39" s="16"/>
      <c r="D39" s="17" t="s">
        <v>16</v>
      </c>
      <c r="E39" s="27">
        <v>2605</v>
      </c>
      <c r="F39" s="19">
        <v>1396</v>
      </c>
      <c r="G39" s="19">
        <f t="shared" si="3"/>
        <v>1.86604584527221</v>
      </c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1" t="s">
        <v>23</v>
      </c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3" t="s">
        <v>1</v>
      </c>
      <c r="F43" s="3" t="s">
        <v>2</v>
      </c>
      <c r="G43" s="3" t="s">
        <v>3</v>
      </c>
    </row>
    <row r="44" spans="1:7">
      <c r="A44" s="4" t="s">
        <v>4</v>
      </c>
      <c r="B44" s="5"/>
      <c r="C44" s="6" t="s">
        <v>5</v>
      </c>
      <c r="D44" s="7" t="s">
        <v>6</v>
      </c>
      <c r="E44" s="8">
        <v>2615</v>
      </c>
      <c r="F44" s="8">
        <v>2615</v>
      </c>
      <c r="G44" s="9">
        <f t="shared" ref="G44:G50" si="4">(E44-F44)</f>
        <v>0</v>
      </c>
    </row>
    <row r="45" spans="1:7">
      <c r="A45" s="10" t="s">
        <v>7</v>
      </c>
      <c r="B45" s="11" t="s">
        <v>8</v>
      </c>
      <c r="C45" s="12" t="s">
        <v>5</v>
      </c>
      <c r="D45" s="5" t="s">
        <v>14</v>
      </c>
      <c r="E45" s="6">
        <v>5349</v>
      </c>
      <c r="F45" s="6">
        <v>2615</v>
      </c>
      <c r="G45" s="13">
        <f t="shared" si="4"/>
        <v>2734</v>
      </c>
    </row>
    <row r="46" spans="1:7">
      <c r="A46" s="14"/>
      <c r="B46" s="15" t="s">
        <v>10</v>
      </c>
      <c r="C46" s="16"/>
      <c r="D46" s="17" t="s">
        <v>24</v>
      </c>
      <c r="E46" s="18">
        <v>18383</v>
      </c>
      <c r="F46" s="18">
        <v>2615</v>
      </c>
      <c r="G46" s="19">
        <f t="shared" si="4"/>
        <v>15768</v>
      </c>
    </row>
    <row r="47" spans="1:7">
      <c r="A47" s="14"/>
      <c r="B47" s="11" t="s">
        <v>12</v>
      </c>
      <c r="C47" s="12" t="s">
        <v>13</v>
      </c>
      <c r="D47" s="5" t="s">
        <v>14</v>
      </c>
      <c r="E47" s="6">
        <v>3894</v>
      </c>
      <c r="F47" s="6">
        <v>2615</v>
      </c>
      <c r="G47" s="13">
        <f t="shared" si="4"/>
        <v>1279</v>
      </c>
    </row>
    <row r="48" spans="1:7">
      <c r="A48" s="14"/>
      <c r="B48" s="15" t="s">
        <v>15</v>
      </c>
      <c r="C48" s="16"/>
      <c r="D48" s="17" t="s">
        <v>24</v>
      </c>
      <c r="E48" s="18">
        <v>17772</v>
      </c>
      <c r="F48" s="18">
        <v>2615</v>
      </c>
      <c r="G48" s="19">
        <f t="shared" si="4"/>
        <v>15157</v>
      </c>
    </row>
    <row r="49" spans="1:7">
      <c r="A49" s="14"/>
      <c r="B49" s="11" t="s">
        <v>17</v>
      </c>
      <c r="C49" s="12" t="s">
        <v>18</v>
      </c>
      <c r="D49" s="5" t="s">
        <v>14</v>
      </c>
      <c r="E49" s="6">
        <v>7712</v>
      </c>
      <c r="F49" s="6">
        <v>2615</v>
      </c>
      <c r="G49" s="13">
        <f t="shared" si="4"/>
        <v>5097</v>
      </c>
    </row>
    <row r="50" spans="1:7">
      <c r="A50" s="20"/>
      <c r="B50" s="15" t="s">
        <v>19</v>
      </c>
      <c r="C50" s="16"/>
      <c r="D50" s="17" t="s">
        <v>24</v>
      </c>
      <c r="E50" s="18">
        <v>10267</v>
      </c>
      <c r="F50" s="18">
        <v>2615</v>
      </c>
      <c r="G50" s="19">
        <f t="shared" si="4"/>
        <v>7652</v>
      </c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11"/>
      <c r="B53" s="5"/>
      <c r="C53" s="5"/>
      <c r="D53" s="5"/>
      <c r="E53" s="21" t="s">
        <v>20</v>
      </c>
      <c r="F53" s="22"/>
      <c r="G53" s="23" t="s">
        <v>21</v>
      </c>
    </row>
    <row r="54" spans="1:7">
      <c r="A54" s="24" t="s">
        <v>7</v>
      </c>
      <c r="B54" s="11" t="s">
        <v>8</v>
      </c>
      <c r="C54" s="12" t="s">
        <v>5</v>
      </c>
      <c r="D54" s="5" t="s">
        <v>14</v>
      </c>
      <c r="E54" s="25">
        <v>2734</v>
      </c>
      <c r="F54" s="13">
        <v>2734</v>
      </c>
      <c r="G54" s="13">
        <f t="shared" ref="G54:G59" si="5">(E54/F54)</f>
        <v>1</v>
      </c>
    </row>
    <row r="55" spans="1:7">
      <c r="A55" s="26"/>
      <c r="B55" s="15" t="s">
        <v>10</v>
      </c>
      <c r="C55" s="16"/>
      <c r="D55" s="17" t="s">
        <v>24</v>
      </c>
      <c r="E55" s="27">
        <v>15768</v>
      </c>
      <c r="F55" s="19">
        <v>2734</v>
      </c>
      <c r="G55" s="19">
        <f t="shared" si="5"/>
        <v>5.76737381126554</v>
      </c>
    </row>
    <row r="56" spans="1:7">
      <c r="A56" s="26"/>
      <c r="B56" s="11" t="s">
        <v>12</v>
      </c>
      <c r="C56" s="12" t="s">
        <v>13</v>
      </c>
      <c r="D56" s="5" t="s">
        <v>14</v>
      </c>
      <c r="E56" s="25">
        <v>1279</v>
      </c>
      <c r="F56" s="13">
        <v>2734</v>
      </c>
      <c r="G56" s="13">
        <f t="shared" si="5"/>
        <v>0.46781272860278</v>
      </c>
    </row>
    <row r="57" spans="1:7">
      <c r="A57" s="26"/>
      <c r="B57" s="15" t="s">
        <v>15</v>
      </c>
      <c r="C57" s="16"/>
      <c r="D57" s="17" t="s">
        <v>24</v>
      </c>
      <c r="E57" s="27">
        <v>15157</v>
      </c>
      <c r="F57" s="19">
        <v>2734</v>
      </c>
      <c r="G57" s="19">
        <f t="shared" si="5"/>
        <v>5.54389173372348</v>
      </c>
    </row>
    <row r="58" spans="1:7">
      <c r="A58" s="26"/>
      <c r="B58" s="11" t="s">
        <v>17</v>
      </c>
      <c r="C58" s="12" t="s">
        <v>18</v>
      </c>
      <c r="D58" s="5" t="s">
        <v>14</v>
      </c>
      <c r="E58" s="25">
        <v>5097</v>
      </c>
      <c r="F58" s="13">
        <v>2734</v>
      </c>
      <c r="G58" s="13">
        <f t="shared" si="5"/>
        <v>1.8643013899049</v>
      </c>
    </row>
    <row r="59" spans="1:7">
      <c r="A59" s="28"/>
      <c r="B59" s="15" t="s">
        <v>19</v>
      </c>
      <c r="C59" s="16"/>
      <c r="D59" s="17" t="s">
        <v>24</v>
      </c>
      <c r="E59" s="27">
        <v>7652</v>
      </c>
      <c r="F59" s="19">
        <v>2734</v>
      </c>
      <c r="G59" s="19">
        <f t="shared" si="5"/>
        <v>2.79882955376737</v>
      </c>
    </row>
  </sheetData>
  <mergeCells count="27">
    <mergeCell ref="E12:F12"/>
    <mergeCell ref="E33:F33"/>
    <mergeCell ref="E53:F53"/>
    <mergeCell ref="A4:A9"/>
    <mergeCell ref="A13:A18"/>
    <mergeCell ref="A25:A30"/>
    <mergeCell ref="A34:A39"/>
    <mergeCell ref="A45:A50"/>
    <mergeCell ref="A54:A59"/>
    <mergeCell ref="C4:C5"/>
    <mergeCell ref="C6:C7"/>
    <mergeCell ref="C8:C9"/>
    <mergeCell ref="C13:C14"/>
    <mergeCell ref="C15:C16"/>
    <mergeCell ref="C17:C18"/>
    <mergeCell ref="C25:C26"/>
    <mergeCell ref="C27:C28"/>
    <mergeCell ref="C29:C30"/>
    <mergeCell ref="C34:C35"/>
    <mergeCell ref="C36:C37"/>
    <mergeCell ref="C38:C39"/>
    <mergeCell ref="C45:C46"/>
    <mergeCell ref="C47:C48"/>
    <mergeCell ref="C49:C50"/>
    <mergeCell ref="C54:C55"/>
    <mergeCell ref="C56:C57"/>
    <mergeCell ref="C58:C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2024-12-03T13:00:00Z</dcterms:created>
  <dcterms:modified xsi:type="dcterms:W3CDTF">2024-12-26T09:10:27Z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769C28E2A8F847B29C5F5553726E2160_11</vt:lpwstr>
  </property>
  <property fmtid="{D5CDD505-2E9C-101B-9397-08002B2CF9AE}" pid="3" name="KSOProductBuildVer">
    <vt:lpwstr>2052-12.1.0.19302</vt:lpwstr>
  </property>
</Properties>
</file>