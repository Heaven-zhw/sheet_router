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study\浙软\used_data\"/>
    </mc:Choice>
  </mc:AlternateContent>
  <xr:revisionPtr revIDLastSave="0" documentId="8_{D01C105A-EB47-49EF-9C48-255E2DE3A2C9}" xr6:coauthVersionLast="47" xr6:coauthVersionMax="47" xr10:uidLastSave="{00000000-0000-0000-0000-000000000000}"/>
  <bookViews>
    <workbookView xWindow="-110" yWindow="-110" windowWidth="25820" windowHeight="15500" xr2:uid="{D975842A-4EE0-40FE-985F-F43F7DE63E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" l="1"/>
  <c r="Q7" i="1"/>
  <c r="F8" i="1"/>
  <c r="Q8" i="1"/>
  <c r="F9" i="1"/>
  <c r="Q9" i="1"/>
  <c r="F10" i="1"/>
  <c r="Q10" i="1"/>
  <c r="Q22" i="1" s="1"/>
  <c r="F11" i="1"/>
  <c r="Q11" i="1"/>
  <c r="F12" i="1"/>
  <c r="Q12" i="1"/>
  <c r="F13" i="1"/>
  <c r="Q13" i="1"/>
  <c r="F14" i="1"/>
  <c r="Q14" i="1"/>
  <c r="F15" i="1"/>
  <c r="Q15" i="1"/>
  <c r="F16" i="1"/>
  <c r="Q16" i="1"/>
  <c r="Q24" i="1" l="1"/>
  <c r="Q26" i="1"/>
</calcChain>
</file>

<file path=xl/sharedStrings.xml><?xml version="1.0" encoding="utf-8"?>
<sst xmlns="http://schemas.openxmlformats.org/spreadsheetml/2006/main" count="41" uniqueCount="24">
  <si>
    <t>Cornwall Glass Plymouth Trade Counter</t>
  </si>
  <si>
    <t>Customer Ref: Jones</t>
  </si>
  <si>
    <t>Product</t>
  </si>
  <si>
    <t>Quanity</t>
  </si>
  <si>
    <t>Width in mm</t>
  </si>
  <si>
    <t>X</t>
  </si>
  <si>
    <t>Height in mm</t>
  </si>
  <si>
    <t>M/2</t>
  </si>
  <si>
    <t>Price</t>
  </si>
  <si>
    <t>Corner Notch's</t>
  </si>
  <si>
    <t>Cut - Outs</t>
  </si>
  <si>
    <t>Holes 6 -15 mm</t>
  </si>
  <si>
    <t>Holes 16 -38 mm</t>
  </si>
  <si>
    <t>Total</t>
  </si>
  <si>
    <t>quanity</t>
  </si>
  <si>
    <t>price</t>
  </si>
  <si>
    <t>6mm White Toughened, Lacobel, P/A/R</t>
  </si>
  <si>
    <t>6mm Black Toughened, Lacobel, P/A/R</t>
  </si>
  <si>
    <t>6mm Light Grey Toughened, Lacobel, P/A/R</t>
  </si>
  <si>
    <t>6mm Dark Grey Toughened, Lacobel, P/A/R</t>
  </si>
  <si>
    <t>Template Charge</t>
  </si>
  <si>
    <t>Silicone</t>
  </si>
  <si>
    <t>Vat 20%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</si>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</sst>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0" formatCode="&quot;£&quot;#,##0.00"/>
    <numFmt numFmtId="181" formatCode="0.000"/>
  </numFmts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indexed="8"/>
      <name val="等线"/>
      <family val="3"/>
      <charset val="134"/>
    </font>
    <font>
      <b/>
      <sz val="10"/>
      <color indexed="8"/>
      <name val="等线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2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>
      <alignment horizontal="left"/>
    </xf>
    <xf numFmtId="0" fontId="2" fillId="0" borderId="0" xfId="0" applyNumberFormat="1" applyFont="1" applyFill="1" applyBorder="1" applyAlignment="1" applyProtection="1">
      <alignment horizontal="center" wrapText="1"/>
    </xf>
    <xf numFmtId="0" fontId="2" fillId="0" borderId="0" xfId="0" applyNumberFormat="1" applyFont="1" applyFill="1" applyBorder="1" applyAlignment="1" applyProtection="1">
      <alignment horizontal="center" wrapText="1"/>
    </xf>
    <xf numFmtId="0" fontId="2" fillId="0" borderId="0" xfId="0" applyNumberFormat="1" applyFont="1" applyFill="1" applyBorder="1" applyAlignment="1" applyProtection="1">
      <alignment horizontal="center"/>
    </xf>
    <xf numFmtId="0" fontId="2" fillId="0" borderId="0" xfId="0" applyNumberFormat="1" applyFont="1" applyFill="1" applyBorder="1" applyAlignment="1" applyProtection="1">
      <alignment horizont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180" fontId="3" fillId="0" borderId="0" xfId="0" applyNumberFormat="1" applyFont="1" applyFill="1" applyBorder="1" applyAlignment="1" applyProtection="1">
      <alignment horizontal="center"/>
    </xf>
    <xf numFmtId="0" fontId="2" fillId="0" borderId="0" xfId="0" applyNumberFormat="1" applyFont="1" applyFill="1" applyBorder="1" applyAlignment="1" applyProtection="1">
      <alignment horizontal="left" wrapText="1"/>
    </xf>
    <xf numFmtId="181" fontId="2" fillId="0" borderId="0" xfId="0" applyNumberFormat="1" applyFont="1" applyFill="1" applyBorder="1" applyAlignment="1" applyProtection="1">
      <alignment horizontal="center"/>
    </xf>
    <xf numFmtId="2" fontId="2" fillId="2" borderId="0" xfId="0" applyNumberFormat="1" applyFont="1" applyFill="1" applyBorder="1" applyAlignment="1" applyProtection="1">
      <alignment horizontal="center"/>
    </xf>
    <xf numFmtId="2" fontId="2" fillId="0" borderId="0" xfId="0" applyNumberFormat="1" applyFont="1" applyFill="1" applyBorder="1" applyAlignment="1" applyProtection="1">
      <alignment horizontal="center"/>
    </xf>
    <xf numFmtId="180" fontId="2" fillId="0" borderId="0" xfId="0" applyNumberFormat="1" applyFont="1" applyFill="1" applyBorder="1" applyAlignment="1" applyProtection="1">
      <alignment horizontal="center"/>
    </xf>
    <xf numFmtId="180" fontId="2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>
      <alignment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Fill="1" applyBorder="1" applyAlignment="1" applyProtection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0AEB9-0EF6-4257-A74C-166A75BFCDEE}">
  <dimension ref="A1:Q26"/>
  <sheetViews>
    <sheetView tabSelected="1" zoomScaleNormal="100" workbookViewId="0">
      <selection activeCell="C16" sqref="C16"/>
    </sheetView>
  </sheetViews>
  <sheetFormatPr defaultRowHeight="14" x14ac:dyDescent="0.3"/>
  <cols>
    <col min="1" max="1" width="39.25" customWidth="1"/>
  </cols>
  <sheetData>
    <row r="1" spans="1:17" x14ac:dyDescent="0.3">
      <c r="A1" s="15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3">
      <c r="A2" s="15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3">
      <c r="A3" s="15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3">
      <c r="A4" s="15"/>
      <c r="B4" s="1"/>
      <c r="C4" s="1"/>
      <c r="D4" s="1"/>
      <c r="E4" s="1"/>
      <c r="F4" s="1"/>
      <c r="G4" s="1"/>
      <c r="H4" s="1"/>
      <c r="I4" s="1"/>
      <c r="J4" s="2"/>
      <c r="K4" s="2"/>
      <c r="L4" s="2"/>
      <c r="M4" s="1"/>
      <c r="N4" s="1"/>
      <c r="O4" s="1"/>
      <c r="P4" s="1"/>
      <c r="Q4" s="1"/>
    </row>
    <row r="5" spans="1:17" ht="14" customHeight="1" x14ac:dyDescent="0.3">
      <c r="A5" s="16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6" t="s">
        <v>9</v>
      </c>
      <c r="I5" s="6"/>
      <c r="J5" s="6" t="s">
        <v>10</v>
      </c>
      <c r="K5" s="6"/>
      <c r="L5" s="6" t="s">
        <v>11</v>
      </c>
      <c r="M5" s="6"/>
      <c r="N5" s="6" t="s">
        <v>12</v>
      </c>
      <c r="O5" s="6"/>
      <c r="P5" s="1"/>
      <c r="Q5" s="7" t="s">
        <v>13</v>
      </c>
    </row>
    <row r="6" spans="1:17" x14ac:dyDescent="0.3">
      <c r="A6" s="16"/>
      <c r="B6" s="4"/>
      <c r="C6" s="4"/>
      <c r="D6" s="4"/>
      <c r="E6" s="4"/>
      <c r="F6" s="4"/>
      <c r="G6" s="4"/>
      <c r="H6" s="8" t="s">
        <v>14</v>
      </c>
      <c r="I6" s="8" t="s">
        <v>15</v>
      </c>
      <c r="J6" s="8" t="s">
        <v>14</v>
      </c>
      <c r="K6" s="8" t="s">
        <v>15</v>
      </c>
      <c r="L6" s="8" t="s">
        <v>14</v>
      </c>
      <c r="M6" s="8" t="s">
        <v>15</v>
      </c>
      <c r="N6" s="8" t="s">
        <v>14</v>
      </c>
      <c r="O6" s="8" t="s">
        <v>15</v>
      </c>
      <c r="P6" s="1"/>
      <c r="Q6" s="7"/>
    </row>
    <row r="7" spans="1:17" ht="30" customHeight="1" x14ac:dyDescent="0.3">
      <c r="A7" s="17" t="s">
        <v>16</v>
      </c>
      <c r="B7" s="5">
        <v>1</v>
      </c>
      <c r="C7" s="10">
        <v>0.6</v>
      </c>
      <c r="D7" s="10" t="s">
        <v>5</v>
      </c>
      <c r="E7" s="10">
        <v>0.25</v>
      </c>
      <c r="F7" s="11">
        <f>C7*E7</f>
        <v>0.15</v>
      </c>
      <c r="G7" s="12">
        <v>20.475000000000001</v>
      </c>
      <c r="H7" s="5">
        <v>2</v>
      </c>
      <c r="I7" s="13">
        <v>65</v>
      </c>
      <c r="J7" s="5"/>
      <c r="K7" s="13">
        <v>0</v>
      </c>
      <c r="L7" s="5">
        <v>1</v>
      </c>
      <c r="M7" s="14">
        <v>4</v>
      </c>
      <c r="N7" s="5">
        <v>1</v>
      </c>
      <c r="O7" s="14">
        <v>8</v>
      </c>
      <c r="P7" s="1"/>
      <c r="Q7" s="13">
        <f>O7+M7+K7+I7+G7</f>
        <v>97.474999999999994</v>
      </c>
    </row>
    <row r="8" spans="1:17" ht="37" customHeight="1" x14ac:dyDescent="0.3">
      <c r="A8" s="17" t="s">
        <v>17</v>
      </c>
      <c r="B8" s="5">
        <v>1</v>
      </c>
      <c r="C8" s="10">
        <v>1.2</v>
      </c>
      <c r="D8" s="1" t="s">
        <v>5</v>
      </c>
      <c r="E8" s="10">
        <v>0.8</v>
      </c>
      <c r="F8" s="11">
        <f>C8*E8</f>
        <v>0.96</v>
      </c>
      <c r="G8" s="12">
        <v>131.04</v>
      </c>
      <c r="H8" s="5">
        <v>1</v>
      </c>
      <c r="I8" s="13">
        <v>32.5</v>
      </c>
      <c r="J8" s="5">
        <v>2</v>
      </c>
      <c r="K8" s="13">
        <v>100</v>
      </c>
      <c r="L8" s="5">
        <v>2</v>
      </c>
      <c r="M8" s="14">
        <v>8</v>
      </c>
      <c r="N8" s="5"/>
      <c r="O8" s="14">
        <v>0</v>
      </c>
      <c r="P8" s="1"/>
      <c r="Q8" s="13">
        <f>O8+M8+K8+I8+G8</f>
        <v>271.53999999999996</v>
      </c>
    </row>
    <row r="9" spans="1:17" ht="34.5" customHeight="1" x14ac:dyDescent="0.3">
      <c r="A9" s="17" t="s">
        <v>18</v>
      </c>
      <c r="B9" s="5">
        <v>1</v>
      </c>
      <c r="C9" s="10">
        <v>0.6</v>
      </c>
      <c r="D9" s="1" t="s">
        <v>5</v>
      </c>
      <c r="E9" s="10">
        <v>0.3</v>
      </c>
      <c r="F9" s="11">
        <f>C9*E9</f>
        <v>0.18</v>
      </c>
      <c r="G9" s="12">
        <v>24.57</v>
      </c>
      <c r="H9" s="5">
        <v>3</v>
      </c>
      <c r="I9" s="13">
        <v>97.5</v>
      </c>
      <c r="J9" s="5">
        <v>1</v>
      </c>
      <c r="K9" s="13">
        <v>50</v>
      </c>
      <c r="L9" s="5">
        <v>3</v>
      </c>
      <c r="M9" s="14">
        <v>12</v>
      </c>
      <c r="N9" s="5">
        <v>1</v>
      </c>
      <c r="O9" s="14">
        <v>8</v>
      </c>
      <c r="P9" s="1"/>
      <c r="Q9" s="13">
        <f>O9+M9+K9+I9+G9</f>
        <v>192.07</v>
      </c>
    </row>
    <row r="10" spans="1:17" ht="29" customHeight="1" x14ac:dyDescent="0.3">
      <c r="A10" s="17" t="s">
        <v>19</v>
      </c>
      <c r="B10" s="5"/>
      <c r="C10" s="10"/>
      <c r="D10" s="1" t="s">
        <v>5</v>
      </c>
      <c r="E10" s="10"/>
      <c r="F10" s="11">
        <f>C10*E10</f>
        <v>0</v>
      </c>
      <c r="G10" s="12">
        <v>0</v>
      </c>
      <c r="H10" s="5"/>
      <c r="I10" s="13">
        <v>0</v>
      </c>
      <c r="J10" s="5"/>
      <c r="K10" s="13">
        <v>0</v>
      </c>
      <c r="L10" s="5"/>
      <c r="M10" s="14">
        <v>0</v>
      </c>
      <c r="N10" s="5"/>
      <c r="O10" s="14">
        <v>0</v>
      </c>
      <c r="P10" s="1"/>
      <c r="Q10" s="13">
        <f>O10+M10+K10+I10+G10</f>
        <v>0</v>
      </c>
    </row>
    <row r="11" spans="1:17" x14ac:dyDescent="0.3">
      <c r="A11" s="9"/>
      <c r="B11" s="5"/>
      <c r="C11" s="10"/>
      <c r="D11" s="5" t="s">
        <v>5</v>
      </c>
      <c r="E11" s="10"/>
      <c r="F11" s="11">
        <f>C11*E11</f>
        <v>0</v>
      </c>
      <c r="G11" s="12">
        <v>0</v>
      </c>
      <c r="H11" s="5"/>
      <c r="I11" s="13">
        <v>0</v>
      </c>
      <c r="J11" s="5"/>
      <c r="K11" s="13">
        <v>0</v>
      </c>
      <c r="L11" s="5"/>
      <c r="M11" s="14">
        <v>0</v>
      </c>
      <c r="N11" s="5"/>
      <c r="O11" s="14">
        <v>0</v>
      </c>
      <c r="P11" s="1"/>
      <c r="Q11" s="13">
        <f>O11+M11+K11+I11+G11</f>
        <v>0</v>
      </c>
    </row>
    <row r="12" spans="1:17" x14ac:dyDescent="0.3">
      <c r="A12" s="9"/>
      <c r="B12" s="5"/>
      <c r="C12" s="10"/>
      <c r="D12" s="5" t="s">
        <v>5</v>
      </c>
      <c r="E12" s="10"/>
      <c r="F12" s="11">
        <f>C12*E12</f>
        <v>0</v>
      </c>
      <c r="G12" s="12">
        <v>0</v>
      </c>
      <c r="H12" s="5"/>
      <c r="I12" s="13">
        <v>0</v>
      </c>
      <c r="J12" s="5"/>
      <c r="K12" s="13">
        <v>0</v>
      </c>
      <c r="L12" s="5"/>
      <c r="M12" s="14">
        <v>0</v>
      </c>
      <c r="N12" s="5"/>
      <c r="O12" s="14">
        <v>0</v>
      </c>
      <c r="P12" s="1"/>
      <c r="Q12" s="13">
        <f>O12+M12+K12+I12+G12</f>
        <v>0</v>
      </c>
    </row>
    <row r="13" spans="1:17" x14ac:dyDescent="0.3">
      <c r="A13" s="9"/>
      <c r="B13" s="5"/>
      <c r="C13" s="10"/>
      <c r="D13" s="5" t="s">
        <v>5</v>
      </c>
      <c r="E13" s="10"/>
      <c r="F13" s="11">
        <f>C13*E13</f>
        <v>0</v>
      </c>
      <c r="G13" s="12">
        <v>0</v>
      </c>
      <c r="H13" s="5"/>
      <c r="I13" s="13">
        <v>0</v>
      </c>
      <c r="J13" s="5"/>
      <c r="K13" s="13">
        <v>0</v>
      </c>
      <c r="L13" s="5"/>
      <c r="M13" s="14">
        <v>0</v>
      </c>
      <c r="N13" s="5"/>
      <c r="O13" s="14">
        <v>0</v>
      </c>
      <c r="P13" s="1"/>
      <c r="Q13" s="13">
        <f>O13+M13+K13+I13+G13</f>
        <v>0</v>
      </c>
    </row>
    <row r="14" spans="1:17" x14ac:dyDescent="0.3">
      <c r="A14" s="9"/>
      <c r="B14" s="5"/>
      <c r="C14" s="10"/>
      <c r="D14" s="5" t="s">
        <v>5</v>
      </c>
      <c r="E14" s="10"/>
      <c r="F14" s="11">
        <f>C14*E14</f>
        <v>0</v>
      </c>
      <c r="G14" s="12">
        <v>0</v>
      </c>
      <c r="H14" s="5"/>
      <c r="I14" s="13">
        <v>0</v>
      </c>
      <c r="J14" s="5"/>
      <c r="K14" s="13">
        <v>0</v>
      </c>
      <c r="L14" s="5"/>
      <c r="M14" s="14">
        <v>0</v>
      </c>
      <c r="N14" s="5"/>
      <c r="O14" s="14">
        <v>0</v>
      </c>
      <c r="P14" s="1"/>
      <c r="Q14" s="13">
        <f>O14+M14+K14+I14+G14</f>
        <v>0</v>
      </c>
    </row>
    <row r="15" spans="1:17" x14ac:dyDescent="0.3">
      <c r="A15" s="9"/>
      <c r="B15" s="5"/>
      <c r="C15" s="10"/>
      <c r="D15" s="5" t="s">
        <v>5</v>
      </c>
      <c r="E15" s="10"/>
      <c r="F15" s="11">
        <f>C15*E15</f>
        <v>0</v>
      </c>
      <c r="G15" s="12">
        <v>0</v>
      </c>
      <c r="H15" s="5"/>
      <c r="I15" s="13">
        <v>0</v>
      </c>
      <c r="J15" s="5"/>
      <c r="K15" s="13">
        <v>0</v>
      </c>
      <c r="L15" s="5"/>
      <c r="M15" s="14">
        <v>0</v>
      </c>
      <c r="N15" s="5"/>
      <c r="O15" s="14">
        <v>0</v>
      </c>
      <c r="P15" s="1"/>
      <c r="Q15" s="13">
        <f>O15+M15+K15+I15+G15</f>
        <v>0</v>
      </c>
    </row>
    <row r="16" spans="1:17" x14ac:dyDescent="0.3">
      <c r="A16" s="9"/>
      <c r="B16" s="5"/>
      <c r="C16" s="10"/>
      <c r="D16" s="5" t="s">
        <v>5</v>
      </c>
      <c r="E16" s="10"/>
      <c r="F16" s="11">
        <f>C16*E16</f>
        <v>0</v>
      </c>
      <c r="G16" s="12">
        <v>0</v>
      </c>
      <c r="H16" s="5"/>
      <c r="I16" s="13">
        <v>0</v>
      </c>
      <c r="J16" s="5"/>
      <c r="K16" s="13">
        <v>0</v>
      </c>
      <c r="L16" s="5"/>
      <c r="M16" s="14">
        <v>0</v>
      </c>
      <c r="N16" s="5"/>
      <c r="O16" s="14">
        <v>0</v>
      </c>
      <c r="P16" s="1"/>
      <c r="Q16" s="13">
        <f>O16+M16+K16+I16+G16</f>
        <v>0</v>
      </c>
    </row>
    <row r="17" spans="1:17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3">
      <c r="A18" s="1" t="s">
        <v>20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5"/>
      <c r="P18" s="1"/>
      <c r="Q18" s="13">
        <v>0</v>
      </c>
    </row>
    <row r="19" spans="1:17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3">
      <c r="A20" s="1" t="s">
        <v>21</v>
      </c>
      <c r="B20" s="1"/>
      <c r="C20" s="2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5"/>
      <c r="P20" s="1"/>
      <c r="Q20" s="13">
        <v>0</v>
      </c>
    </row>
    <row r="21" spans="1:17" x14ac:dyDescent="0.3">
      <c r="A21" s="1"/>
      <c r="B21" s="1"/>
      <c r="C21" s="2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5" t="s">
        <v>13</v>
      </c>
      <c r="P22" s="1"/>
      <c r="Q22" s="13">
        <f>SUM(Q7:Q21)</f>
        <v>561.08500000000004</v>
      </c>
    </row>
    <row r="23" spans="1:17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5"/>
      <c r="P23" s="1"/>
      <c r="Q23" s="1"/>
    </row>
    <row r="24" spans="1:17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5" t="s">
        <v>22</v>
      </c>
      <c r="P24" s="1"/>
      <c r="Q24" s="13">
        <f>Q22*20%</f>
        <v>112.21700000000001</v>
      </c>
    </row>
    <row r="25" spans="1:17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5"/>
      <c r="P25" s="1"/>
      <c r="Q25" s="1"/>
    </row>
    <row r="26" spans="1:17" ht="28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3" t="s">
        <v>23</v>
      </c>
      <c r="P26" s="1"/>
      <c r="Q26" s="13">
        <f>Q22+Q24</f>
        <v>673.30200000000002</v>
      </c>
    </row>
  </sheetData>
  <mergeCells count="12">
    <mergeCell ref="G5:G6"/>
    <mergeCell ref="H5:I5"/>
    <mergeCell ref="J5:K5"/>
    <mergeCell ref="L5:M5"/>
    <mergeCell ref="N5:O5"/>
    <mergeCell ref="Q5:Q6"/>
    <mergeCell ref="A5:A6"/>
    <mergeCell ref="B5:B6"/>
    <mergeCell ref="C5:C6"/>
    <mergeCell ref="D5:D6"/>
    <mergeCell ref="E5:E6"/>
    <mergeCell ref="F5:F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鲁</dc:creator>
  <cp:lastModifiedBy>旭 鲁</cp:lastModifiedBy>
  <dcterms:created xsi:type="dcterms:W3CDTF">2024-12-05T04:33:13Z</dcterms:created>
  <dcterms:modified xsi:type="dcterms:W3CDTF">2024-12-05T04:36:24Z</dcterms:modified>
</cp:coreProperties>
</file>