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" sheetId="1" r:id="rId1"/>
  </sheets>
  <definedNames>
    <definedName name="_xlnm.Print_Area" localSheetId="0">'Table 1'!$A$1:$M$60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<sst xmlns="http://schemas.openxmlformats.org/spreadsheetml/2006/main" count="68" uniqueCount="67">
  <si>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Table 1 Scientific procedures by species of animal and primary purpose of the procedure, page 1 of 2</t>
  </si>
  <si>
    <t>Great Britain 2011</t>
  </si>
  <si>
    <t>Number of procedures</t>
  </si>
  <si>
    <t>Species of animal</t>
  </si>
  <si>
    <t>Total</t>
  </si>
  <si>
    <t>Applied studies -veterinary medicine</t>
  </si>
  <si>
    <t>Protection of man, animals or environment</t>
  </si>
  <si>
    <t>Fundamental biological research</t>
  </si>
  <si>
    <t>Applied studies -human medicine or dentistry</t>
  </si>
  <si>
    <t>Education</t>
  </si>
  <si>
    <t>Training</t>
  </si>
  <si>
    <t>Forensic enquiries</t>
  </si>
  <si>
    <t>Direct diagnosis</t>
  </si>
  <si>
    <t>Breeding of GM or HM animals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</si>
  <si>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</si>
  <si>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</si>
  <si>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</si>
  <si>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</si>
  <si>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</si>
  <si>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</si>
  <si>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</si>
  <si>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</si>
  <si>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</si>
  <si>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</si>
  <si>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</si>
  <si>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</si>
  <si>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</si>
  <si>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</si>
  <si>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</si>
  <si>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</si>
  <si>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</si>
  <si>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</si>
  <si>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</si>
  <si>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</si>
  <si>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</si>
  <si>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</si>
  <si>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</si>
  <si>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</si>
  <si>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</si>
  <si>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</si>
  <si>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</si>
  <si>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</si>
  <si>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</si>
  <si>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</si>
  <si>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</si>
  <si>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</si>
  <si>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</si>
  <si>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</si>
  <si>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</si>
  <si>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</si>
  <si>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</si>
  <si>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</si>
  <si>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rPr>
        <sz val="14"/>
        <rFont val="Arial"/>
        <charset val="134"/>
      </rPr>
      <t xml:space="preserve">  Domestic fowl (</t>
    </r>
    <r>
      <rPr>
        <i/>
        <sz val="14"/>
        <rFont val="Arial"/>
        <charset val="134"/>
      </rPr>
      <t>Gallus domesticus</t>
    </r>
    <r>
      <rPr>
        <sz val="14"/>
        <rFont val="Arial"/>
        <charset val="134"/>
      </rPr>
      <t>)</t>
    </r>
  </si>
  <si>
    <t xml:space="preserve">  Turkey</t>
  </si>
  <si>
    <r>
      <rPr>
        <sz val="14"/>
        <rFont val="Arial"/>
        <charset val="134"/>
      </rPr>
      <t xml:space="preserve">  Quail (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</si>
  <si>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r>
      <rPr>
        <sz val="14"/>
        <rFont val="Arial"/>
        <charset val="134"/>
      </rPr>
      <t xml:space="preserve">  Quail (not 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</si>
  <si>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t xml:space="preserve">  Other bird</t>
  </si>
  <si>
    <r>
      <rPr>
        <b/>
        <sz val="14"/>
        <color indexed="50"/>
        <rFont val="Arial"/>
        <charset val="134"/>
      </rPr>
      <t xml:space="preserve">Reptile </t>
    </r>
    <r>
      <rPr>
        <sz val="14"/>
        <color indexed="8"/>
        <rFont val="Arial"/>
        <charset val="134"/>
      </rPr>
      <t>- any reptilian species</t>
    </r>
  </si>
  <si>
    <r>
      <rPr>
        <b/>
        <sz val="14"/>
        <color indexed="17"/>
        <rFont val="Arial"/>
        <charset val="134"/>
      </rPr>
      <t>Amphibian</t>
    </r>
    <r>
      <rPr>
        <sz val="14"/>
        <rFont val="Arial"/>
        <charset val="134"/>
      </rPr>
      <t xml:space="preserve"> - any amphibian species</t>
    </r>
  </si>
  <si>
    <r>
      <rPr>
        <b/>
        <sz val="14"/>
        <color indexed="17"/>
        <rFont val="Arial"/>
        <charset val="134"/>
      </rPr>
      <t>Fish</t>
    </r>
    <r>
      <rPr>
        <sz val="14"/>
        <rFont val="Arial"/>
        <charset val="134"/>
      </rPr>
      <t xml:space="preserve"> - any fish species</t>
    </r>
  </si>
  <si>
    <r>
      <rPr>
        <b/>
        <sz val="14"/>
        <color indexed="17"/>
        <rFont val="Arial"/>
        <charset val="134"/>
      </rPr>
      <t>Cephalopod</t>
    </r>
    <r>
      <rPr>
        <sz val="14"/>
        <rFont val="Arial"/>
        <charset val="134"/>
      </rPr>
      <t xml:space="preserve"> - </t>
    </r>
    <r>
      <rPr>
        <i/>
        <sz val="14"/>
        <rFont val="Arial"/>
        <charset val="134"/>
      </rPr>
      <t>Octopus vulgaris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</si>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</sst>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#,##0_ ;[Red]\-#,##0\ "/>
    <numFmt numFmtId="178" formatCode="0%;[Red]\-0%"/>
    <numFmt numFmtId="179" formatCode="0.0%"/>
  </numFmts>
  <fonts count="30">
    <font>
      <sz val="10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0"/>
      <name val="Arial"/>
      <charset val="134"/>
    </font>
    <font>
      <b/>
      <sz val="14"/>
      <name val="Arial"/>
      <charset val="134"/>
    </font>
    <font>
      <sz val="12"/>
      <name val="Arial"/>
      <charset val="134"/>
    </font>
    <font>
      <b/>
      <sz val="14"/>
      <color indexed="17"/>
      <name val="Arial"/>
      <charset val="134"/>
    </font>
    <font>
      <b/>
      <sz val="14"/>
      <color indexed="50"/>
      <name val="Arial"/>
      <charset val="134"/>
    </font>
    <font>
      <sz val="14"/>
      <color indexed="8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4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/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vertical="top"/>
    </xf>
    <xf numFmtId="0" fontId="5" fillId="2" borderId="4" xfId="0" applyFont="1" applyFill="1" applyBorder="1" applyAlignment="1">
      <alignment horizontal="center" vertical="top" wrapText="1"/>
    </xf>
    <xf numFmtId="0" fontId="6" fillId="0" borderId="5" xfId="0" applyFont="1" applyBorder="1"/>
    <xf numFmtId="3" fontId="6" fillId="0" borderId="5" xfId="0" applyNumberFormat="1" applyFont="1" applyBorder="1" applyAlignment="1">
      <alignment horizontal="right"/>
    </xf>
    <xf numFmtId="0" fontId="4" fillId="3" borderId="5" xfId="0" applyFont="1" applyFill="1" applyBorder="1" applyAlignment="1"/>
    <xf numFmtId="3" fontId="1" fillId="3" borderId="5" xfId="0" applyNumberFormat="1" applyFont="1" applyFill="1" applyBorder="1" applyAlignment="1">
      <alignment horizontal="right"/>
    </xf>
    <xf numFmtId="0" fontId="4" fillId="0" borderId="5" xfId="0" applyFont="1" applyBorder="1" applyAlignment="1"/>
    <xf numFmtId="3" fontId="1" fillId="0" borderId="5" xfId="0" applyNumberFormat="1" applyFont="1" applyBorder="1" applyAlignment="1">
      <alignment horizontal="right"/>
    </xf>
    <xf numFmtId="0" fontId="1" fillId="0" borderId="5" xfId="0" applyFont="1" applyBorder="1" applyAlignment="1"/>
    <xf numFmtId="0" fontId="1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4" fillId="0" borderId="3" xfId="0" applyFont="1" applyBorder="1" applyAlignment="1"/>
    <xf numFmtId="3" fontId="1" fillId="0" borderId="3" xfId="0" applyNumberFormat="1" applyFont="1" applyBorder="1" applyAlignment="1">
      <alignment horizontal="right"/>
    </xf>
    <xf numFmtId="0" fontId="4" fillId="0" borderId="5" xfId="0" applyFont="1" applyFill="1" applyBorder="1" applyAlignment="1"/>
    <xf numFmtId="3" fontId="1" fillId="0" borderId="5" xfId="0" applyNumberFormat="1" applyFont="1" applyFill="1" applyBorder="1" applyAlignment="1">
      <alignment horizontal="right"/>
    </xf>
    <xf numFmtId="0" fontId="1" fillId="3" borderId="5" xfId="0" applyFont="1" applyFill="1" applyBorder="1"/>
    <xf numFmtId="176" fontId="1" fillId="3" borderId="5" xfId="0" applyNumberFormat="1" applyFont="1" applyFill="1" applyBorder="1" applyAlignment="1">
      <alignment horizontal="right"/>
    </xf>
    <xf numFmtId="0" fontId="4" fillId="0" borderId="5" xfId="0" applyFont="1" applyFill="1" applyBorder="1"/>
    <xf numFmtId="176" fontId="1" fillId="0" borderId="5" xfId="0" applyNumberFormat="1" applyFont="1" applyFill="1" applyBorder="1" applyAlignment="1">
      <alignment horizontal="right"/>
    </xf>
    <xf numFmtId="0" fontId="1" fillId="0" borderId="5" xfId="0" applyFont="1" applyFill="1" applyBorder="1"/>
    <xf numFmtId="0" fontId="1" fillId="3" borderId="5" xfId="0" applyFont="1" applyFill="1" applyBorder="1" applyAlignment="1">
      <alignment vertical="center"/>
    </xf>
    <xf numFmtId="0" fontId="4" fillId="0" borderId="5" xfId="0" applyFont="1" applyBorder="1"/>
    <xf numFmtId="176" fontId="6" fillId="0" borderId="5" xfId="0" applyNumberFormat="1" applyFont="1" applyBorder="1" applyAlignment="1">
      <alignment horizontal="right"/>
    </xf>
    <xf numFmtId="0" fontId="1" fillId="0" borderId="5" xfId="0" applyFont="1" applyBorder="1"/>
    <xf numFmtId="176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vertical="top"/>
    </xf>
    <xf numFmtId="0" fontId="4" fillId="3" borderId="5" xfId="0" applyFont="1" applyFill="1" applyBorder="1"/>
    <xf numFmtId="0" fontId="7" fillId="0" borderId="5" xfId="0" applyFont="1" applyFill="1" applyBorder="1"/>
    <xf numFmtId="0" fontId="6" fillId="3" borderId="5" xfId="0" applyFont="1" applyFill="1" applyBorder="1"/>
    <xf numFmtId="0" fontId="6" fillId="0" borderId="5" xfId="0" applyFont="1" applyFill="1" applyBorder="1"/>
    <xf numFmtId="0" fontId="6" fillId="3" borderId="3" xfId="0" applyFont="1" applyFill="1" applyBorder="1" applyAlignment="1">
      <alignment vertical="center"/>
    </xf>
    <xf numFmtId="176" fontId="1" fillId="3" borderId="6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vertical="center"/>
    </xf>
    <xf numFmtId="176" fontId="4" fillId="2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horizontal="right" vertical="center"/>
    </xf>
    <xf numFmtId="178" fontId="8" fillId="0" borderId="4" xfId="0" applyNumberFormat="1" applyFont="1" applyFill="1" applyBorder="1" applyAlignment="1">
      <alignment horizontal="right" vertical="center"/>
    </xf>
    <xf numFmtId="9" fontId="1" fillId="0" borderId="4" xfId="0" applyNumberFormat="1" applyFont="1" applyFill="1" applyBorder="1" applyAlignment="1">
      <alignment horizontal="right" vertical="center"/>
    </xf>
    <xf numFmtId="0" fontId="1" fillId="0" borderId="4" xfId="0" applyFont="1" applyBorder="1" applyAlignment="1">
      <alignment horizontal="left"/>
    </xf>
    <xf numFmtId="3" fontId="1" fillId="0" borderId="4" xfId="0" applyNumberFormat="1" applyFont="1" applyBorder="1"/>
    <xf numFmtId="0" fontId="5" fillId="0" borderId="0" xfId="0" applyFont="1" applyFill="1" applyBorder="1" applyAlignment="1">
      <alignment vertical="center"/>
    </xf>
    <xf numFmtId="0" fontId="5" fillId="0" borderId="0" xfId="0" applyFont="1"/>
    <xf numFmtId="176" fontId="1" fillId="0" borderId="0" xfId="0" applyNumberFormat="1" applyFont="1"/>
    <xf numFmtId="176" fontId="5" fillId="0" borderId="0" xfId="0" applyNumberFormat="1" applyFont="1"/>
    <xf numFmtId="179" fontId="1" fillId="0" borderId="4" xfId="0" applyNumberFormat="1" applyFont="1" applyFill="1" applyBorder="1" applyAlignment="1">
      <alignment horizontal="right" vertical="center"/>
    </xf>
    <xf numFmtId="9" fontId="5" fillId="0" borderId="0" xfId="0" applyNumberFormat="1" applyFont="1"/>
    <xf numFmtId="176" fontId="4" fillId="2" borderId="1" xfId="0" applyNumberFormat="1" applyFont="1" applyFill="1" applyBorder="1" applyAlignment="1">
      <alignment horizontal="center" wrapText="1"/>
    </xf>
    <xf numFmtId="176" fontId="3" fillId="2" borderId="3" xfId="0" applyNumberFormat="1" applyFont="1" applyFill="1" applyBorder="1"/>
    <xf numFmtId="0" fontId="0" fillId="0" borderId="0" xfId="0" applyAlignment="1">
      <alignment wrapText="1"/>
    </xf>
    <xf numFmtId="176" fontId="4" fillId="3" borderId="6" xfId="0" applyNumberFormat="1" applyFont="1" applyFill="1" applyBorder="1" applyAlignment="1">
      <alignment horizontal="right"/>
    </xf>
    <xf numFmtId="176" fontId="4" fillId="0" borderId="6" xfId="0" applyNumberFormat="1" applyFont="1" applyFill="1" applyBorder="1" applyAlignment="1">
      <alignment horizontal="right"/>
    </xf>
    <xf numFmtId="176" fontId="4" fillId="0" borderId="6" xfId="0" applyNumberFormat="1" applyFont="1" applyBorder="1" applyAlignment="1">
      <alignment horizontal="right"/>
    </xf>
    <xf numFmtId="176" fontId="4" fillId="0" borderId="7" xfId="0" applyNumberFormat="1" applyFont="1" applyFill="1" applyBorder="1" applyAlignment="1">
      <alignment horizontal="right"/>
    </xf>
    <xf numFmtId="176" fontId="1" fillId="0" borderId="5" xfId="0" applyNumberFormat="1" applyFont="1" applyFill="1" applyBorder="1" applyAlignment="1">
      <alignment horizontal="right" vertical="center"/>
    </xf>
    <xf numFmtId="176" fontId="4" fillId="3" borderId="5" xfId="0" applyNumberFormat="1" applyFont="1" applyFill="1" applyBorder="1" applyAlignment="1">
      <alignment horizontal="right"/>
    </xf>
    <xf numFmtId="176" fontId="4" fillId="0" borderId="5" xfId="0" applyNumberFormat="1" applyFont="1" applyBorder="1" applyAlignment="1">
      <alignment horizontal="right"/>
    </xf>
    <xf numFmtId="176" fontId="4" fillId="0" borderId="5" xfId="0" applyNumberFormat="1" applyFont="1" applyFill="1" applyBorder="1" applyAlignment="1">
      <alignment horizontal="right"/>
    </xf>
    <xf numFmtId="176" fontId="0" fillId="0" borderId="0" xfId="0" applyNumberFormat="1" applyBorder="1"/>
    <xf numFmtId="176" fontId="4" fillId="0" borderId="0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</sheetPr>
  <dimension ref="A1:R203"/>
  <sheetViews>
    <sheetView showGridLines="0" tabSelected="1" zoomScale="55" zoomScaleNormal="55" zoomScaleSheetLayoutView="75" workbookViewId="0">
      <selection activeCell="B5" sqref="B5:C58"/>
    </sheetView>
  </sheetViews>
  <sheetFormatPr defaultColWidth="9" defaultRowHeight="14.4"/>
  <cols>
    <col min="1" max="1" width="58.3303571428571" customWidth="1"/>
    <col min="2" max="3" width="18.1071428571429" customWidth="1"/>
    <col min="4" max="4" width="16.6696428571429" customWidth="1"/>
    <col min="5" max="5" width="15.8928571428571" customWidth="1"/>
    <col min="6" max="8" width="14.1071428571429" customWidth="1"/>
    <col min="9" max="11" width="14.6696428571429" customWidth="1"/>
    <col min="12" max="12" width="16.6696428571429" customWidth="1"/>
    <col min="13" max="13" width="18" style="5" customWidth="1"/>
    <col min="259" max="259" width="58.3303571428571" customWidth="1"/>
    <col min="260" max="261" width="18.1071428571429" customWidth="1"/>
    <col min="262" max="262" width="16.6696428571429" customWidth="1"/>
    <col min="263" max="263" width="15.8928571428571" customWidth="1"/>
    <col min="264" max="264" width="14.1071428571429" customWidth="1"/>
    <col min="265" max="267" width="14.6696428571429" customWidth="1"/>
    <col min="268" max="268" width="16.6696428571429" customWidth="1"/>
    <col min="269" max="269" width="18" customWidth="1"/>
    <col min="515" max="515" width="58.3303571428571" customWidth="1"/>
    <col min="516" max="517" width="18.1071428571429" customWidth="1"/>
    <col min="518" max="518" width="16.6696428571429" customWidth="1"/>
    <col min="519" max="519" width="15.8928571428571" customWidth="1"/>
    <col min="520" max="520" width="14.1071428571429" customWidth="1"/>
    <col min="521" max="523" width="14.6696428571429" customWidth="1"/>
    <col min="524" max="524" width="16.6696428571429" customWidth="1"/>
    <col min="525" max="525" width="18" customWidth="1"/>
    <col min="771" max="771" width="58.3303571428571" customWidth="1"/>
    <col min="772" max="773" width="18.1071428571429" customWidth="1"/>
    <col min="774" max="774" width="16.6696428571429" customWidth="1"/>
    <col min="775" max="775" width="15.8928571428571" customWidth="1"/>
    <col min="776" max="776" width="14.1071428571429" customWidth="1"/>
    <col min="777" max="779" width="14.6696428571429" customWidth="1"/>
    <col min="780" max="780" width="16.6696428571429" customWidth="1"/>
    <col min="781" max="781" width="18" customWidth="1"/>
    <col min="1027" max="1027" width="58.3303571428571" customWidth="1"/>
    <col min="1028" max="1029" width="18.1071428571429" customWidth="1"/>
    <col min="1030" max="1030" width="16.6696428571429" customWidth="1"/>
    <col min="1031" max="1031" width="15.8928571428571" customWidth="1"/>
    <col min="1032" max="1032" width="14.1071428571429" customWidth="1"/>
    <col min="1033" max="1035" width="14.6696428571429" customWidth="1"/>
    <col min="1036" max="1036" width="16.6696428571429" customWidth="1"/>
    <col min="1037" max="1037" width="18" customWidth="1"/>
    <col min="1283" max="1283" width="58.3303571428571" customWidth="1"/>
    <col min="1284" max="1285" width="18.1071428571429" customWidth="1"/>
    <col min="1286" max="1286" width="16.6696428571429" customWidth="1"/>
    <col min="1287" max="1287" width="15.8928571428571" customWidth="1"/>
    <col min="1288" max="1288" width="14.1071428571429" customWidth="1"/>
    <col min="1289" max="1291" width="14.6696428571429" customWidth="1"/>
    <col min="1292" max="1292" width="16.6696428571429" customWidth="1"/>
    <col min="1293" max="1293" width="18" customWidth="1"/>
    <col min="1539" max="1539" width="58.3303571428571" customWidth="1"/>
    <col min="1540" max="1541" width="18.1071428571429" customWidth="1"/>
    <col min="1542" max="1542" width="16.6696428571429" customWidth="1"/>
    <col min="1543" max="1543" width="15.8928571428571" customWidth="1"/>
    <col min="1544" max="1544" width="14.1071428571429" customWidth="1"/>
    <col min="1545" max="1547" width="14.6696428571429" customWidth="1"/>
    <col min="1548" max="1548" width="16.6696428571429" customWidth="1"/>
    <col min="1549" max="1549" width="18" customWidth="1"/>
    <col min="1795" max="1795" width="58.3303571428571" customWidth="1"/>
    <col min="1796" max="1797" width="18.1071428571429" customWidth="1"/>
    <col min="1798" max="1798" width="16.6696428571429" customWidth="1"/>
    <col min="1799" max="1799" width="15.8928571428571" customWidth="1"/>
    <col min="1800" max="1800" width="14.1071428571429" customWidth="1"/>
    <col min="1801" max="1803" width="14.6696428571429" customWidth="1"/>
    <col min="1804" max="1804" width="16.6696428571429" customWidth="1"/>
    <col min="1805" max="1805" width="18" customWidth="1"/>
    <col min="2051" max="2051" width="58.3303571428571" customWidth="1"/>
    <col min="2052" max="2053" width="18.1071428571429" customWidth="1"/>
    <col min="2054" max="2054" width="16.6696428571429" customWidth="1"/>
    <col min="2055" max="2055" width="15.8928571428571" customWidth="1"/>
    <col min="2056" max="2056" width="14.1071428571429" customWidth="1"/>
    <col min="2057" max="2059" width="14.6696428571429" customWidth="1"/>
    <col min="2060" max="2060" width="16.6696428571429" customWidth="1"/>
    <col min="2061" max="2061" width="18" customWidth="1"/>
    <col min="2307" max="2307" width="58.3303571428571" customWidth="1"/>
    <col min="2308" max="2309" width="18.1071428571429" customWidth="1"/>
    <col min="2310" max="2310" width="16.6696428571429" customWidth="1"/>
    <col min="2311" max="2311" width="15.8928571428571" customWidth="1"/>
    <col min="2312" max="2312" width="14.1071428571429" customWidth="1"/>
    <col min="2313" max="2315" width="14.6696428571429" customWidth="1"/>
    <col min="2316" max="2316" width="16.6696428571429" customWidth="1"/>
    <col min="2317" max="2317" width="18" customWidth="1"/>
    <col min="2563" max="2563" width="58.3303571428571" customWidth="1"/>
    <col min="2564" max="2565" width="18.1071428571429" customWidth="1"/>
    <col min="2566" max="2566" width="16.6696428571429" customWidth="1"/>
    <col min="2567" max="2567" width="15.8928571428571" customWidth="1"/>
    <col min="2568" max="2568" width="14.1071428571429" customWidth="1"/>
    <col min="2569" max="2571" width="14.6696428571429" customWidth="1"/>
    <col min="2572" max="2572" width="16.6696428571429" customWidth="1"/>
    <col min="2573" max="2573" width="18" customWidth="1"/>
    <col min="2819" max="2819" width="58.3303571428571" customWidth="1"/>
    <col min="2820" max="2821" width="18.1071428571429" customWidth="1"/>
    <col min="2822" max="2822" width="16.6696428571429" customWidth="1"/>
    <col min="2823" max="2823" width="15.8928571428571" customWidth="1"/>
    <col min="2824" max="2824" width="14.1071428571429" customWidth="1"/>
    <col min="2825" max="2827" width="14.6696428571429" customWidth="1"/>
    <col min="2828" max="2828" width="16.6696428571429" customWidth="1"/>
    <col min="2829" max="2829" width="18" customWidth="1"/>
    <col min="3075" max="3075" width="58.3303571428571" customWidth="1"/>
    <col min="3076" max="3077" width="18.1071428571429" customWidth="1"/>
    <col min="3078" max="3078" width="16.6696428571429" customWidth="1"/>
    <col min="3079" max="3079" width="15.8928571428571" customWidth="1"/>
    <col min="3080" max="3080" width="14.1071428571429" customWidth="1"/>
    <col min="3081" max="3083" width="14.6696428571429" customWidth="1"/>
    <col min="3084" max="3084" width="16.6696428571429" customWidth="1"/>
    <col min="3085" max="3085" width="18" customWidth="1"/>
    <col min="3331" max="3331" width="58.3303571428571" customWidth="1"/>
    <col min="3332" max="3333" width="18.1071428571429" customWidth="1"/>
    <col min="3334" max="3334" width="16.6696428571429" customWidth="1"/>
    <col min="3335" max="3335" width="15.8928571428571" customWidth="1"/>
    <col min="3336" max="3336" width="14.1071428571429" customWidth="1"/>
    <col min="3337" max="3339" width="14.6696428571429" customWidth="1"/>
    <col min="3340" max="3340" width="16.6696428571429" customWidth="1"/>
    <col min="3341" max="3341" width="18" customWidth="1"/>
    <col min="3587" max="3587" width="58.3303571428571" customWidth="1"/>
    <col min="3588" max="3589" width="18.1071428571429" customWidth="1"/>
    <col min="3590" max="3590" width="16.6696428571429" customWidth="1"/>
    <col min="3591" max="3591" width="15.8928571428571" customWidth="1"/>
    <col min="3592" max="3592" width="14.1071428571429" customWidth="1"/>
    <col min="3593" max="3595" width="14.6696428571429" customWidth="1"/>
    <col min="3596" max="3596" width="16.6696428571429" customWidth="1"/>
    <col min="3597" max="3597" width="18" customWidth="1"/>
    <col min="3843" max="3843" width="58.3303571428571" customWidth="1"/>
    <col min="3844" max="3845" width="18.1071428571429" customWidth="1"/>
    <col min="3846" max="3846" width="16.6696428571429" customWidth="1"/>
    <col min="3847" max="3847" width="15.8928571428571" customWidth="1"/>
    <col min="3848" max="3848" width="14.1071428571429" customWidth="1"/>
    <col min="3849" max="3851" width="14.6696428571429" customWidth="1"/>
    <col min="3852" max="3852" width="16.6696428571429" customWidth="1"/>
    <col min="3853" max="3853" width="18" customWidth="1"/>
    <col min="4099" max="4099" width="58.3303571428571" customWidth="1"/>
    <col min="4100" max="4101" width="18.1071428571429" customWidth="1"/>
    <col min="4102" max="4102" width="16.6696428571429" customWidth="1"/>
    <col min="4103" max="4103" width="15.8928571428571" customWidth="1"/>
    <col min="4104" max="4104" width="14.1071428571429" customWidth="1"/>
    <col min="4105" max="4107" width="14.6696428571429" customWidth="1"/>
    <col min="4108" max="4108" width="16.6696428571429" customWidth="1"/>
    <col min="4109" max="4109" width="18" customWidth="1"/>
    <col min="4355" max="4355" width="58.3303571428571" customWidth="1"/>
    <col min="4356" max="4357" width="18.1071428571429" customWidth="1"/>
    <col min="4358" max="4358" width="16.6696428571429" customWidth="1"/>
    <col min="4359" max="4359" width="15.8928571428571" customWidth="1"/>
    <col min="4360" max="4360" width="14.1071428571429" customWidth="1"/>
    <col min="4361" max="4363" width="14.6696428571429" customWidth="1"/>
    <col min="4364" max="4364" width="16.6696428571429" customWidth="1"/>
    <col min="4365" max="4365" width="18" customWidth="1"/>
    <col min="4611" max="4611" width="58.3303571428571" customWidth="1"/>
    <col min="4612" max="4613" width="18.1071428571429" customWidth="1"/>
    <col min="4614" max="4614" width="16.6696428571429" customWidth="1"/>
    <col min="4615" max="4615" width="15.8928571428571" customWidth="1"/>
    <col min="4616" max="4616" width="14.1071428571429" customWidth="1"/>
    <col min="4617" max="4619" width="14.6696428571429" customWidth="1"/>
    <col min="4620" max="4620" width="16.6696428571429" customWidth="1"/>
    <col min="4621" max="4621" width="18" customWidth="1"/>
    <col min="4867" max="4867" width="58.3303571428571" customWidth="1"/>
    <col min="4868" max="4869" width="18.1071428571429" customWidth="1"/>
    <col min="4870" max="4870" width="16.6696428571429" customWidth="1"/>
    <col min="4871" max="4871" width="15.8928571428571" customWidth="1"/>
    <col min="4872" max="4872" width="14.1071428571429" customWidth="1"/>
    <col min="4873" max="4875" width="14.6696428571429" customWidth="1"/>
    <col min="4876" max="4876" width="16.6696428571429" customWidth="1"/>
    <col min="4877" max="4877" width="18" customWidth="1"/>
    <col min="5123" max="5123" width="58.3303571428571" customWidth="1"/>
    <col min="5124" max="5125" width="18.1071428571429" customWidth="1"/>
    <col min="5126" max="5126" width="16.6696428571429" customWidth="1"/>
    <col min="5127" max="5127" width="15.8928571428571" customWidth="1"/>
    <col min="5128" max="5128" width="14.1071428571429" customWidth="1"/>
    <col min="5129" max="5131" width="14.6696428571429" customWidth="1"/>
    <col min="5132" max="5132" width="16.6696428571429" customWidth="1"/>
    <col min="5133" max="5133" width="18" customWidth="1"/>
    <col min="5379" max="5379" width="58.3303571428571" customWidth="1"/>
    <col min="5380" max="5381" width="18.1071428571429" customWidth="1"/>
    <col min="5382" max="5382" width="16.6696428571429" customWidth="1"/>
    <col min="5383" max="5383" width="15.8928571428571" customWidth="1"/>
    <col min="5384" max="5384" width="14.1071428571429" customWidth="1"/>
    <col min="5385" max="5387" width="14.6696428571429" customWidth="1"/>
    <col min="5388" max="5388" width="16.6696428571429" customWidth="1"/>
    <col min="5389" max="5389" width="18" customWidth="1"/>
    <col min="5635" max="5635" width="58.3303571428571" customWidth="1"/>
    <col min="5636" max="5637" width="18.1071428571429" customWidth="1"/>
    <col min="5638" max="5638" width="16.6696428571429" customWidth="1"/>
    <col min="5639" max="5639" width="15.8928571428571" customWidth="1"/>
    <col min="5640" max="5640" width="14.1071428571429" customWidth="1"/>
    <col min="5641" max="5643" width="14.6696428571429" customWidth="1"/>
    <col min="5644" max="5644" width="16.6696428571429" customWidth="1"/>
    <col min="5645" max="5645" width="18" customWidth="1"/>
    <col min="5891" max="5891" width="58.3303571428571" customWidth="1"/>
    <col min="5892" max="5893" width="18.1071428571429" customWidth="1"/>
    <col min="5894" max="5894" width="16.6696428571429" customWidth="1"/>
    <col min="5895" max="5895" width="15.8928571428571" customWidth="1"/>
    <col min="5896" max="5896" width="14.1071428571429" customWidth="1"/>
    <col min="5897" max="5899" width="14.6696428571429" customWidth="1"/>
    <col min="5900" max="5900" width="16.6696428571429" customWidth="1"/>
    <col min="5901" max="5901" width="18" customWidth="1"/>
    <col min="6147" max="6147" width="58.3303571428571" customWidth="1"/>
    <col min="6148" max="6149" width="18.1071428571429" customWidth="1"/>
    <col min="6150" max="6150" width="16.6696428571429" customWidth="1"/>
    <col min="6151" max="6151" width="15.8928571428571" customWidth="1"/>
    <col min="6152" max="6152" width="14.1071428571429" customWidth="1"/>
    <col min="6153" max="6155" width="14.6696428571429" customWidth="1"/>
    <col min="6156" max="6156" width="16.6696428571429" customWidth="1"/>
    <col min="6157" max="6157" width="18" customWidth="1"/>
    <col min="6403" max="6403" width="58.3303571428571" customWidth="1"/>
    <col min="6404" max="6405" width="18.1071428571429" customWidth="1"/>
    <col min="6406" max="6406" width="16.6696428571429" customWidth="1"/>
    <col min="6407" max="6407" width="15.8928571428571" customWidth="1"/>
    <col min="6408" max="6408" width="14.1071428571429" customWidth="1"/>
    <col min="6409" max="6411" width="14.6696428571429" customWidth="1"/>
    <col min="6412" max="6412" width="16.6696428571429" customWidth="1"/>
    <col min="6413" max="6413" width="18" customWidth="1"/>
    <col min="6659" max="6659" width="58.3303571428571" customWidth="1"/>
    <col min="6660" max="6661" width="18.1071428571429" customWidth="1"/>
    <col min="6662" max="6662" width="16.6696428571429" customWidth="1"/>
    <col min="6663" max="6663" width="15.8928571428571" customWidth="1"/>
    <col min="6664" max="6664" width="14.1071428571429" customWidth="1"/>
    <col min="6665" max="6667" width="14.6696428571429" customWidth="1"/>
    <col min="6668" max="6668" width="16.6696428571429" customWidth="1"/>
    <col min="6669" max="6669" width="18" customWidth="1"/>
    <col min="6915" max="6915" width="58.3303571428571" customWidth="1"/>
    <col min="6916" max="6917" width="18.1071428571429" customWidth="1"/>
    <col min="6918" max="6918" width="16.6696428571429" customWidth="1"/>
    <col min="6919" max="6919" width="15.8928571428571" customWidth="1"/>
    <col min="6920" max="6920" width="14.1071428571429" customWidth="1"/>
    <col min="6921" max="6923" width="14.6696428571429" customWidth="1"/>
    <col min="6924" max="6924" width="16.6696428571429" customWidth="1"/>
    <col min="6925" max="6925" width="18" customWidth="1"/>
    <col min="7171" max="7171" width="58.3303571428571" customWidth="1"/>
    <col min="7172" max="7173" width="18.1071428571429" customWidth="1"/>
    <col min="7174" max="7174" width="16.6696428571429" customWidth="1"/>
    <col min="7175" max="7175" width="15.8928571428571" customWidth="1"/>
    <col min="7176" max="7176" width="14.1071428571429" customWidth="1"/>
    <col min="7177" max="7179" width="14.6696428571429" customWidth="1"/>
    <col min="7180" max="7180" width="16.6696428571429" customWidth="1"/>
    <col min="7181" max="7181" width="18" customWidth="1"/>
    <col min="7427" max="7427" width="58.3303571428571" customWidth="1"/>
    <col min="7428" max="7429" width="18.1071428571429" customWidth="1"/>
    <col min="7430" max="7430" width="16.6696428571429" customWidth="1"/>
    <col min="7431" max="7431" width="15.8928571428571" customWidth="1"/>
    <col min="7432" max="7432" width="14.1071428571429" customWidth="1"/>
    <col min="7433" max="7435" width="14.6696428571429" customWidth="1"/>
    <col min="7436" max="7436" width="16.6696428571429" customWidth="1"/>
    <col min="7437" max="7437" width="18" customWidth="1"/>
    <col min="7683" max="7683" width="58.3303571428571" customWidth="1"/>
    <col min="7684" max="7685" width="18.1071428571429" customWidth="1"/>
    <col min="7686" max="7686" width="16.6696428571429" customWidth="1"/>
    <col min="7687" max="7687" width="15.8928571428571" customWidth="1"/>
    <col min="7688" max="7688" width="14.1071428571429" customWidth="1"/>
    <col min="7689" max="7691" width="14.6696428571429" customWidth="1"/>
    <col min="7692" max="7692" width="16.6696428571429" customWidth="1"/>
    <col min="7693" max="7693" width="18" customWidth="1"/>
    <col min="7939" max="7939" width="58.3303571428571" customWidth="1"/>
    <col min="7940" max="7941" width="18.1071428571429" customWidth="1"/>
    <col min="7942" max="7942" width="16.6696428571429" customWidth="1"/>
    <col min="7943" max="7943" width="15.8928571428571" customWidth="1"/>
    <col min="7944" max="7944" width="14.1071428571429" customWidth="1"/>
    <col min="7945" max="7947" width="14.6696428571429" customWidth="1"/>
    <col min="7948" max="7948" width="16.6696428571429" customWidth="1"/>
    <col min="7949" max="7949" width="18" customWidth="1"/>
    <col min="8195" max="8195" width="58.3303571428571" customWidth="1"/>
    <col min="8196" max="8197" width="18.1071428571429" customWidth="1"/>
    <col min="8198" max="8198" width="16.6696428571429" customWidth="1"/>
    <col min="8199" max="8199" width="15.8928571428571" customWidth="1"/>
    <col min="8200" max="8200" width="14.1071428571429" customWidth="1"/>
    <col min="8201" max="8203" width="14.6696428571429" customWidth="1"/>
    <col min="8204" max="8204" width="16.6696428571429" customWidth="1"/>
    <col min="8205" max="8205" width="18" customWidth="1"/>
    <col min="8451" max="8451" width="58.3303571428571" customWidth="1"/>
    <col min="8452" max="8453" width="18.1071428571429" customWidth="1"/>
    <col min="8454" max="8454" width="16.6696428571429" customWidth="1"/>
    <col min="8455" max="8455" width="15.8928571428571" customWidth="1"/>
    <col min="8456" max="8456" width="14.1071428571429" customWidth="1"/>
    <col min="8457" max="8459" width="14.6696428571429" customWidth="1"/>
    <col min="8460" max="8460" width="16.6696428571429" customWidth="1"/>
    <col min="8461" max="8461" width="18" customWidth="1"/>
    <col min="8707" max="8707" width="58.3303571428571" customWidth="1"/>
    <col min="8708" max="8709" width="18.1071428571429" customWidth="1"/>
    <col min="8710" max="8710" width="16.6696428571429" customWidth="1"/>
    <col min="8711" max="8711" width="15.8928571428571" customWidth="1"/>
    <col min="8712" max="8712" width="14.1071428571429" customWidth="1"/>
    <col min="8713" max="8715" width="14.6696428571429" customWidth="1"/>
    <col min="8716" max="8716" width="16.6696428571429" customWidth="1"/>
    <col min="8717" max="8717" width="18" customWidth="1"/>
    <col min="8963" max="8963" width="58.3303571428571" customWidth="1"/>
    <col min="8964" max="8965" width="18.1071428571429" customWidth="1"/>
    <col min="8966" max="8966" width="16.6696428571429" customWidth="1"/>
    <col min="8967" max="8967" width="15.8928571428571" customWidth="1"/>
    <col min="8968" max="8968" width="14.1071428571429" customWidth="1"/>
    <col min="8969" max="8971" width="14.6696428571429" customWidth="1"/>
    <col min="8972" max="8972" width="16.6696428571429" customWidth="1"/>
    <col min="8973" max="8973" width="18" customWidth="1"/>
    <col min="9219" max="9219" width="58.3303571428571" customWidth="1"/>
    <col min="9220" max="9221" width="18.1071428571429" customWidth="1"/>
    <col min="9222" max="9222" width="16.6696428571429" customWidth="1"/>
    <col min="9223" max="9223" width="15.8928571428571" customWidth="1"/>
    <col min="9224" max="9224" width="14.1071428571429" customWidth="1"/>
    <col min="9225" max="9227" width="14.6696428571429" customWidth="1"/>
    <col min="9228" max="9228" width="16.6696428571429" customWidth="1"/>
    <col min="9229" max="9229" width="18" customWidth="1"/>
    <col min="9475" max="9475" width="58.3303571428571" customWidth="1"/>
    <col min="9476" max="9477" width="18.1071428571429" customWidth="1"/>
    <col min="9478" max="9478" width="16.6696428571429" customWidth="1"/>
    <col min="9479" max="9479" width="15.8928571428571" customWidth="1"/>
    <col min="9480" max="9480" width="14.1071428571429" customWidth="1"/>
    <col min="9481" max="9483" width="14.6696428571429" customWidth="1"/>
    <col min="9484" max="9484" width="16.6696428571429" customWidth="1"/>
    <col min="9485" max="9485" width="18" customWidth="1"/>
    <col min="9731" max="9731" width="58.3303571428571" customWidth="1"/>
    <col min="9732" max="9733" width="18.1071428571429" customWidth="1"/>
    <col min="9734" max="9734" width="16.6696428571429" customWidth="1"/>
    <col min="9735" max="9735" width="15.8928571428571" customWidth="1"/>
    <col min="9736" max="9736" width="14.1071428571429" customWidth="1"/>
    <col min="9737" max="9739" width="14.6696428571429" customWidth="1"/>
    <col min="9740" max="9740" width="16.6696428571429" customWidth="1"/>
    <col min="9741" max="9741" width="18" customWidth="1"/>
    <col min="9987" max="9987" width="58.3303571428571" customWidth="1"/>
    <col min="9988" max="9989" width="18.1071428571429" customWidth="1"/>
    <col min="9990" max="9990" width="16.6696428571429" customWidth="1"/>
    <col min="9991" max="9991" width="15.8928571428571" customWidth="1"/>
    <col min="9992" max="9992" width="14.1071428571429" customWidth="1"/>
    <col min="9993" max="9995" width="14.6696428571429" customWidth="1"/>
    <col min="9996" max="9996" width="16.6696428571429" customWidth="1"/>
    <col min="9997" max="9997" width="18" customWidth="1"/>
    <col min="10243" max="10243" width="58.3303571428571" customWidth="1"/>
    <col min="10244" max="10245" width="18.1071428571429" customWidth="1"/>
    <col min="10246" max="10246" width="16.6696428571429" customWidth="1"/>
    <col min="10247" max="10247" width="15.8928571428571" customWidth="1"/>
    <col min="10248" max="10248" width="14.1071428571429" customWidth="1"/>
    <col min="10249" max="10251" width="14.6696428571429" customWidth="1"/>
    <col min="10252" max="10252" width="16.6696428571429" customWidth="1"/>
    <col min="10253" max="10253" width="18" customWidth="1"/>
    <col min="10499" max="10499" width="58.3303571428571" customWidth="1"/>
    <col min="10500" max="10501" width="18.1071428571429" customWidth="1"/>
    <col min="10502" max="10502" width="16.6696428571429" customWidth="1"/>
    <col min="10503" max="10503" width="15.8928571428571" customWidth="1"/>
    <col min="10504" max="10504" width="14.1071428571429" customWidth="1"/>
    <col min="10505" max="10507" width="14.6696428571429" customWidth="1"/>
    <col min="10508" max="10508" width="16.6696428571429" customWidth="1"/>
    <col min="10509" max="10509" width="18" customWidth="1"/>
    <col min="10755" max="10755" width="58.3303571428571" customWidth="1"/>
    <col min="10756" max="10757" width="18.1071428571429" customWidth="1"/>
    <col min="10758" max="10758" width="16.6696428571429" customWidth="1"/>
    <col min="10759" max="10759" width="15.8928571428571" customWidth="1"/>
    <col min="10760" max="10760" width="14.1071428571429" customWidth="1"/>
    <col min="10761" max="10763" width="14.6696428571429" customWidth="1"/>
    <col min="10764" max="10764" width="16.6696428571429" customWidth="1"/>
    <col min="10765" max="10765" width="18" customWidth="1"/>
    <col min="11011" max="11011" width="58.3303571428571" customWidth="1"/>
    <col min="11012" max="11013" width="18.1071428571429" customWidth="1"/>
    <col min="11014" max="11014" width="16.6696428571429" customWidth="1"/>
    <col min="11015" max="11015" width="15.8928571428571" customWidth="1"/>
    <col min="11016" max="11016" width="14.1071428571429" customWidth="1"/>
    <col min="11017" max="11019" width="14.6696428571429" customWidth="1"/>
    <col min="11020" max="11020" width="16.6696428571429" customWidth="1"/>
    <col min="11021" max="11021" width="18" customWidth="1"/>
    <col min="11267" max="11267" width="58.3303571428571" customWidth="1"/>
    <col min="11268" max="11269" width="18.1071428571429" customWidth="1"/>
    <col min="11270" max="11270" width="16.6696428571429" customWidth="1"/>
    <col min="11271" max="11271" width="15.8928571428571" customWidth="1"/>
    <col min="11272" max="11272" width="14.1071428571429" customWidth="1"/>
    <col min="11273" max="11275" width="14.6696428571429" customWidth="1"/>
    <col min="11276" max="11276" width="16.6696428571429" customWidth="1"/>
    <col min="11277" max="11277" width="18" customWidth="1"/>
    <col min="11523" max="11523" width="58.3303571428571" customWidth="1"/>
    <col min="11524" max="11525" width="18.1071428571429" customWidth="1"/>
    <col min="11526" max="11526" width="16.6696428571429" customWidth="1"/>
    <col min="11527" max="11527" width="15.8928571428571" customWidth="1"/>
    <col min="11528" max="11528" width="14.1071428571429" customWidth="1"/>
    <col min="11529" max="11531" width="14.6696428571429" customWidth="1"/>
    <col min="11532" max="11532" width="16.6696428571429" customWidth="1"/>
    <col min="11533" max="11533" width="18" customWidth="1"/>
    <col min="11779" max="11779" width="58.3303571428571" customWidth="1"/>
    <col min="11780" max="11781" width="18.1071428571429" customWidth="1"/>
    <col min="11782" max="11782" width="16.6696428571429" customWidth="1"/>
    <col min="11783" max="11783" width="15.8928571428571" customWidth="1"/>
    <col min="11784" max="11784" width="14.1071428571429" customWidth="1"/>
    <col min="11785" max="11787" width="14.6696428571429" customWidth="1"/>
    <col min="11788" max="11788" width="16.6696428571429" customWidth="1"/>
    <col min="11789" max="11789" width="18" customWidth="1"/>
    <col min="12035" max="12035" width="58.3303571428571" customWidth="1"/>
    <col min="12036" max="12037" width="18.1071428571429" customWidth="1"/>
    <col min="12038" max="12038" width="16.6696428571429" customWidth="1"/>
    <col min="12039" max="12039" width="15.8928571428571" customWidth="1"/>
    <col min="12040" max="12040" width="14.1071428571429" customWidth="1"/>
    <col min="12041" max="12043" width="14.6696428571429" customWidth="1"/>
    <col min="12044" max="12044" width="16.6696428571429" customWidth="1"/>
    <col min="12045" max="12045" width="18" customWidth="1"/>
    <col min="12291" max="12291" width="58.3303571428571" customWidth="1"/>
    <col min="12292" max="12293" width="18.1071428571429" customWidth="1"/>
    <col min="12294" max="12294" width="16.6696428571429" customWidth="1"/>
    <col min="12295" max="12295" width="15.8928571428571" customWidth="1"/>
    <col min="12296" max="12296" width="14.1071428571429" customWidth="1"/>
    <col min="12297" max="12299" width="14.6696428571429" customWidth="1"/>
    <col min="12300" max="12300" width="16.6696428571429" customWidth="1"/>
    <col min="12301" max="12301" width="18" customWidth="1"/>
    <col min="12547" max="12547" width="58.3303571428571" customWidth="1"/>
    <col min="12548" max="12549" width="18.1071428571429" customWidth="1"/>
    <col min="12550" max="12550" width="16.6696428571429" customWidth="1"/>
    <col min="12551" max="12551" width="15.8928571428571" customWidth="1"/>
    <col min="12552" max="12552" width="14.1071428571429" customWidth="1"/>
    <col min="12553" max="12555" width="14.6696428571429" customWidth="1"/>
    <col min="12556" max="12556" width="16.6696428571429" customWidth="1"/>
    <col min="12557" max="12557" width="18" customWidth="1"/>
    <col min="12803" max="12803" width="58.3303571428571" customWidth="1"/>
    <col min="12804" max="12805" width="18.1071428571429" customWidth="1"/>
    <col min="12806" max="12806" width="16.6696428571429" customWidth="1"/>
    <col min="12807" max="12807" width="15.8928571428571" customWidth="1"/>
    <col min="12808" max="12808" width="14.1071428571429" customWidth="1"/>
    <col min="12809" max="12811" width="14.6696428571429" customWidth="1"/>
    <col min="12812" max="12812" width="16.6696428571429" customWidth="1"/>
    <col min="12813" max="12813" width="18" customWidth="1"/>
    <col min="13059" max="13059" width="58.3303571428571" customWidth="1"/>
    <col min="13060" max="13061" width="18.1071428571429" customWidth="1"/>
    <col min="13062" max="13062" width="16.6696428571429" customWidth="1"/>
    <col min="13063" max="13063" width="15.8928571428571" customWidth="1"/>
    <col min="13064" max="13064" width="14.1071428571429" customWidth="1"/>
    <col min="13065" max="13067" width="14.6696428571429" customWidth="1"/>
    <col min="13068" max="13068" width="16.6696428571429" customWidth="1"/>
    <col min="13069" max="13069" width="18" customWidth="1"/>
    <col min="13315" max="13315" width="58.3303571428571" customWidth="1"/>
    <col min="13316" max="13317" width="18.1071428571429" customWidth="1"/>
    <col min="13318" max="13318" width="16.6696428571429" customWidth="1"/>
    <col min="13319" max="13319" width="15.8928571428571" customWidth="1"/>
    <col min="13320" max="13320" width="14.1071428571429" customWidth="1"/>
    <col min="13321" max="13323" width="14.6696428571429" customWidth="1"/>
    <col min="13324" max="13324" width="16.6696428571429" customWidth="1"/>
    <col min="13325" max="13325" width="18" customWidth="1"/>
    <col min="13571" max="13571" width="58.3303571428571" customWidth="1"/>
    <col min="13572" max="13573" width="18.1071428571429" customWidth="1"/>
    <col min="13574" max="13574" width="16.6696428571429" customWidth="1"/>
    <col min="13575" max="13575" width="15.8928571428571" customWidth="1"/>
    <col min="13576" max="13576" width="14.1071428571429" customWidth="1"/>
    <col min="13577" max="13579" width="14.6696428571429" customWidth="1"/>
    <col min="13580" max="13580" width="16.6696428571429" customWidth="1"/>
    <col min="13581" max="13581" width="18" customWidth="1"/>
    <col min="13827" max="13827" width="58.3303571428571" customWidth="1"/>
    <col min="13828" max="13829" width="18.1071428571429" customWidth="1"/>
    <col min="13830" max="13830" width="16.6696428571429" customWidth="1"/>
    <col min="13831" max="13831" width="15.8928571428571" customWidth="1"/>
    <col min="13832" max="13832" width="14.1071428571429" customWidth="1"/>
    <col min="13833" max="13835" width="14.6696428571429" customWidth="1"/>
    <col min="13836" max="13836" width="16.6696428571429" customWidth="1"/>
    <col min="13837" max="13837" width="18" customWidth="1"/>
    <col min="14083" max="14083" width="58.3303571428571" customWidth="1"/>
    <col min="14084" max="14085" width="18.1071428571429" customWidth="1"/>
    <col min="14086" max="14086" width="16.6696428571429" customWidth="1"/>
    <col min="14087" max="14087" width="15.8928571428571" customWidth="1"/>
    <col min="14088" max="14088" width="14.1071428571429" customWidth="1"/>
    <col min="14089" max="14091" width="14.6696428571429" customWidth="1"/>
    <col min="14092" max="14092" width="16.6696428571429" customWidth="1"/>
    <col min="14093" max="14093" width="18" customWidth="1"/>
    <col min="14339" max="14339" width="58.3303571428571" customWidth="1"/>
    <col min="14340" max="14341" width="18.1071428571429" customWidth="1"/>
    <col min="14342" max="14342" width="16.6696428571429" customWidth="1"/>
    <col min="14343" max="14343" width="15.8928571428571" customWidth="1"/>
    <col min="14344" max="14344" width="14.1071428571429" customWidth="1"/>
    <col min="14345" max="14347" width="14.6696428571429" customWidth="1"/>
    <col min="14348" max="14348" width="16.6696428571429" customWidth="1"/>
    <col min="14349" max="14349" width="18" customWidth="1"/>
    <col min="14595" max="14595" width="58.3303571428571" customWidth="1"/>
    <col min="14596" max="14597" width="18.1071428571429" customWidth="1"/>
    <col min="14598" max="14598" width="16.6696428571429" customWidth="1"/>
    <col min="14599" max="14599" width="15.8928571428571" customWidth="1"/>
    <col min="14600" max="14600" width="14.1071428571429" customWidth="1"/>
    <col min="14601" max="14603" width="14.6696428571429" customWidth="1"/>
    <col min="14604" max="14604" width="16.6696428571429" customWidth="1"/>
    <col min="14605" max="14605" width="18" customWidth="1"/>
    <col min="14851" max="14851" width="58.3303571428571" customWidth="1"/>
    <col min="14852" max="14853" width="18.1071428571429" customWidth="1"/>
    <col min="14854" max="14854" width="16.6696428571429" customWidth="1"/>
    <col min="14855" max="14855" width="15.8928571428571" customWidth="1"/>
    <col min="14856" max="14856" width="14.1071428571429" customWidth="1"/>
    <col min="14857" max="14859" width="14.6696428571429" customWidth="1"/>
    <col min="14860" max="14860" width="16.6696428571429" customWidth="1"/>
    <col min="14861" max="14861" width="18" customWidth="1"/>
    <col min="15107" max="15107" width="58.3303571428571" customWidth="1"/>
    <col min="15108" max="15109" width="18.1071428571429" customWidth="1"/>
    <col min="15110" max="15110" width="16.6696428571429" customWidth="1"/>
    <col min="15111" max="15111" width="15.8928571428571" customWidth="1"/>
    <col min="15112" max="15112" width="14.1071428571429" customWidth="1"/>
    <col min="15113" max="15115" width="14.6696428571429" customWidth="1"/>
    <col min="15116" max="15116" width="16.6696428571429" customWidth="1"/>
    <col min="15117" max="15117" width="18" customWidth="1"/>
    <col min="15363" max="15363" width="58.3303571428571" customWidth="1"/>
    <col min="15364" max="15365" width="18.1071428571429" customWidth="1"/>
    <col min="15366" max="15366" width="16.6696428571429" customWidth="1"/>
    <col min="15367" max="15367" width="15.8928571428571" customWidth="1"/>
    <col min="15368" max="15368" width="14.1071428571429" customWidth="1"/>
    <col min="15369" max="15371" width="14.6696428571429" customWidth="1"/>
    <col min="15372" max="15372" width="16.6696428571429" customWidth="1"/>
    <col min="15373" max="15373" width="18" customWidth="1"/>
    <col min="15619" max="15619" width="58.3303571428571" customWidth="1"/>
    <col min="15620" max="15621" width="18.1071428571429" customWidth="1"/>
    <col min="15622" max="15622" width="16.6696428571429" customWidth="1"/>
    <col min="15623" max="15623" width="15.8928571428571" customWidth="1"/>
    <col min="15624" max="15624" width="14.1071428571429" customWidth="1"/>
    <col min="15625" max="15627" width="14.6696428571429" customWidth="1"/>
    <col min="15628" max="15628" width="16.6696428571429" customWidth="1"/>
    <col min="15629" max="15629" width="18" customWidth="1"/>
    <col min="15875" max="15875" width="58.3303571428571" customWidth="1"/>
    <col min="15876" max="15877" width="18.1071428571429" customWidth="1"/>
    <col min="15878" max="15878" width="16.6696428571429" customWidth="1"/>
    <col min="15879" max="15879" width="15.8928571428571" customWidth="1"/>
    <col min="15880" max="15880" width="14.1071428571429" customWidth="1"/>
    <col min="15881" max="15883" width="14.6696428571429" customWidth="1"/>
    <col min="15884" max="15884" width="16.6696428571429" customWidth="1"/>
    <col min="15885" max="15885" width="18" customWidth="1"/>
    <col min="16131" max="16131" width="58.3303571428571" customWidth="1"/>
    <col min="16132" max="16133" width="18.1071428571429" customWidth="1"/>
    <col min="16134" max="16134" width="16.6696428571429" customWidth="1"/>
    <col min="16135" max="16135" width="15.8928571428571" customWidth="1"/>
    <col min="16136" max="16136" width="14.1071428571429" customWidth="1"/>
    <col min="16137" max="16139" width="14.6696428571429" customWidth="1"/>
    <col min="16140" max="16140" width="16.6696428571429" customWidth="1"/>
    <col min="16141" max="16141" width="18" customWidth="1"/>
  </cols>
  <sheetData>
    <row r="1" ht="23.2" spans="1:13">
      <c r="A1" s="6" t="s">
        <v>0</v>
      </c>
      <c r="M1" s="68"/>
    </row>
    <row r="2" spans="1:13">
      <c r="A2" s="7"/>
      <c r="M2" s="68"/>
    </row>
    <row r="3" ht="11.25" customHeight="1" spans="1:13">
      <c r="A3" s="7"/>
      <c r="M3" s="68"/>
    </row>
    <row r="4" s="1" customFormat="1" ht="20.4" spans="1:13">
      <c r="A4" s="8" t="s">
        <v>1</v>
      </c>
      <c r="M4" s="69" t="s">
        <v>2</v>
      </c>
    </row>
    <row r="5" ht="20.1" customHeight="1" spans="1:13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57" t="s">
        <v>4</v>
      </c>
      <c r="M5"/>
    </row>
    <row r="6" ht="87" customHeight="1" spans="1:18">
      <c r="A6" s="11"/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11</v>
      </c>
      <c r="I6" s="12" t="s">
        <v>12</v>
      </c>
      <c r="J6" s="12" t="s">
        <v>13</v>
      </c>
      <c r="K6" s="58"/>
      <c r="L6" s="59"/>
      <c r="M6" s="59"/>
      <c r="N6" s="59"/>
      <c r="O6" s="59"/>
      <c r="P6" s="59"/>
      <c r="Q6" s="59"/>
      <c r="R6" s="59"/>
    </row>
    <row r="7" ht="20.1" customHeight="1" spans="1:13">
      <c r="A7" s="13" t="s">
        <v>14</v>
      </c>
      <c r="B7" s="14"/>
      <c r="C7" s="14"/>
      <c r="D7" s="14"/>
      <c r="E7" s="14"/>
      <c r="F7" s="14"/>
      <c r="G7" s="14"/>
      <c r="H7" s="14"/>
      <c r="I7" s="14"/>
      <c r="J7" s="14"/>
      <c r="K7" s="14"/>
      <c r="M7"/>
    </row>
    <row r="8" ht="20.1" customHeight="1" spans="1:13">
      <c r="A8" s="15" t="s">
        <v>15</v>
      </c>
      <c r="B8" s="16">
        <v>14612</v>
      </c>
      <c r="C8" s="16">
        <v>17776</v>
      </c>
      <c r="D8" s="16">
        <v>864182</v>
      </c>
      <c r="E8" s="16">
        <v>318304</v>
      </c>
      <c r="F8" s="16">
        <v>903</v>
      </c>
      <c r="G8" s="16">
        <v>0</v>
      </c>
      <c r="H8" s="16">
        <v>0</v>
      </c>
      <c r="I8" s="16">
        <v>4433</v>
      </c>
      <c r="J8" s="16">
        <v>1459553</v>
      </c>
      <c r="K8" s="60">
        <f>SUM(B8:J8)</f>
        <v>2679763</v>
      </c>
      <c r="M8"/>
    </row>
    <row r="9" ht="20.1" customHeight="1" spans="1:13">
      <c r="A9" s="17" t="s">
        <v>16</v>
      </c>
      <c r="B9" s="18">
        <v>121</v>
      </c>
      <c r="C9" s="18">
        <v>33064</v>
      </c>
      <c r="D9" s="18">
        <v>86491</v>
      </c>
      <c r="E9" s="18">
        <v>137751</v>
      </c>
      <c r="F9" s="18">
        <v>445</v>
      </c>
      <c r="G9" s="18">
        <v>720</v>
      </c>
      <c r="H9" s="18">
        <v>0</v>
      </c>
      <c r="I9" s="18">
        <v>6</v>
      </c>
      <c r="J9" s="18">
        <v>12937</v>
      </c>
      <c r="K9" s="61">
        <f t="shared" ref="K9:K41" si="0">SUM(B9:J9)</f>
        <v>271535</v>
      </c>
      <c r="M9"/>
    </row>
    <row r="10" ht="20.1" customHeight="1" spans="1:13">
      <c r="A10" s="15" t="s">
        <v>17</v>
      </c>
      <c r="B10" s="16">
        <v>1112</v>
      </c>
      <c r="C10" s="16">
        <v>122</v>
      </c>
      <c r="D10" s="16">
        <v>2283</v>
      </c>
      <c r="E10" s="16">
        <v>7811</v>
      </c>
      <c r="F10" s="16">
        <v>100</v>
      </c>
      <c r="G10" s="16">
        <v>0</v>
      </c>
      <c r="H10" s="16">
        <v>0</v>
      </c>
      <c r="I10" s="16">
        <v>109</v>
      </c>
      <c r="J10" s="16">
        <v>0</v>
      </c>
      <c r="K10" s="60">
        <f t="shared" si="0"/>
        <v>11537</v>
      </c>
      <c r="M10"/>
    </row>
    <row r="11" ht="20.1" customHeight="1" spans="1:13">
      <c r="A11" s="17" t="s">
        <v>18</v>
      </c>
      <c r="B11" s="18">
        <v>118</v>
      </c>
      <c r="C11" s="18">
        <v>206</v>
      </c>
      <c r="D11" s="18">
        <v>883</v>
      </c>
      <c r="E11" s="18">
        <v>787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62">
        <f t="shared" si="0"/>
        <v>1994</v>
      </c>
      <c r="M11"/>
    </row>
    <row r="12" ht="20.1" customHeight="1" spans="1:13">
      <c r="A12" s="15" t="s">
        <v>19</v>
      </c>
      <c r="B12" s="16">
        <v>0</v>
      </c>
      <c r="C12" s="16">
        <v>0</v>
      </c>
      <c r="D12" s="16">
        <v>508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60">
        <f t="shared" si="0"/>
        <v>508</v>
      </c>
      <c r="M12"/>
    </row>
    <row r="13" ht="20.1" customHeight="1" spans="1:13">
      <c r="A13" s="17" t="s">
        <v>20</v>
      </c>
      <c r="B13" s="18">
        <v>60</v>
      </c>
      <c r="C13" s="18">
        <v>653</v>
      </c>
      <c r="D13" s="18">
        <v>2969</v>
      </c>
      <c r="E13" s="18">
        <v>214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61">
        <f t="shared" si="0"/>
        <v>3896</v>
      </c>
      <c r="M13"/>
    </row>
    <row r="14" ht="20.1" customHeight="1" spans="1:13">
      <c r="A14" s="15" t="s">
        <v>21</v>
      </c>
      <c r="B14" s="16">
        <v>2373</v>
      </c>
      <c r="C14" s="16">
        <v>1767</v>
      </c>
      <c r="D14" s="16">
        <v>1467</v>
      </c>
      <c r="E14" s="16">
        <v>8346</v>
      </c>
      <c r="F14" s="16">
        <v>20</v>
      </c>
      <c r="G14" s="16">
        <v>0</v>
      </c>
      <c r="H14" s="16">
        <v>0</v>
      </c>
      <c r="I14" s="16">
        <v>1462</v>
      </c>
      <c r="J14" s="16">
        <v>26</v>
      </c>
      <c r="K14" s="60">
        <f t="shared" si="0"/>
        <v>15461</v>
      </c>
      <c r="M14"/>
    </row>
    <row r="15" ht="20.1" customHeight="1" spans="1:13">
      <c r="A15" s="17" t="s">
        <v>22</v>
      </c>
      <c r="B15" s="18">
        <v>28</v>
      </c>
      <c r="C15" s="18">
        <v>0</v>
      </c>
      <c r="D15" s="18">
        <v>207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61">
        <f t="shared" si="0"/>
        <v>235</v>
      </c>
      <c r="M15"/>
    </row>
    <row r="16" ht="20.1" customHeight="1" spans="1:13">
      <c r="A16" s="15" t="s">
        <v>23</v>
      </c>
      <c r="B16" s="16"/>
      <c r="C16" s="16"/>
      <c r="D16" s="16"/>
      <c r="E16" s="16"/>
      <c r="F16" s="16"/>
      <c r="G16" s="16"/>
      <c r="H16" s="16"/>
      <c r="I16" s="16"/>
      <c r="J16" s="16"/>
      <c r="K16" s="60"/>
      <c r="M16"/>
    </row>
    <row r="17" ht="20.1" customHeight="1" spans="1:13">
      <c r="A17" s="19" t="s">
        <v>24</v>
      </c>
      <c r="B17" s="18">
        <v>229</v>
      </c>
      <c r="C17" s="18">
        <v>193</v>
      </c>
      <c r="D17" s="18">
        <v>125</v>
      </c>
      <c r="E17" s="18">
        <v>3811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61">
        <f t="shared" si="0"/>
        <v>4358</v>
      </c>
      <c r="M17"/>
    </row>
    <row r="18" ht="20.1" customHeight="1" spans="1:13">
      <c r="A18" s="20" t="s">
        <v>25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60">
        <f t="shared" si="0"/>
        <v>0</v>
      </c>
      <c r="M18"/>
    </row>
    <row r="19" ht="20.1" customHeight="1" spans="1:13">
      <c r="A19" s="19" t="s">
        <v>26</v>
      </c>
      <c r="B19" s="18">
        <v>36</v>
      </c>
      <c r="C19" s="18">
        <v>0</v>
      </c>
      <c r="D19" s="18">
        <v>158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61">
        <f t="shared" si="0"/>
        <v>194</v>
      </c>
      <c r="M19"/>
    </row>
    <row r="20" s="2" customFormat="1" ht="20.1" customHeight="1" spans="1:11">
      <c r="A20" s="15" t="s">
        <v>27</v>
      </c>
      <c r="B20" s="16">
        <v>4</v>
      </c>
      <c r="C20" s="16">
        <v>0</v>
      </c>
      <c r="D20" s="16">
        <v>285</v>
      </c>
      <c r="E20" s="16">
        <v>380</v>
      </c>
      <c r="F20" s="16">
        <v>13</v>
      </c>
      <c r="G20" s="16">
        <v>0</v>
      </c>
      <c r="H20" s="16">
        <v>0</v>
      </c>
      <c r="I20" s="16">
        <v>9</v>
      </c>
      <c r="J20" s="16">
        <v>0</v>
      </c>
      <c r="K20" s="60">
        <f t="shared" si="0"/>
        <v>691</v>
      </c>
    </row>
    <row r="21" ht="20.1" customHeight="1" spans="1:13">
      <c r="A21" s="17" t="s">
        <v>28</v>
      </c>
      <c r="B21" s="18">
        <v>68</v>
      </c>
      <c r="C21" s="18">
        <v>162</v>
      </c>
      <c r="D21" s="18">
        <v>565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61">
        <f t="shared" si="0"/>
        <v>795</v>
      </c>
      <c r="M21"/>
    </row>
    <row r="22" ht="20.1" customHeight="1" spans="1:13">
      <c r="A22" s="21" t="s">
        <v>29</v>
      </c>
      <c r="B22" s="16">
        <v>308</v>
      </c>
      <c r="C22" s="16">
        <v>0</v>
      </c>
      <c r="D22" s="16">
        <v>144</v>
      </c>
      <c r="E22" s="16">
        <v>0</v>
      </c>
      <c r="F22" s="16">
        <v>0</v>
      </c>
      <c r="G22" s="16">
        <v>0</v>
      </c>
      <c r="H22" s="16">
        <v>0</v>
      </c>
      <c r="I22" s="16">
        <v>7928</v>
      </c>
      <c r="J22" s="16">
        <v>0</v>
      </c>
      <c r="K22" s="60">
        <f t="shared" si="0"/>
        <v>8380</v>
      </c>
      <c r="M22"/>
    </row>
    <row r="23" ht="20.1" customHeight="1" spans="1:13">
      <c r="A23" s="17" t="s">
        <v>30</v>
      </c>
      <c r="B23" s="18">
        <v>1976</v>
      </c>
      <c r="C23" s="18">
        <v>24</v>
      </c>
      <c r="D23" s="18">
        <v>1371</v>
      </c>
      <c r="E23" s="18">
        <v>908</v>
      </c>
      <c r="F23" s="18">
        <v>0</v>
      </c>
      <c r="G23" s="18">
        <v>0</v>
      </c>
      <c r="H23" s="18">
        <v>0</v>
      </c>
      <c r="I23" s="18">
        <v>0</v>
      </c>
      <c r="J23" s="18">
        <v>61</v>
      </c>
      <c r="K23" s="61">
        <f t="shared" si="0"/>
        <v>4340</v>
      </c>
      <c r="M23"/>
    </row>
    <row r="24" ht="20.1" customHeight="1" spans="1:13">
      <c r="A24" s="15" t="s">
        <v>31</v>
      </c>
      <c r="B24" s="16">
        <v>2</v>
      </c>
      <c r="C24" s="16">
        <v>7</v>
      </c>
      <c r="D24" s="16">
        <v>113</v>
      </c>
      <c r="E24" s="16">
        <v>5</v>
      </c>
      <c r="F24" s="16">
        <v>0</v>
      </c>
      <c r="G24" s="16">
        <v>0</v>
      </c>
      <c r="H24" s="16">
        <v>0</v>
      </c>
      <c r="I24" s="16">
        <v>69</v>
      </c>
      <c r="J24" s="16">
        <v>0</v>
      </c>
      <c r="K24" s="60">
        <f t="shared" si="0"/>
        <v>196</v>
      </c>
      <c r="M24"/>
    </row>
    <row r="25" ht="20.1" customHeight="1" spans="1:13">
      <c r="A25" s="17" t="s">
        <v>32</v>
      </c>
      <c r="B25" s="18">
        <v>1263</v>
      </c>
      <c r="C25" s="18">
        <v>82</v>
      </c>
      <c r="D25" s="18">
        <v>4306</v>
      </c>
      <c r="E25" s="18">
        <v>699</v>
      </c>
      <c r="F25" s="18">
        <v>0</v>
      </c>
      <c r="G25" s="18">
        <v>0</v>
      </c>
      <c r="H25" s="18">
        <v>0</v>
      </c>
      <c r="I25" s="18">
        <v>31183</v>
      </c>
      <c r="J25" s="18">
        <v>181</v>
      </c>
      <c r="K25" s="61">
        <f t="shared" si="0"/>
        <v>37714</v>
      </c>
      <c r="M25"/>
    </row>
    <row r="26" ht="20.1" customHeight="1" spans="1:13">
      <c r="A26" s="15" t="s">
        <v>33</v>
      </c>
      <c r="B26" s="16">
        <v>1551</v>
      </c>
      <c r="C26" s="16">
        <v>21</v>
      </c>
      <c r="D26" s="16">
        <v>3410</v>
      </c>
      <c r="E26" s="16">
        <v>0</v>
      </c>
      <c r="F26" s="16">
        <v>0</v>
      </c>
      <c r="G26" s="16">
        <v>0</v>
      </c>
      <c r="H26" s="16">
        <v>0</v>
      </c>
      <c r="I26" s="16">
        <v>120</v>
      </c>
      <c r="J26" s="16">
        <v>0</v>
      </c>
      <c r="K26" s="60">
        <f t="shared" si="0"/>
        <v>5102</v>
      </c>
      <c r="M26"/>
    </row>
    <row r="27" ht="20.1" customHeight="1" spans="1:13">
      <c r="A27" s="17" t="s">
        <v>34</v>
      </c>
      <c r="B27" s="18">
        <v>0</v>
      </c>
      <c r="C27" s="18">
        <v>0</v>
      </c>
      <c r="D27" s="18">
        <v>50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61">
        <f t="shared" si="0"/>
        <v>50</v>
      </c>
      <c r="M27"/>
    </row>
    <row r="28" ht="20.1" customHeight="1" spans="1:13">
      <c r="A28" s="15" t="s">
        <v>35</v>
      </c>
      <c r="B28" s="16">
        <v>0</v>
      </c>
      <c r="C28" s="16">
        <v>0</v>
      </c>
      <c r="D28" s="16">
        <v>257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60">
        <f t="shared" si="0"/>
        <v>257</v>
      </c>
      <c r="M28"/>
    </row>
    <row r="29" ht="20.1" customHeight="1" spans="1:13">
      <c r="A29" s="22" t="s">
        <v>36</v>
      </c>
      <c r="B29" s="23">
        <v>0</v>
      </c>
      <c r="C29" s="23">
        <v>0</v>
      </c>
      <c r="D29" s="23">
        <v>12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63">
        <f t="shared" si="0"/>
        <v>12</v>
      </c>
      <c r="M29"/>
    </row>
    <row r="30" ht="23" customHeight="1" spans="1:13">
      <c r="A30" s="24" t="s">
        <v>37</v>
      </c>
      <c r="B30" s="25"/>
      <c r="C30" s="25"/>
      <c r="D30" s="25"/>
      <c r="E30" s="25"/>
      <c r="F30" s="25"/>
      <c r="G30" s="25"/>
      <c r="H30" s="25"/>
      <c r="I30" s="25"/>
      <c r="J30" s="25"/>
      <c r="K30" s="61"/>
      <c r="M30"/>
    </row>
    <row r="31" ht="21" customHeight="1" spans="1:13">
      <c r="A31" s="26" t="s">
        <v>38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60">
        <f>SUM(B31:J31)</f>
        <v>0</v>
      </c>
      <c r="M31"/>
    </row>
    <row r="32" ht="20" customHeight="1" spans="1:13">
      <c r="A32" s="28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61"/>
      <c r="M32"/>
    </row>
    <row r="33" s="1" customFormat="1" ht="20.4" spans="1:11">
      <c r="A33" s="26" t="s">
        <v>40</v>
      </c>
      <c r="B33" s="27">
        <v>0</v>
      </c>
      <c r="C33" s="27">
        <v>0</v>
      </c>
      <c r="D33" s="27">
        <v>154</v>
      </c>
      <c r="E33" s="27">
        <v>197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60">
        <f>SUM(B33:J33)</f>
        <v>351</v>
      </c>
    </row>
    <row r="34" ht="20.1" customHeight="1" spans="1:13">
      <c r="A34" s="30" t="s">
        <v>41</v>
      </c>
      <c r="B34" s="29">
        <v>0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64">
        <f>SUM(B34:J34)</f>
        <v>0</v>
      </c>
      <c r="M34"/>
    </row>
    <row r="35" ht="25" customHeight="1" spans="1:13">
      <c r="A35" s="31" t="s">
        <v>42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60">
        <f>SUM(B35:J35)</f>
        <v>0</v>
      </c>
      <c r="M35"/>
    </row>
    <row r="36" s="2" customFormat="1" ht="20.1" customHeight="1" spans="1:11">
      <c r="A36" s="32" t="s">
        <v>43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s="2" customFormat="1" ht="20.1" customHeight="1" spans="1:11">
      <c r="A37" s="26" t="s">
        <v>44</v>
      </c>
      <c r="B37" s="27">
        <v>0</v>
      </c>
      <c r="C37" s="27">
        <v>287</v>
      </c>
      <c r="D37" s="27">
        <v>177</v>
      </c>
      <c r="E37" s="27">
        <v>1652</v>
      </c>
      <c r="F37" s="27">
        <v>0</v>
      </c>
      <c r="G37" s="27">
        <v>0</v>
      </c>
      <c r="H37" s="27">
        <v>0</v>
      </c>
      <c r="I37" s="27">
        <v>8</v>
      </c>
      <c r="J37" s="27">
        <v>0</v>
      </c>
      <c r="K37" s="65">
        <f>SUM(B37:J37)</f>
        <v>2124</v>
      </c>
    </row>
    <row r="38" s="2" customFormat="1" ht="20.1" customHeight="1" spans="1:11">
      <c r="A38" s="34" t="s">
        <v>45</v>
      </c>
      <c r="B38" s="35">
        <v>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61">
        <f>SUM(B38:J38)</f>
        <v>0</v>
      </c>
    </row>
    <row r="39" s="2" customFormat="1" ht="20.1" customHeight="1" spans="1:11">
      <c r="A39" s="36" t="s">
        <v>46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65">
        <f>SUM(B39:J39)</f>
        <v>0</v>
      </c>
    </row>
    <row r="40" s="2" customFormat="1" ht="20.1" customHeight="1" spans="1:11">
      <c r="A40" s="32" t="s">
        <v>47</v>
      </c>
      <c r="B40" s="35"/>
      <c r="C40" s="35"/>
      <c r="D40" s="35"/>
      <c r="E40" s="35"/>
      <c r="F40" s="35"/>
      <c r="G40" s="35"/>
      <c r="H40" s="35"/>
      <c r="I40" s="35"/>
      <c r="J40" s="35"/>
      <c r="K40" s="66"/>
    </row>
    <row r="41" s="3" customFormat="1" ht="20.1" customHeight="1" spans="1:11">
      <c r="A41" s="26" t="s">
        <v>48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65">
        <f>SUM(B41:J41)</f>
        <v>0</v>
      </c>
    </row>
    <row r="42" ht="20.1" customHeight="1" spans="1:13">
      <c r="A42" s="34" t="s">
        <v>49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61">
        <f>SUM(B42:J42)</f>
        <v>0</v>
      </c>
      <c r="M42"/>
    </row>
    <row r="43" ht="20.1" customHeight="1" spans="1:13">
      <c r="A43" s="37" t="s">
        <v>50</v>
      </c>
      <c r="B43" s="27">
        <v>20</v>
      </c>
      <c r="C43" s="27">
        <v>0</v>
      </c>
      <c r="D43" s="27">
        <v>525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65">
        <f>SUM(B43:J43)</f>
        <v>545</v>
      </c>
      <c r="M43"/>
    </row>
    <row r="44" ht="20.1" customHeight="1" spans="1:13">
      <c r="A44" s="13" t="s">
        <v>51</v>
      </c>
      <c r="B44" s="35"/>
      <c r="C44" s="35"/>
      <c r="D44" s="35"/>
      <c r="E44" s="35"/>
      <c r="F44" s="35"/>
      <c r="G44" s="35"/>
      <c r="H44" s="35"/>
      <c r="I44" s="35"/>
      <c r="J44" s="35"/>
      <c r="K44" s="66"/>
      <c r="M44"/>
    </row>
    <row r="45" ht="20.1" customHeight="1" spans="1:13">
      <c r="A45" s="26" t="s">
        <v>52</v>
      </c>
      <c r="B45" s="27">
        <v>140529</v>
      </c>
      <c r="C45" s="27">
        <v>274</v>
      </c>
      <c r="D45" s="27">
        <v>6234</v>
      </c>
      <c r="E45" s="27">
        <v>28</v>
      </c>
      <c r="F45" s="27">
        <v>0</v>
      </c>
      <c r="G45" s="27">
        <v>0</v>
      </c>
      <c r="H45" s="27">
        <v>0</v>
      </c>
      <c r="I45" s="27">
        <v>1377</v>
      </c>
      <c r="J45" s="27">
        <v>602</v>
      </c>
      <c r="K45" s="65">
        <f>SUM(B45:J45)</f>
        <v>149044</v>
      </c>
      <c r="M45"/>
    </row>
    <row r="46" ht="20.1" customHeight="1" spans="1:13">
      <c r="A46" s="34" t="s">
        <v>53</v>
      </c>
      <c r="B46" s="35">
        <v>2628</v>
      </c>
      <c r="C46" s="35">
        <v>0</v>
      </c>
      <c r="D46" s="35">
        <v>460</v>
      </c>
      <c r="E46" s="35">
        <v>171</v>
      </c>
      <c r="F46" s="35">
        <v>0</v>
      </c>
      <c r="G46" s="35">
        <v>0</v>
      </c>
      <c r="H46" s="35">
        <v>0</v>
      </c>
      <c r="I46" s="35">
        <v>150</v>
      </c>
      <c r="J46" s="35">
        <v>0</v>
      </c>
      <c r="K46" s="66">
        <f t="shared" ref="K46:K53" si="1">SUM(B46:J46)</f>
        <v>3409</v>
      </c>
      <c r="M46"/>
    </row>
    <row r="47" ht="20.1" customHeight="1" spans="1:13">
      <c r="A47" s="26" t="s">
        <v>54</v>
      </c>
      <c r="B47" s="27">
        <v>0</v>
      </c>
      <c r="C47" s="27">
        <v>0</v>
      </c>
      <c r="D47" s="27">
        <v>34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65">
        <f t="shared" si="1"/>
        <v>34</v>
      </c>
      <c r="M47"/>
    </row>
    <row r="48" ht="20.1" customHeight="1" spans="1:13">
      <c r="A48" s="34" t="s">
        <v>55</v>
      </c>
      <c r="B48" s="35">
        <v>0</v>
      </c>
      <c r="C48" s="35">
        <v>752</v>
      </c>
      <c r="D48" s="35">
        <v>131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66">
        <f t="shared" si="1"/>
        <v>883</v>
      </c>
      <c r="M48"/>
    </row>
    <row r="49" ht="20.1" customHeight="1" spans="1:13">
      <c r="A49" s="26" t="s">
        <v>56</v>
      </c>
      <c r="B49" s="27">
        <v>0</v>
      </c>
      <c r="C49" s="27">
        <v>2099</v>
      </c>
      <c r="D49" s="27">
        <v>6680</v>
      </c>
      <c r="E49" s="27">
        <v>0</v>
      </c>
      <c r="F49" s="27">
        <v>0</v>
      </c>
      <c r="G49" s="27">
        <v>0</v>
      </c>
      <c r="H49" s="27">
        <v>0</v>
      </c>
      <c r="I49" s="27">
        <v>469</v>
      </c>
      <c r="J49" s="27">
        <v>0</v>
      </c>
      <c r="K49" s="65">
        <f t="shared" si="1"/>
        <v>9248</v>
      </c>
      <c r="M49"/>
    </row>
    <row r="50" ht="20.1" customHeight="1" spans="1:13">
      <c r="A50" s="38" t="s">
        <v>57</v>
      </c>
      <c r="B50" s="29">
        <v>0</v>
      </c>
      <c r="C50" s="29">
        <v>0</v>
      </c>
      <c r="D50" s="29">
        <v>383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67">
        <f t="shared" si="1"/>
        <v>383</v>
      </c>
      <c r="M50"/>
    </row>
    <row r="51" ht="20.1" customHeight="1" spans="1:13">
      <c r="A51" s="39" t="s">
        <v>58</v>
      </c>
      <c r="B51" s="27">
        <v>0</v>
      </c>
      <c r="C51" s="27">
        <v>419</v>
      </c>
      <c r="D51" s="27">
        <v>11867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3629</v>
      </c>
      <c r="K51" s="65">
        <f t="shared" si="1"/>
        <v>15915</v>
      </c>
      <c r="M51"/>
    </row>
    <row r="52" ht="20.1" customHeight="1" spans="1:13">
      <c r="A52" s="40" t="s">
        <v>59</v>
      </c>
      <c r="B52" s="29">
        <v>19975</v>
      </c>
      <c r="C52" s="29">
        <v>58908</v>
      </c>
      <c r="D52" s="29">
        <v>342442</v>
      </c>
      <c r="E52" s="29">
        <v>1731</v>
      </c>
      <c r="F52" s="29">
        <v>0</v>
      </c>
      <c r="G52" s="29">
        <v>0</v>
      </c>
      <c r="H52" s="29">
        <v>23</v>
      </c>
      <c r="I52" s="29">
        <v>0</v>
      </c>
      <c r="J52" s="29">
        <v>140824</v>
      </c>
      <c r="K52" s="67">
        <f t="shared" si="1"/>
        <v>563903</v>
      </c>
      <c r="M52"/>
    </row>
    <row r="53" ht="20.1" customHeight="1" spans="1:13">
      <c r="A53" s="41" t="s">
        <v>60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65">
        <f t="shared" si="1"/>
        <v>0</v>
      </c>
      <c r="M53"/>
    </row>
    <row r="54" ht="20.1" customHeight="1" spans="1:13">
      <c r="A54" s="43" t="s">
        <v>4</v>
      </c>
      <c r="B54" s="44">
        <f>SUM(B7:B35)+SUM(B36:B53)</f>
        <v>187013</v>
      </c>
      <c r="C54" s="44">
        <f>SUM(C7:C35)+SUM(C36:C53)</f>
        <v>116816</v>
      </c>
      <c r="D54" s="44">
        <f>SUM(D8:D35)+SUM(D36:D53)</f>
        <v>1338873</v>
      </c>
      <c r="E54" s="44">
        <f>SUM(E7:E35)+SUM(E36:E53)</f>
        <v>482795</v>
      </c>
      <c r="F54" s="44">
        <f t="shared" ref="F54:K54" si="2">SUM(F7:F35)+SUM(F36:F53)</f>
        <v>1481</v>
      </c>
      <c r="G54" s="44">
        <f t="shared" si="2"/>
        <v>720</v>
      </c>
      <c r="H54" s="44">
        <f t="shared" si="2"/>
        <v>23</v>
      </c>
      <c r="I54" s="44">
        <f t="shared" si="2"/>
        <v>47323</v>
      </c>
      <c r="J54" s="44">
        <f t="shared" si="2"/>
        <v>1617813</v>
      </c>
      <c r="K54" s="44">
        <f t="shared" si="2"/>
        <v>3792857</v>
      </c>
      <c r="M54"/>
    </row>
    <row r="55" ht="20.1" customHeight="1" spans="1:13">
      <c r="A55" s="45" t="s">
        <v>61</v>
      </c>
      <c r="B55" s="46">
        <f>SUM(B54-B58)</f>
        <v>26531</v>
      </c>
      <c r="C55" s="46">
        <f>SUM(C54-C58)</f>
        <v>41019</v>
      </c>
      <c r="D55" s="46">
        <f>SUM(D54-D58)</f>
        <v>44370</v>
      </c>
      <c r="E55" s="46">
        <f>SUM(E54-E58)</f>
        <v>-40593</v>
      </c>
      <c r="F55" s="46">
        <f t="shared" ref="F55:K55" si="3">SUM(F54-F58)</f>
        <v>-679</v>
      </c>
      <c r="G55" s="46">
        <f t="shared" si="3"/>
        <v>43</v>
      </c>
      <c r="H55" s="46">
        <f t="shared" si="3"/>
        <v>23</v>
      </c>
      <c r="I55" s="46">
        <f t="shared" si="3"/>
        <v>616</v>
      </c>
      <c r="J55" s="46">
        <f t="shared" si="3"/>
        <v>-3199</v>
      </c>
      <c r="K55" s="46">
        <f t="shared" si="3"/>
        <v>68131</v>
      </c>
      <c r="M55"/>
    </row>
    <row r="56" ht="20.1" customHeight="1" spans="1:13">
      <c r="A56" s="45" t="s">
        <v>62</v>
      </c>
      <c r="B56" s="47">
        <f>(B54-B58)/ABS(B58)</f>
        <v>0.165320721327002</v>
      </c>
      <c r="C56" s="47">
        <f>(C54-C58)/ABS(C58)</f>
        <v>0.541169175561038</v>
      </c>
      <c r="D56" s="47">
        <f>(D54-D58)/ABS(D58)</f>
        <v>0.0342757027214305</v>
      </c>
      <c r="E56" s="47">
        <f>(E54-E58)/ABS(E58)</f>
        <v>-0.0775581404235481</v>
      </c>
      <c r="F56" s="47">
        <f t="shared" ref="F56:K56" si="4">(F54-F58)/ABS(F58)</f>
        <v>-0.314351851851852</v>
      </c>
      <c r="G56" s="47">
        <f t="shared" si="4"/>
        <v>0.0635155096011817</v>
      </c>
      <c r="H56" s="47" t="s">
        <v>63</v>
      </c>
      <c r="I56" s="47">
        <f t="shared" si="4"/>
        <v>0.013188601280322</v>
      </c>
      <c r="J56" s="47">
        <f t="shared" si="4"/>
        <v>-0.00197345855551964</v>
      </c>
      <c r="K56" s="47">
        <f t="shared" si="4"/>
        <v>0.0182915468144502</v>
      </c>
      <c r="M56"/>
    </row>
    <row r="57" ht="20.1" customHeight="1" spans="1:13">
      <c r="A57" s="45" t="s">
        <v>64</v>
      </c>
      <c r="B57" s="48">
        <f>B54/$K54</f>
        <v>0.0493066308590068</v>
      </c>
      <c r="C57" s="48">
        <f>C54/$K54</f>
        <v>0.0307989465460997</v>
      </c>
      <c r="D57" s="48">
        <f>D54/$K54</f>
        <v>0.35299854436906</v>
      </c>
      <c r="E57" s="48">
        <f>E54/$K54</f>
        <v>0.127290588598516</v>
      </c>
      <c r="F57" s="55">
        <f t="shared" ref="F57:K57" si="5">F54/$K54</f>
        <v>0.000390470824499843</v>
      </c>
      <c r="G57" s="55">
        <f t="shared" si="5"/>
        <v>0.000189830515624502</v>
      </c>
      <c r="H57" s="48">
        <f t="shared" si="5"/>
        <v>6.06403036022713e-6</v>
      </c>
      <c r="I57" s="48">
        <f t="shared" si="5"/>
        <v>0.0124768742929143</v>
      </c>
      <c r="J57" s="48">
        <f t="shared" si="5"/>
        <v>0.426542049963919</v>
      </c>
      <c r="K57" s="48">
        <f t="shared" si="5"/>
        <v>1</v>
      </c>
      <c r="M57"/>
    </row>
    <row r="58" ht="20.1" customHeight="1" spans="1:13">
      <c r="A58" s="49" t="s">
        <v>65</v>
      </c>
      <c r="B58" s="50">
        <v>160482</v>
      </c>
      <c r="C58" s="50">
        <v>75797</v>
      </c>
      <c r="D58" s="50">
        <v>1294503</v>
      </c>
      <c r="E58" s="50">
        <v>523388</v>
      </c>
      <c r="F58" s="50">
        <v>2160</v>
      </c>
      <c r="G58" s="50">
        <v>677</v>
      </c>
      <c r="H58" s="50">
        <v>0</v>
      </c>
      <c r="I58" s="50">
        <v>46707</v>
      </c>
      <c r="J58" s="50">
        <v>1621012</v>
      </c>
      <c r="K58" s="50">
        <v>3724726</v>
      </c>
      <c r="M58"/>
    </row>
    <row r="59" s="4" customFormat="1" ht="20.1" customHeight="1" spans="1:13">
      <c r="A59" s="5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4"/>
    </row>
    <row r="60" s="4" customFormat="1" ht="36.75" customHeight="1" spans="1:13">
      <c r="A60" s="53" t="s">
        <v>66</v>
      </c>
      <c r="B60" s="54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</row>
    <row r="61" ht="29.25" customHeight="1" spans="1:13">
      <c r="A61" s="52"/>
      <c r="B61" s="52"/>
      <c r="C61" s="52"/>
      <c r="D61" s="52"/>
      <c r="E61" s="56"/>
      <c r="F61" s="52"/>
      <c r="G61" s="52"/>
      <c r="H61" s="52"/>
      <c r="I61" s="52"/>
      <c r="J61" s="52"/>
      <c r="K61" s="52"/>
      <c r="L61" s="52"/>
      <c r="M61" s="54"/>
    </row>
    <row r="62" ht="29.25" customHeight="1" spans="1:13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</row>
    <row r="63" ht="29.25" customHeight="1" spans="1:1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</row>
    <row r="64" ht="24.75" customHeight="1" spans="1:13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</row>
    <row r="65" ht="17.6" spans="1:1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</row>
    <row r="203" ht="20.4" spans="9:10">
      <c r="I203" s="18"/>
      <c r="J203" s="18"/>
    </row>
  </sheetData>
  <printOptions horizontalCentered="1"/>
  <pageMargins left="0.65" right="0.52" top="0.75" bottom="1" header="0.5" footer="0.5"/>
  <pageSetup paperSize="9" scale="59" fitToHeight="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2024-11-20T16:25:00Z</dcterms:created>
  <dcterms:modified xsi:type="dcterms:W3CDTF">2025-02-01T11:57:51Z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77846193CC34423585F2200092B4C3B6_12</vt:lpwstr>
  </property>
  <property fmtid="{D5CDD505-2E9C-101B-9397-08002B2CF9AE}" pid="3" name="KSOProductBuildVer">
    <vt:lpwstr>2052-6.14.0.8924</vt:lpwstr>
  </property>
</Properties>
</file>