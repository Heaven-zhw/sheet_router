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<sst xmlns="http://schemas.openxmlformats.org/spreadsheetml/2006/main" count="547" uniqueCount="83">
  <si>
    <t>ID</t>
  </si>
  <si>
    <t>Customer_Id</t>
  </si>
  <si>
    <t>Region</t>
  </si>
  <si>
    <t>Area</t>
  </si>
  <si>
    <t>Area Manager</t>
  </si>
  <si>
    <t>Territory</t>
  </si>
  <si>
    <t>Rep Name</t>
  </si>
  <si>
    <t>Customer Name</t>
  </si>
  <si>
    <t>Created Date</t>
  </si>
  <si>
    <t>Start Date</t>
  </si>
  <si>
    <t>Start Time</t>
  </si>
  <si>
    <t>DurationMinutes</t>
  </si>
  <si>
    <t>EndDate</t>
  </si>
  <si>
    <t>EndTime</t>
  </si>
  <si>
    <t>CHOCONT</t>
  </si>
  <si>
    <t>CHOCDSM4</t>
  </si>
  <si>
    <t>TOM WASYLUK</t>
  </si>
  <si>
    <t>C051</t>
  </si>
  <si>
    <t>Jill Fuller</t>
  </si>
  <si>
    <t>WAL-MART 3141 SUPERCENTER</t>
  </si>
  <si>
    <t>WAL-MART 3170 PS SUPERCENTER</t>
  </si>
  <si>
    <t>FORTINOS 85</t>
  </si>
  <si>
    <t>FORTINOS 77</t>
  </si>
  <si>
    <t>PHARMA PLUS 2089</t>
  </si>
  <si>
    <t>LONGO'S 003</t>
  </si>
  <si>
    <t>C051_42541 Total</t>
  </si>
  <si>
    <t>NO FRILLS 288</t>
  </si>
  <si>
    <t>WAL-MART 3144 SUPERCENTER</t>
  </si>
  <si>
    <t>PHARMA PLUS 1081</t>
  </si>
  <si>
    <t>PHARMA PLUS 1024</t>
  </si>
  <si>
    <t>FOOD BASIC 4996</t>
  </si>
  <si>
    <t>C051_42537 Total</t>
  </si>
  <si>
    <t>WAL-MART 1107 SUPERCENTRE</t>
  </si>
  <si>
    <t>FORTINOS 81</t>
  </si>
  <si>
    <t>SOBEYS 6730</t>
  </si>
  <si>
    <t>FOOD BASICS 976</t>
  </si>
  <si>
    <t>FORTINOS 58</t>
  </si>
  <si>
    <t>C051_42536 Total</t>
  </si>
  <si>
    <t>FOOD BASICS 862</t>
  </si>
  <si>
    <t>ZEHRS 500</t>
  </si>
  <si>
    <t>ZEHRS 531 HARTSLAND</t>
  </si>
  <si>
    <t>METRO 055</t>
  </si>
  <si>
    <t>FOOD BASICS 691</t>
  </si>
  <si>
    <t>FOOD BASICS 678</t>
  </si>
  <si>
    <t>C051_42535 Total</t>
  </si>
  <si>
    <t>METRO 084</t>
  </si>
  <si>
    <t>FRESHCO 9715</t>
  </si>
  <si>
    <t>FORTINOS 57</t>
  </si>
  <si>
    <t>C051_42534 Total</t>
  </si>
  <si>
    <t>NO FRILLS 777</t>
  </si>
  <si>
    <t>PHARMA PLUS 2410</t>
  </si>
  <si>
    <t>FRESHCO 9856</t>
  </si>
  <si>
    <t>PHARMA PLUS 1040</t>
  </si>
  <si>
    <t>C051_42530 Total</t>
  </si>
  <si>
    <t>REXALL DRUGS 0201</t>
  </si>
  <si>
    <t>FORTINOS 67</t>
  </si>
  <si>
    <t>SOBEYS 0694</t>
  </si>
  <si>
    <t>C051_42529 Total</t>
  </si>
  <si>
    <t>NO FRILLS 793-9</t>
  </si>
  <si>
    <t>NO FRILLS 3493</t>
  </si>
  <si>
    <t>ZEHRS 559</t>
  </si>
  <si>
    <t>C051_42528 Total</t>
  </si>
  <si>
    <t>FOOD BASICS 620</t>
  </si>
  <si>
    <t>C051_42527 Total</t>
  </si>
  <si>
    <t>FOOD BASICS 657</t>
  </si>
  <si>
    <t>LONGO'S 016</t>
  </si>
  <si>
    <t>PHARMA PLUS 2444</t>
  </si>
  <si>
    <t>SOBEYS 4731</t>
  </si>
  <si>
    <t>C051_42523 Total</t>
  </si>
  <si>
    <t>METRO 102</t>
  </si>
  <si>
    <t>METRO 230</t>
  </si>
  <si>
    <t>C051_42522 Total</t>
  </si>
  <si>
    <t>FRESHCO 9740</t>
  </si>
  <si>
    <t>ZEHRS 538 ERAMOSA</t>
  </si>
  <si>
    <t>C051_42521 Total</t>
  </si>
  <si>
    <t>FORTINOS 78</t>
  </si>
  <si>
    <t>C051_42520 Total</t>
  </si>
  <si>
    <t>SOBEYS 0742</t>
  </si>
  <si>
    <t>C051_42516 Total</t>
  </si>
  <si>
    <t>C051_42515 Total</t>
  </si>
  <si>
    <t>C051_42514 Total</t>
  </si>
  <si>
    <t>LONGO'S 009</t>
  </si>
  <si>
    <t>C051_42509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</si>
</sst>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2" fontId="2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>
      <alignment horizontal="left"/>
    </xf>
    <xf numFmtId="1" fontId="1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20" fontId="2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>
      <alignment horizontal="right"/>
    </xf>
    <xf numFmtId="20" fontId="1" fillId="0" borderId="0" xfId="0" applyNumberFormat="1" applyFont="1" applyFill="1" applyBorder="1" applyAlignment="1" applyProtection="1"/>
    <xf numFmtId="20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tabSelected="1" topLeftCell="A83" workbookViewId="0">
      <selection activeCell="H93" sqref="H93"/>
    </sheetView>
  </sheetViews>
  <sheetFormatPr defaultColWidth="9" defaultRowHeight="16.8"/>
  <cols>
    <col min="1" max="1" width="12.2053571428571" customWidth="1"/>
    <col min="2" max="2" width="11.1517857142857" customWidth="1"/>
    <col min="7" max="7" width="12.1964285714286" customWidth="1"/>
    <col min="8" max="8" width="14.8660714285714" customWidth="1"/>
    <col min="9" max="9" width="18" customWidth="1"/>
    <col min="10" max="10" width="13" customWidth="1"/>
    <col min="12" max="12" width="15.1696428571429" customWidth="1"/>
    <col min="13" max="13" width="12.160714285714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6" t="s">
        <v>9</v>
      </c>
      <c r="K1" s="7" t="s">
        <v>10</v>
      </c>
      <c r="L1" s="8" t="s">
        <v>11</v>
      </c>
      <c r="M1" s="6" t="s">
        <v>12</v>
      </c>
      <c r="N1" s="13" t="s">
        <v>13</v>
      </c>
    </row>
    <row r="2" spans="1:14">
      <c r="A2" s="2" t="str">
        <f>CONCATENATE(F2,"_",J2)</f>
        <v>C051_42541</v>
      </c>
      <c r="B2" s="3">
        <v>8139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5" t="s">
        <v>19</v>
      </c>
      <c r="I2" s="5">
        <v>42541.3966550926</v>
      </c>
      <c r="J2" s="9">
        <v>42541</v>
      </c>
      <c r="K2" s="10">
        <v>0.35999999998603</v>
      </c>
      <c r="L2" s="11">
        <v>103</v>
      </c>
      <c r="M2" s="9">
        <v>42541</v>
      </c>
      <c r="N2" s="14">
        <f t="shared" ref="N2:N7" si="0">K2+TIME(,L2,)</f>
        <v>0.431527777763808</v>
      </c>
    </row>
    <row r="3" spans="1:14">
      <c r="A3" s="2"/>
      <c r="B3" s="3">
        <v>8141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5" t="s">
        <v>20</v>
      </c>
      <c r="I3" s="5">
        <v>42541.4216782407</v>
      </c>
      <c r="J3" s="9">
        <v>42541</v>
      </c>
      <c r="K3" s="10">
        <v>0.445532407407882</v>
      </c>
      <c r="L3" s="11">
        <v>82</v>
      </c>
      <c r="M3" s="9">
        <v>42541</v>
      </c>
      <c r="N3" s="14">
        <f t="shared" si="0"/>
        <v>0.502476851852326</v>
      </c>
    </row>
    <row r="4" spans="1:14">
      <c r="A4" s="2"/>
      <c r="B4" s="3">
        <v>8106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5" t="s">
        <v>21</v>
      </c>
      <c r="I4" s="5">
        <v>42541.518912037</v>
      </c>
      <c r="J4" s="9">
        <v>42541</v>
      </c>
      <c r="K4" s="10">
        <v>0.516122685192386</v>
      </c>
      <c r="L4" s="11">
        <v>23</v>
      </c>
      <c r="M4" s="9">
        <v>42541</v>
      </c>
      <c r="N4" s="14">
        <f t="shared" si="0"/>
        <v>0.532094907414608</v>
      </c>
    </row>
    <row r="5" spans="1:14">
      <c r="A5" s="2"/>
      <c r="B5" s="3">
        <v>8103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5" t="s">
        <v>22</v>
      </c>
      <c r="I5" s="5">
        <v>42541.5778240741</v>
      </c>
      <c r="J5" s="9">
        <v>42541</v>
      </c>
      <c r="K5" s="10">
        <v>0.543206018512137</v>
      </c>
      <c r="L5" s="11">
        <v>32</v>
      </c>
      <c r="M5" s="9">
        <v>42541</v>
      </c>
      <c r="N5" s="14">
        <f t="shared" si="0"/>
        <v>0.565428240734359</v>
      </c>
    </row>
    <row r="6" spans="1:14">
      <c r="A6" s="2"/>
      <c r="B6" s="3">
        <v>8130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5" t="s">
        <v>23</v>
      </c>
      <c r="I6" s="5">
        <v>42541.6138888889</v>
      </c>
      <c r="J6" s="9">
        <v>42541</v>
      </c>
      <c r="K6" s="10">
        <v>0.567314814805286</v>
      </c>
      <c r="L6" s="11">
        <v>15</v>
      </c>
      <c r="M6" s="9">
        <v>42541</v>
      </c>
      <c r="N6" s="14">
        <f t="shared" si="0"/>
        <v>0.577731481471953</v>
      </c>
    </row>
    <row r="7" spans="1:14">
      <c r="A7" s="2"/>
      <c r="B7" s="3">
        <v>8114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5" t="s">
        <v>24</v>
      </c>
      <c r="I7" s="5">
        <v>42541.6388078704</v>
      </c>
      <c r="J7" s="9">
        <v>42541</v>
      </c>
      <c r="K7" s="10">
        <v>0.587083333346527</v>
      </c>
      <c r="L7" s="11">
        <v>18</v>
      </c>
      <c r="M7" s="9">
        <v>42541</v>
      </c>
      <c r="N7" s="14">
        <f t="shared" si="0"/>
        <v>0.599583333346527</v>
      </c>
    </row>
    <row r="8" spans="1:14">
      <c r="A8" s="1" t="s">
        <v>25</v>
      </c>
      <c r="B8" s="1"/>
      <c r="C8" s="1"/>
      <c r="D8" s="1"/>
      <c r="E8" s="1"/>
      <c r="F8" s="1"/>
      <c r="G8" s="1"/>
      <c r="H8" s="4"/>
      <c r="I8" s="4"/>
      <c r="J8" s="6"/>
      <c r="K8" s="12"/>
      <c r="L8" s="8">
        <f>SUBTOTAL(9,L2:L7)</f>
        <v>273</v>
      </c>
      <c r="M8" s="6"/>
      <c r="N8" s="13"/>
    </row>
    <row r="9" spans="1:14">
      <c r="A9" s="2" t="str">
        <f>CONCATENATE(F9,"_",J9)</f>
        <v>C051_42537</v>
      </c>
      <c r="B9" s="3">
        <v>8122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5" t="s">
        <v>26</v>
      </c>
      <c r="I9" s="5">
        <v>42537.3347800926</v>
      </c>
      <c r="J9" s="9">
        <v>42537</v>
      </c>
      <c r="K9" s="10">
        <v>0.367071759246755</v>
      </c>
      <c r="L9" s="11">
        <v>25</v>
      </c>
      <c r="M9" s="9">
        <v>42537</v>
      </c>
      <c r="N9" s="14">
        <f>K9+TIME(,L9,)</f>
        <v>0.384432870357866</v>
      </c>
    </row>
    <row r="10" spans="1:14">
      <c r="A10" s="2"/>
      <c r="B10" s="3">
        <v>8140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5" t="s">
        <v>27</v>
      </c>
      <c r="I10" s="5">
        <v>42537.4397222222</v>
      </c>
      <c r="J10" s="9">
        <v>42537</v>
      </c>
      <c r="K10" s="10">
        <v>0.43443287035916</v>
      </c>
      <c r="L10" s="11">
        <v>84</v>
      </c>
      <c r="M10" s="9">
        <v>42537</v>
      </c>
      <c r="N10" s="14">
        <f>K10+TIME(,L10,)</f>
        <v>0.492766203692493</v>
      </c>
    </row>
    <row r="11" spans="1:14">
      <c r="A11" s="2"/>
      <c r="B11" s="3">
        <v>8129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5" t="s">
        <v>28</v>
      </c>
      <c r="I11" s="5">
        <v>42537.4653472222</v>
      </c>
      <c r="J11" s="9">
        <v>42537</v>
      </c>
      <c r="K11" s="10">
        <v>0.502407407417195</v>
      </c>
      <c r="L11" s="11">
        <v>11</v>
      </c>
      <c r="M11" s="9">
        <v>42537</v>
      </c>
      <c r="N11" s="14">
        <f>K11+TIME(,L11,)</f>
        <v>0.510046296306084</v>
      </c>
    </row>
    <row r="12" spans="1:14">
      <c r="A12" s="2"/>
      <c r="B12" s="3">
        <v>8126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5" t="s">
        <v>29</v>
      </c>
      <c r="I12" s="5">
        <v>42537.4767476852</v>
      </c>
      <c r="J12" s="9">
        <v>42537</v>
      </c>
      <c r="K12" s="10">
        <v>0.512500000011642</v>
      </c>
      <c r="L12" s="11">
        <v>18</v>
      </c>
      <c r="M12" s="9">
        <v>42537</v>
      </c>
      <c r="N12" s="14">
        <f>K12+TIME(,L12,)</f>
        <v>0.525000000011641</v>
      </c>
    </row>
    <row r="13" spans="1:14">
      <c r="A13" s="2"/>
      <c r="B13" s="3">
        <v>20248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18</v>
      </c>
      <c r="H13" s="5" t="s">
        <v>30</v>
      </c>
      <c r="I13" s="5">
        <v>42537.5410300926</v>
      </c>
      <c r="J13" s="9">
        <v>42537</v>
      </c>
      <c r="K13" s="10">
        <v>0.576412037044065</v>
      </c>
      <c r="L13" s="11">
        <v>28</v>
      </c>
      <c r="M13" s="9">
        <v>42537</v>
      </c>
      <c r="N13" s="14">
        <f>K13+TIME(,L13,)</f>
        <v>0.59585648148851</v>
      </c>
    </row>
    <row r="14" spans="1:14">
      <c r="A14" s="1" t="s">
        <v>31</v>
      </c>
      <c r="B14" s="1"/>
      <c r="C14" s="1"/>
      <c r="D14" s="1"/>
      <c r="E14" s="1"/>
      <c r="F14" s="1"/>
      <c r="G14" s="1"/>
      <c r="H14" s="4"/>
      <c r="I14" s="4"/>
      <c r="J14" s="6"/>
      <c r="K14" s="12"/>
      <c r="L14" s="8">
        <f>SUBTOTAL(9,L9:L13)</f>
        <v>166</v>
      </c>
      <c r="M14" s="6"/>
      <c r="N14" s="13"/>
    </row>
    <row r="15" spans="1:14">
      <c r="A15" s="2" t="str">
        <f>CONCATENATE(F15,"_",J15)</f>
        <v>C051_42536</v>
      </c>
      <c r="B15" s="3">
        <v>8138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5" t="s">
        <v>32</v>
      </c>
      <c r="I15" s="5">
        <v>42536.3454513889</v>
      </c>
      <c r="J15" s="9">
        <v>42536</v>
      </c>
      <c r="K15" s="10">
        <v>0.377002314809943</v>
      </c>
      <c r="L15" s="11">
        <v>140</v>
      </c>
      <c r="M15" s="9">
        <v>42536</v>
      </c>
      <c r="N15" s="14">
        <f>K15+TIME(,L15,)</f>
        <v>0.474224537032165</v>
      </c>
    </row>
    <row r="16" spans="1:14">
      <c r="A16" s="2"/>
      <c r="B16" s="3">
        <v>8105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18</v>
      </c>
      <c r="H16" s="5" t="s">
        <v>33</v>
      </c>
      <c r="I16" s="5">
        <v>42536.4915625</v>
      </c>
      <c r="J16" s="9">
        <v>42536</v>
      </c>
      <c r="K16" s="10">
        <v>0.484236111107748</v>
      </c>
      <c r="L16" s="11">
        <v>39</v>
      </c>
      <c r="M16" s="9">
        <v>42536</v>
      </c>
      <c r="N16" s="14">
        <f>K16+TIME(,L16,)</f>
        <v>0.511319444441081</v>
      </c>
    </row>
    <row r="17" spans="1:14">
      <c r="A17" s="2"/>
      <c r="B17" s="3">
        <v>8137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18</v>
      </c>
      <c r="H17" s="5" t="s">
        <v>34</v>
      </c>
      <c r="I17" s="5">
        <v>42536.5337731481</v>
      </c>
      <c r="J17" s="9">
        <v>42536</v>
      </c>
      <c r="K17" s="10">
        <v>0.514409722236451</v>
      </c>
      <c r="L17" s="11">
        <v>33</v>
      </c>
      <c r="M17" s="9">
        <v>42536</v>
      </c>
      <c r="N17" s="14">
        <f>K17+TIME(,L17,)</f>
        <v>0.537326388903117</v>
      </c>
    </row>
    <row r="18" spans="1:14">
      <c r="A18" s="2"/>
      <c r="B18" s="3">
        <v>8099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18</v>
      </c>
      <c r="H18" s="5" t="s">
        <v>35</v>
      </c>
      <c r="I18" s="5">
        <v>42536.5973263889</v>
      </c>
      <c r="J18" s="9">
        <v>42536</v>
      </c>
      <c r="K18" s="10">
        <v>0.55391203702311</v>
      </c>
      <c r="L18" s="11">
        <v>35</v>
      </c>
      <c r="M18" s="9">
        <v>42536</v>
      </c>
      <c r="N18" s="14">
        <f>K18+TIME(,L18,)</f>
        <v>0.578217592578666</v>
      </c>
    </row>
    <row r="19" spans="1:14">
      <c r="A19" s="2"/>
      <c r="B19" s="3">
        <v>8101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18</v>
      </c>
      <c r="H19" s="5" t="s">
        <v>36</v>
      </c>
      <c r="I19" s="5">
        <v>42536.6453009259</v>
      </c>
      <c r="J19" s="9">
        <v>42536</v>
      </c>
      <c r="K19" s="10">
        <v>0.580740740726469</v>
      </c>
      <c r="L19" s="11">
        <v>47</v>
      </c>
      <c r="M19" s="9">
        <v>42536</v>
      </c>
      <c r="N19" s="14">
        <f>K19+TIME(,L19,)</f>
        <v>0.613379629615358</v>
      </c>
    </row>
    <row r="20" spans="1:14">
      <c r="A20" s="1" t="s">
        <v>37</v>
      </c>
      <c r="B20" s="1"/>
      <c r="C20" s="1"/>
      <c r="D20" s="1"/>
      <c r="E20" s="1"/>
      <c r="F20" s="1"/>
      <c r="G20" s="1"/>
      <c r="H20" s="4"/>
      <c r="I20" s="4"/>
      <c r="J20" s="6"/>
      <c r="K20" s="12"/>
      <c r="L20" s="8">
        <f>SUBTOTAL(9,L15:L19)</f>
        <v>294</v>
      </c>
      <c r="M20" s="6"/>
      <c r="N20" s="13"/>
    </row>
    <row r="21" spans="1:14">
      <c r="A21" s="2" t="str">
        <f>CONCATENATE(F21,"_",J21)</f>
        <v>C051_42535</v>
      </c>
      <c r="B21" s="3">
        <v>8098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18</v>
      </c>
      <c r="H21" s="5" t="s">
        <v>38</v>
      </c>
      <c r="I21" s="5">
        <v>42535.3511342593</v>
      </c>
      <c r="J21" s="9">
        <v>42535</v>
      </c>
      <c r="K21" s="10">
        <v>0.386840277787996</v>
      </c>
      <c r="L21" s="11">
        <v>41</v>
      </c>
      <c r="M21" s="9">
        <v>42535</v>
      </c>
      <c r="N21" s="14">
        <f t="shared" ref="N21:N26" si="1">K21+TIME(,L21,)</f>
        <v>0.415312500010219</v>
      </c>
    </row>
    <row r="22" spans="1:14">
      <c r="A22" s="2"/>
      <c r="B22" s="3">
        <v>20249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  <c r="H22" s="5" t="s">
        <v>39</v>
      </c>
      <c r="I22" s="5">
        <v>42535.3962268519</v>
      </c>
      <c r="J22" s="9">
        <v>42535</v>
      </c>
      <c r="K22" s="10">
        <v>0.423773148155306</v>
      </c>
      <c r="L22" s="11">
        <v>25</v>
      </c>
      <c r="M22" s="9">
        <v>42535</v>
      </c>
      <c r="N22" s="14">
        <f t="shared" si="1"/>
        <v>0.441134259266417</v>
      </c>
    </row>
    <row r="23" spans="1:14">
      <c r="A23" s="2"/>
      <c r="B23" s="3">
        <v>8142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18</v>
      </c>
      <c r="H23" s="5" t="s">
        <v>40</v>
      </c>
      <c r="I23" s="5">
        <v>42535.4318171296</v>
      </c>
      <c r="J23" s="9">
        <v>42535</v>
      </c>
      <c r="K23" s="10">
        <v>0.446423611108912</v>
      </c>
      <c r="L23" s="11">
        <v>38</v>
      </c>
      <c r="M23" s="9">
        <v>42535</v>
      </c>
      <c r="N23" s="14">
        <f t="shared" si="1"/>
        <v>0.472812499997801</v>
      </c>
    </row>
    <row r="24" spans="1:14">
      <c r="A24" s="2"/>
      <c r="B24" s="3">
        <v>8117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18</v>
      </c>
      <c r="H24" s="5" t="s">
        <v>41</v>
      </c>
      <c r="I24" s="5">
        <v>42535.4855208333</v>
      </c>
      <c r="J24" s="9">
        <v>42535</v>
      </c>
      <c r="K24" s="10">
        <v>0.479340277786832</v>
      </c>
      <c r="L24" s="11">
        <v>35</v>
      </c>
      <c r="M24" s="9">
        <v>42535</v>
      </c>
      <c r="N24" s="14">
        <f t="shared" si="1"/>
        <v>0.503645833342388</v>
      </c>
    </row>
    <row r="25" spans="1:14">
      <c r="A25" s="2"/>
      <c r="B25" s="3">
        <v>8097</v>
      </c>
      <c r="C25" s="3" t="s">
        <v>14</v>
      </c>
      <c r="D25" s="3" t="s">
        <v>15</v>
      </c>
      <c r="E25" s="3" t="s">
        <v>16</v>
      </c>
      <c r="F25" s="3" t="s">
        <v>17</v>
      </c>
      <c r="G25" s="3" t="s">
        <v>18</v>
      </c>
      <c r="H25" s="5" t="s">
        <v>42</v>
      </c>
      <c r="I25" s="5">
        <v>42535.5637037037</v>
      </c>
      <c r="J25" s="9">
        <v>42535</v>
      </c>
      <c r="K25" s="10">
        <v>0.522986111114733</v>
      </c>
      <c r="L25" s="11">
        <v>36</v>
      </c>
      <c r="M25" s="9">
        <v>42535</v>
      </c>
      <c r="N25" s="14">
        <f t="shared" si="1"/>
        <v>0.547986111114733</v>
      </c>
    </row>
    <row r="26" spans="1:14">
      <c r="A26" s="2"/>
      <c r="B26" s="3">
        <v>8096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18</v>
      </c>
      <c r="H26" s="5" t="s">
        <v>43</v>
      </c>
      <c r="I26" s="5">
        <v>42535.5903009259</v>
      </c>
      <c r="J26" s="9">
        <v>42535</v>
      </c>
      <c r="K26" s="10">
        <v>0.553738425922347</v>
      </c>
      <c r="L26" s="11">
        <v>30</v>
      </c>
      <c r="M26" s="9">
        <v>42535</v>
      </c>
      <c r="N26" s="14">
        <f t="shared" si="1"/>
        <v>0.574571759255681</v>
      </c>
    </row>
    <row r="27" spans="1:14">
      <c r="A27" s="1" t="s">
        <v>44</v>
      </c>
      <c r="B27" s="3"/>
      <c r="C27" s="3"/>
      <c r="D27" s="3"/>
      <c r="E27" s="3"/>
      <c r="F27" s="3"/>
      <c r="G27" s="3"/>
      <c r="H27" s="5"/>
      <c r="I27" s="5"/>
      <c r="J27" s="9"/>
      <c r="K27" s="10"/>
      <c r="L27" s="11">
        <f>SUBTOTAL(9,L21:L26)</f>
        <v>205</v>
      </c>
      <c r="M27" s="9"/>
      <c r="N27" s="14"/>
    </row>
    <row r="28" spans="1:14">
      <c r="A28" s="2" t="str">
        <f>CONCATENATE(F28,"_",J28)</f>
        <v>C051_42534</v>
      </c>
      <c r="B28" s="3">
        <v>8139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18</v>
      </c>
      <c r="H28" s="5" t="s">
        <v>19</v>
      </c>
      <c r="I28" s="5">
        <v>42534.3322106482</v>
      </c>
      <c r="J28" s="9">
        <v>42534</v>
      </c>
      <c r="K28" s="10">
        <v>0.37317129629082</v>
      </c>
      <c r="L28" s="11">
        <v>80</v>
      </c>
      <c r="M28" s="9">
        <v>42534</v>
      </c>
      <c r="N28" s="14">
        <f>K28+TIME(,L28,)</f>
        <v>0.428726851846376</v>
      </c>
    </row>
    <row r="29" spans="1:14">
      <c r="A29" s="2"/>
      <c r="B29" s="3">
        <v>8141</v>
      </c>
      <c r="C29" s="3" t="s">
        <v>14</v>
      </c>
      <c r="D29" s="3" t="s">
        <v>15</v>
      </c>
      <c r="E29" s="3" t="s">
        <v>16</v>
      </c>
      <c r="F29" s="3" t="s">
        <v>17</v>
      </c>
      <c r="G29" s="3" t="s">
        <v>18</v>
      </c>
      <c r="H29" s="5" t="s">
        <v>20</v>
      </c>
      <c r="I29" s="5">
        <v>42534.4100810185</v>
      </c>
      <c r="J29" s="9">
        <v>42534</v>
      </c>
      <c r="K29" s="10">
        <v>0.440671296295477</v>
      </c>
      <c r="L29" s="11">
        <v>108</v>
      </c>
      <c r="M29" s="9">
        <v>42534</v>
      </c>
      <c r="N29" s="14">
        <f>K29+TIME(,L29,)</f>
        <v>0.515671296295477</v>
      </c>
    </row>
    <row r="30" spans="1:14">
      <c r="A30" s="2"/>
      <c r="B30" s="3">
        <v>8118</v>
      </c>
      <c r="C30" s="3" t="s">
        <v>14</v>
      </c>
      <c r="D30" s="3" t="s">
        <v>15</v>
      </c>
      <c r="E30" s="3" t="s">
        <v>16</v>
      </c>
      <c r="F30" s="3" t="s">
        <v>17</v>
      </c>
      <c r="G30" s="3" t="s">
        <v>18</v>
      </c>
      <c r="H30" s="5" t="s">
        <v>45</v>
      </c>
      <c r="I30" s="5">
        <v>42534.5369560185</v>
      </c>
      <c r="J30" s="9">
        <v>42534</v>
      </c>
      <c r="K30" s="10">
        <v>0.526840277772862</v>
      </c>
      <c r="L30" s="11">
        <v>41</v>
      </c>
      <c r="M30" s="9">
        <v>42534</v>
      </c>
      <c r="N30" s="14">
        <f>K30+TIME(,L30,)</f>
        <v>0.555312499995085</v>
      </c>
    </row>
    <row r="31" spans="1:14">
      <c r="A31" s="2"/>
      <c r="B31" s="3">
        <v>8108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18</v>
      </c>
      <c r="H31" s="5" t="s">
        <v>46</v>
      </c>
      <c r="I31" s="5">
        <v>42534.5951851852</v>
      </c>
      <c r="J31" s="9">
        <v>42534</v>
      </c>
      <c r="K31" s="10">
        <v>0.559826388896909</v>
      </c>
      <c r="L31" s="11">
        <v>36</v>
      </c>
      <c r="M31" s="9">
        <v>42534</v>
      </c>
      <c r="N31" s="14">
        <f>K31+TIME(,L31,)</f>
        <v>0.584826388896909</v>
      </c>
    </row>
    <row r="32" spans="1:14">
      <c r="A32" s="2"/>
      <c r="B32" s="3">
        <v>8100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18</v>
      </c>
      <c r="H32" s="5" t="s">
        <v>47</v>
      </c>
      <c r="I32" s="5">
        <v>42534.6452314815</v>
      </c>
      <c r="J32" s="9">
        <v>42534</v>
      </c>
      <c r="K32" s="10">
        <v>0.588703703717329</v>
      </c>
      <c r="L32" s="11">
        <v>25</v>
      </c>
      <c r="M32" s="9">
        <v>42534</v>
      </c>
      <c r="N32" s="14">
        <f>K32+TIME(,L32,)</f>
        <v>0.60606481482844</v>
      </c>
    </row>
    <row r="33" spans="1:14">
      <c r="A33" s="1" t="s">
        <v>48</v>
      </c>
      <c r="B33" s="3"/>
      <c r="C33" s="3"/>
      <c r="D33" s="3"/>
      <c r="E33" s="3"/>
      <c r="F33" s="3"/>
      <c r="G33" s="3"/>
      <c r="H33" s="5"/>
      <c r="I33" s="5"/>
      <c r="J33" s="9"/>
      <c r="K33" s="10"/>
      <c r="L33" s="11">
        <f>SUBTOTAL(9,L28:L32)</f>
        <v>290</v>
      </c>
      <c r="M33" s="9"/>
      <c r="N33" s="14"/>
    </row>
    <row r="34" spans="1:14">
      <c r="A34" s="2" t="str">
        <f>CONCATENATE(F34,"_",J34)</f>
        <v>C051_42530</v>
      </c>
      <c r="B34" s="3">
        <v>8122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18</v>
      </c>
      <c r="H34" s="5" t="s">
        <v>26</v>
      </c>
      <c r="I34" s="5">
        <v>42530.4424652778</v>
      </c>
      <c r="J34" s="9">
        <v>42530</v>
      </c>
      <c r="K34" s="10">
        <v>0.364999999990687</v>
      </c>
      <c r="L34" s="11">
        <v>28</v>
      </c>
      <c r="M34" s="9">
        <v>42530</v>
      </c>
      <c r="N34" s="14">
        <f t="shared" ref="N34:N39" si="2">K34+TIME(,L34,)</f>
        <v>0.384444444435131</v>
      </c>
    </row>
    <row r="35" spans="1:14">
      <c r="A35" s="2"/>
      <c r="B35" s="3">
        <v>8124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18</v>
      </c>
      <c r="H35" s="5" t="s">
        <v>49</v>
      </c>
      <c r="I35" s="5">
        <v>42530.4594212963</v>
      </c>
      <c r="J35" s="9">
        <v>42530</v>
      </c>
      <c r="K35" s="10">
        <v>0.446655092586298</v>
      </c>
      <c r="L35" s="11">
        <v>56</v>
      </c>
      <c r="M35" s="9">
        <v>42530</v>
      </c>
      <c r="N35" s="14">
        <f t="shared" si="2"/>
        <v>0.485543981475186</v>
      </c>
    </row>
    <row r="36" spans="1:14">
      <c r="A36" s="2"/>
      <c r="B36" s="3">
        <v>8131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18</v>
      </c>
      <c r="H36" s="5" t="s">
        <v>50</v>
      </c>
      <c r="I36" s="5">
        <v>42530.5489236111</v>
      </c>
      <c r="J36" s="9">
        <v>42530</v>
      </c>
      <c r="K36" s="10">
        <v>0.488981481496012</v>
      </c>
      <c r="L36" s="11">
        <v>14</v>
      </c>
      <c r="M36" s="9">
        <v>42530</v>
      </c>
      <c r="N36" s="14">
        <f t="shared" si="2"/>
        <v>0.498703703718234</v>
      </c>
    </row>
    <row r="37" spans="1:14">
      <c r="A37" s="2"/>
      <c r="B37" s="3">
        <v>8107</v>
      </c>
      <c r="C37" s="3" t="s">
        <v>14</v>
      </c>
      <c r="D37" s="3" t="s">
        <v>15</v>
      </c>
      <c r="E37" s="3" t="s">
        <v>16</v>
      </c>
      <c r="F37" s="3" t="s">
        <v>17</v>
      </c>
      <c r="G37" s="3" t="s">
        <v>18</v>
      </c>
      <c r="H37" s="5" t="s">
        <v>51</v>
      </c>
      <c r="I37" s="5">
        <v>42530.5855902778</v>
      </c>
      <c r="J37" s="9">
        <v>42530</v>
      </c>
      <c r="K37" s="10">
        <v>0.503703703696374</v>
      </c>
      <c r="L37" s="11">
        <v>40</v>
      </c>
      <c r="M37" s="9">
        <v>42530</v>
      </c>
      <c r="N37" s="14">
        <f t="shared" si="2"/>
        <v>0.531481481474152</v>
      </c>
    </row>
    <row r="38" spans="1:14">
      <c r="A38" s="2"/>
      <c r="B38" s="3">
        <v>8128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18</v>
      </c>
      <c r="H38" s="5" t="s">
        <v>52</v>
      </c>
      <c r="I38" s="5">
        <v>42530.6080787037</v>
      </c>
      <c r="J38" s="9">
        <v>42530</v>
      </c>
      <c r="K38" s="10">
        <v>0.53202546297689</v>
      </c>
      <c r="L38" s="11">
        <v>25</v>
      </c>
      <c r="M38" s="9">
        <v>42530</v>
      </c>
      <c r="N38" s="14">
        <f t="shared" si="2"/>
        <v>0.549386574088001</v>
      </c>
    </row>
    <row r="39" spans="1:14">
      <c r="A39" s="2"/>
      <c r="B39" s="3">
        <v>8139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18</v>
      </c>
      <c r="H39" s="5" t="s">
        <v>19</v>
      </c>
      <c r="I39" s="5">
        <v>42530.6302199074</v>
      </c>
      <c r="J39" s="9">
        <v>42530</v>
      </c>
      <c r="K39" s="10">
        <v>0.571932870370802</v>
      </c>
      <c r="L39" s="11">
        <v>53</v>
      </c>
      <c r="M39" s="9">
        <v>42530</v>
      </c>
      <c r="N39" s="14">
        <f t="shared" si="2"/>
        <v>0.608738425926357</v>
      </c>
    </row>
    <row r="40" spans="1:14">
      <c r="A40" s="1" t="s">
        <v>53</v>
      </c>
      <c r="B40" s="3"/>
      <c r="C40" s="3"/>
      <c r="D40" s="3"/>
      <c r="E40" s="3"/>
      <c r="F40" s="3"/>
      <c r="G40" s="3"/>
      <c r="H40" s="5"/>
      <c r="I40" s="5"/>
      <c r="J40" s="9"/>
      <c r="K40" s="10"/>
      <c r="L40" s="11">
        <f>SUBTOTAL(9,L34:L39)</f>
        <v>216</v>
      </c>
      <c r="M40" s="9"/>
      <c r="N40" s="14"/>
    </row>
    <row r="41" spans="1:14">
      <c r="A41" s="2" t="str">
        <f>CONCATENATE(F41,"_",J41)</f>
        <v>C051_42529</v>
      </c>
      <c r="B41" s="3">
        <v>8138</v>
      </c>
      <c r="C41" s="3" t="s">
        <v>14</v>
      </c>
      <c r="D41" s="3" t="s">
        <v>15</v>
      </c>
      <c r="E41" s="3" t="s">
        <v>16</v>
      </c>
      <c r="F41" s="3" t="s">
        <v>17</v>
      </c>
      <c r="G41" s="3" t="s">
        <v>18</v>
      </c>
      <c r="H41" s="5" t="s">
        <v>32</v>
      </c>
      <c r="I41" s="5">
        <v>42529.3821064815</v>
      </c>
      <c r="J41" s="9">
        <v>42529</v>
      </c>
      <c r="K41" s="10">
        <v>0.37577546297689</v>
      </c>
      <c r="L41" s="11">
        <v>137</v>
      </c>
      <c r="M41" s="9">
        <v>42529</v>
      </c>
      <c r="N41" s="14">
        <f>K41+TIME(,L41,)</f>
        <v>0.470914351865779</v>
      </c>
    </row>
    <row r="42" spans="1:14">
      <c r="A42" s="2"/>
      <c r="B42" s="3">
        <v>8133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18</v>
      </c>
      <c r="H42" s="5" t="s">
        <v>54</v>
      </c>
      <c r="I42" s="5">
        <v>42529.5361226852</v>
      </c>
      <c r="J42" s="9">
        <v>42529</v>
      </c>
      <c r="K42" s="10">
        <v>0.492465277784504</v>
      </c>
      <c r="L42" s="11">
        <v>25</v>
      </c>
      <c r="M42" s="9">
        <v>42529</v>
      </c>
      <c r="N42" s="14">
        <f>K42+TIME(,L42,)</f>
        <v>0.509826388895615</v>
      </c>
    </row>
    <row r="43" spans="1:14">
      <c r="A43" s="2"/>
      <c r="B43" s="3">
        <v>8102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18</v>
      </c>
      <c r="H43" s="5" t="s">
        <v>55</v>
      </c>
      <c r="I43" s="5">
        <v>42529.5750810185</v>
      </c>
      <c r="J43" s="9">
        <v>42529</v>
      </c>
      <c r="K43" s="10">
        <v>0.509953703702195</v>
      </c>
      <c r="L43" s="11">
        <v>47</v>
      </c>
      <c r="M43" s="9">
        <v>42529</v>
      </c>
      <c r="N43" s="14">
        <f>K43+TIME(,L43,)</f>
        <v>0.542592592591083</v>
      </c>
    </row>
    <row r="44" spans="1:14">
      <c r="A44" s="2"/>
      <c r="B44" s="3">
        <v>8135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18</v>
      </c>
      <c r="H44" s="5" t="s">
        <v>56</v>
      </c>
      <c r="I44" s="5">
        <v>42529.673275463</v>
      </c>
      <c r="J44" s="9">
        <v>42529</v>
      </c>
      <c r="K44" s="10">
        <v>0.553587962960592</v>
      </c>
      <c r="L44" s="11">
        <v>65</v>
      </c>
      <c r="M44" s="9">
        <v>42529</v>
      </c>
      <c r="N44" s="14">
        <f>K44+TIME(,L44,)</f>
        <v>0.59872685184948</v>
      </c>
    </row>
    <row r="45" spans="1:14">
      <c r="A45" s="1" t="s">
        <v>57</v>
      </c>
      <c r="B45" s="3"/>
      <c r="C45" s="3"/>
      <c r="D45" s="3"/>
      <c r="E45" s="3"/>
      <c r="F45" s="3"/>
      <c r="G45" s="3"/>
      <c r="H45" s="5"/>
      <c r="I45" s="5"/>
      <c r="J45" s="9"/>
      <c r="K45" s="10"/>
      <c r="L45" s="11">
        <f>SUBTOTAL(9,L41:L44)</f>
        <v>274</v>
      </c>
      <c r="M45" s="9"/>
      <c r="N45" s="14"/>
    </row>
    <row r="46" spans="1:14">
      <c r="A46" s="2" t="str">
        <f>CONCATENATE(F46,"_",J46)</f>
        <v>C051_42528</v>
      </c>
      <c r="B46" s="3">
        <v>8125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18</v>
      </c>
      <c r="H46" s="5" t="s">
        <v>58</v>
      </c>
      <c r="I46" s="5">
        <v>42528.3601851852</v>
      </c>
      <c r="J46" s="9">
        <v>42528</v>
      </c>
      <c r="K46" s="10">
        <v>0.39537037035916</v>
      </c>
      <c r="L46" s="11">
        <v>46</v>
      </c>
      <c r="M46" s="9">
        <v>42528</v>
      </c>
      <c r="N46" s="14">
        <f>K46+TIME(,L46,)</f>
        <v>0.427314814803604</v>
      </c>
    </row>
    <row r="47" spans="1:14">
      <c r="A47" s="2"/>
      <c r="B47" s="3">
        <v>8140</v>
      </c>
      <c r="C47" s="3" t="s">
        <v>14</v>
      </c>
      <c r="D47" s="3" t="s">
        <v>15</v>
      </c>
      <c r="E47" s="3" t="s">
        <v>16</v>
      </c>
      <c r="F47" s="3" t="s">
        <v>17</v>
      </c>
      <c r="G47" s="3" t="s">
        <v>18</v>
      </c>
      <c r="H47" s="5" t="s">
        <v>27</v>
      </c>
      <c r="I47" s="5">
        <v>42528.4298726852</v>
      </c>
      <c r="J47" s="9">
        <v>42528</v>
      </c>
      <c r="K47" s="10">
        <v>0.438530092593282</v>
      </c>
      <c r="L47" s="11">
        <v>121</v>
      </c>
      <c r="M47" s="9">
        <v>42528</v>
      </c>
      <c r="N47" s="14">
        <f>K47+TIME(,L47,)</f>
        <v>0.52255787037106</v>
      </c>
    </row>
    <row r="48" spans="1:14">
      <c r="A48" s="2"/>
      <c r="B48" s="3">
        <v>8123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18</v>
      </c>
      <c r="H48" s="5" t="s">
        <v>59</v>
      </c>
      <c r="I48" s="5">
        <v>42528.5612615741</v>
      </c>
      <c r="J48" s="9">
        <v>42528</v>
      </c>
      <c r="K48" s="10">
        <v>0.528587962966412</v>
      </c>
      <c r="L48" s="11">
        <v>56</v>
      </c>
      <c r="M48" s="9">
        <v>42528</v>
      </c>
      <c r="N48" s="14">
        <f>K48+TIME(,L48,)</f>
        <v>0.567476851855301</v>
      </c>
    </row>
    <row r="49" spans="1:14">
      <c r="A49" s="2"/>
      <c r="B49" s="3">
        <v>8144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18</v>
      </c>
      <c r="H49" s="5" t="s">
        <v>60</v>
      </c>
      <c r="I49" s="5">
        <v>42528.6358796296</v>
      </c>
      <c r="J49" s="9">
        <v>42528</v>
      </c>
      <c r="K49" s="10">
        <v>0.572418981493684</v>
      </c>
      <c r="L49" s="11">
        <v>73</v>
      </c>
      <c r="M49" s="9">
        <v>42528</v>
      </c>
      <c r="N49" s="14">
        <f>K49+TIME(,L49,)</f>
        <v>0.623113425938128</v>
      </c>
    </row>
    <row r="50" spans="1:14">
      <c r="A50" s="1" t="s">
        <v>61</v>
      </c>
      <c r="B50" s="3"/>
      <c r="C50" s="3"/>
      <c r="D50" s="3"/>
      <c r="E50" s="3"/>
      <c r="F50" s="3"/>
      <c r="G50" s="3"/>
      <c r="H50" s="5"/>
      <c r="I50" s="5"/>
      <c r="J50" s="9"/>
      <c r="K50" s="10"/>
      <c r="L50" s="11">
        <f>SUBTOTAL(9,L46:L49)</f>
        <v>296</v>
      </c>
      <c r="M50" s="9"/>
      <c r="N50" s="14"/>
    </row>
    <row r="51" spans="1:14">
      <c r="A51" s="2" t="str">
        <f>CONCATENATE(F51,"_",J51)</f>
        <v>C051_42527</v>
      </c>
      <c r="B51" s="3">
        <v>8139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18</v>
      </c>
      <c r="H51" s="5" t="s">
        <v>19</v>
      </c>
      <c r="I51" s="5">
        <v>42527.3258449074</v>
      </c>
      <c r="J51" s="9">
        <v>42527</v>
      </c>
      <c r="K51" s="10">
        <v>0.364502314827405</v>
      </c>
      <c r="L51" s="11">
        <v>107</v>
      </c>
      <c r="M51" s="9">
        <v>42527</v>
      </c>
      <c r="N51" s="14">
        <f>K51+TIME(,L51,)</f>
        <v>0.43880787038296</v>
      </c>
    </row>
    <row r="52" spans="1:14">
      <c r="A52" s="2"/>
      <c r="B52" s="3">
        <v>8141</v>
      </c>
      <c r="C52" s="3" t="s">
        <v>14</v>
      </c>
      <c r="D52" s="3" t="s">
        <v>15</v>
      </c>
      <c r="E52" s="3" t="s">
        <v>16</v>
      </c>
      <c r="F52" s="3" t="s">
        <v>17</v>
      </c>
      <c r="G52" s="3" t="s">
        <v>18</v>
      </c>
      <c r="H52" s="5" t="s">
        <v>20</v>
      </c>
      <c r="I52" s="5">
        <v>42527.4337152778</v>
      </c>
      <c r="J52" s="9">
        <v>42527</v>
      </c>
      <c r="K52" s="10">
        <v>0.449918981496012</v>
      </c>
      <c r="L52" s="11">
        <v>123</v>
      </c>
      <c r="M52" s="9">
        <v>42527</v>
      </c>
      <c r="N52" s="14">
        <f>K52+TIME(,L52,)</f>
        <v>0.535335648162679</v>
      </c>
    </row>
    <row r="53" spans="1:14">
      <c r="A53" s="2"/>
      <c r="B53" s="3">
        <v>8094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18</v>
      </c>
      <c r="H53" s="5" t="s">
        <v>62</v>
      </c>
      <c r="I53" s="5">
        <v>42527.5799189815</v>
      </c>
      <c r="J53" s="9">
        <v>42527</v>
      </c>
      <c r="K53" s="10">
        <v>0.550601851864485</v>
      </c>
      <c r="L53" s="11">
        <v>37</v>
      </c>
      <c r="M53" s="9">
        <v>42527</v>
      </c>
      <c r="N53" s="14">
        <f>K53+TIME(,L53,)</f>
        <v>0.57629629630893</v>
      </c>
    </row>
    <row r="54" spans="1:14">
      <c r="A54" s="2"/>
      <c r="B54" s="3">
        <v>8103</v>
      </c>
      <c r="C54" s="3" t="s">
        <v>14</v>
      </c>
      <c r="D54" s="3" t="s">
        <v>15</v>
      </c>
      <c r="E54" s="3" t="s">
        <v>16</v>
      </c>
      <c r="F54" s="3" t="s">
        <v>17</v>
      </c>
      <c r="G54" s="3" t="s">
        <v>18</v>
      </c>
      <c r="H54" s="5" t="s">
        <v>22</v>
      </c>
      <c r="I54" s="5">
        <v>42527.6288657407</v>
      </c>
      <c r="J54" s="9">
        <v>42527</v>
      </c>
      <c r="K54" s="10">
        <v>0.58208333334187</v>
      </c>
      <c r="L54" s="11">
        <v>34</v>
      </c>
      <c r="M54" s="9">
        <v>42527</v>
      </c>
      <c r="N54" s="14">
        <f>K54+TIME(,L54,)</f>
        <v>0.605694444452982</v>
      </c>
    </row>
    <row r="55" spans="1:14">
      <c r="A55" s="1" t="s">
        <v>63</v>
      </c>
      <c r="B55" s="3"/>
      <c r="C55" s="3"/>
      <c r="D55" s="3"/>
      <c r="E55" s="3"/>
      <c r="F55" s="3"/>
      <c r="G55" s="3"/>
      <c r="H55" s="5"/>
      <c r="I55" s="5"/>
      <c r="J55" s="9"/>
      <c r="K55" s="10"/>
      <c r="L55" s="11">
        <f>SUBTOTAL(9,L51:L54)</f>
        <v>301</v>
      </c>
      <c r="M55" s="9"/>
      <c r="N55" s="14"/>
    </row>
    <row r="56" spans="1:14">
      <c r="A56" s="2" t="str">
        <f>CONCATENATE(F56,"_",J56)</f>
        <v>C051_42523</v>
      </c>
      <c r="B56" s="3">
        <v>8095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18</v>
      </c>
      <c r="H56" s="5" t="s">
        <v>64</v>
      </c>
      <c r="I56" s="5">
        <v>42523.5493402778</v>
      </c>
      <c r="J56" s="9">
        <v>42523</v>
      </c>
      <c r="K56" s="10">
        <v>0.386053240741603</v>
      </c>
      <c r="L56" s="11">
        <v>25</v>
      </c>
      <c r="M56" s="9">
        <v>42523</v>
      </c>
      <c r="N56" s="14">
        <f t="shared" ref="N56:N61" si="3">K56+TIME(,L56,)</f>
        <v>0.403414351852714</v>
      </c>
    </row>
    <row r="57" spans="1:14">
      <c r="A57" s="2"/>
      <c r="B57" s="3">
        <v>20248</v>
      </c>
      <c r="C57" s="3" t="s">
        <v>14</v>
      </c>
      <c r="D57" s="3" t="s">
        <v>15</v>
      </c>
      <c r="E57" s="3" t="s">
        <v>16</v>
      </c>
      <c r="F57" s="3" t="s">
        <v>17</v>
      </c>
      <c r="G57" s="3" t="s">
        <v>18</v>
      </c>
      <c r="H57" s="5" t="s">
        <v>30</v>
      </c>
      <c r="I57" s="5">
        <v>42523.5636458333</v>
      </c>
      <c r="J57" s="9">
        <v>42523</v>
      </c>
      <c r="K57" s="10">
        <v>0.410358796303626</v>
      </c>
      <c r="L57" s="11">
        <v>42</v>
      </c>
      <c r="M57" s="9">
        <v>42523</v>
      </c>
      <c r="N57" s="14">
        <f t="shared" si="3"/>
        <v>0.439525462970293</v>
      </c>
    </row>
    <row r="58" spans="1:14">
      <c r="A58" s="2"/>
      <c r="B58" s="3">
        <v>8116</v>
      </c>
      <c r="C58" s="3" t="s">
        <v>14</v>
      </c>
      <c r="D58" s="3" t="s">
        <v>15</v>
      </c>
      <c r="E58" s="3" t="s">
        <v>16</v>
      </c>
      <c r="F58" s="3" t="s">
        <v>17</v>
      </c>
      <c r="G58" s="3" t="s">
        <v>18</v>
      </c>
      <c r="H58" s="5" t="s">
        <v>65</v>
      </c>
      <c r="I58" s="5">
        <v>42523.5730787037</v>
      </c>
      <c r="J58" s="9">
        <v>42523</v>
      </c>
      <c r="K58" s="10">
        <v>0.449641203711508</v>
      </c>
      <c r="L58" s="11">
        <v>40</v>
      </c>
      <c r="M58" s="9">
        <v>42523</v>
      </c>
      <c r="N58" s="14">
        <f t="shared" si="3"/>
        <v>0.477418981489286</v>
      </c>
    </row>
    <row r="59" spans="1:14">
      <c r="A59" s="2"/>
      <c r="B59" s="3">
        <v>8132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18</v>
      </c>
      <c r="H59" s="5" t="s">
        <v>66</v>
      </c>
      <c r="I59" s="5">
        <v>42523.5846412037</v>
      </c>
      <c r="J59" s="9">
        <v>42523</v>
      </c>
      <c r="K59" s="10">
        <v>0.48429398148437</v>
      </c>
      <c r="L59" s="11">
        <v>28</v>
      </c>
      <c r="M59" s="9">
        <v>42523</v>
      </c>
      <c r="N59" s="14">
        <f t="shared" si="3"/>
        <v>0.503738425928815</v>
      </c>
    </row>
    <row r="60" spans="1:14">
      <c r="A60" s="2"/>
      <c r="B60" s="3">
        <v>8134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18</v>
      </c>
      <c r="H60" s="5" t="s">
        <v>67</v>
      </c>
      <c r="I60" s="5">
        <v>42523.5874652778</v>
      </c>
      <c r="J60" s="9">
        <v>42523</v>
      </c>
      <c r="K60" s="10">
        <v>0.508032407407882</v>
      </c>
      <c r="L60" s="11">
        <v>34</v>
      </c>
      <c r="M60" s="9">
        <v>42523</v>
      </c>
      <c r="N60" s="14">
        <f t="shared" si="3"/>
        <v>0.531643518518993</v>
      </c>
    </row>
    <row r="61" spans="1:14">
      <c r="A61" s="2"/>
      <c r="B61" s="3">
        <v>8141</v>
      </c>
      <c r="C61" s="3" t="s">
        <v>14</v>
      </c>
      <c r="D61" s="3" t="s">
        <v>15</v>
      </c>
      <c r="E61" s="3" t="s">
        <v>16</v>
      </c>
      <c r="F61" s="3" t="s">
        <v>17</v>
      </c>
      <c r="G61" s="3" t="s">
        <v>18</v>
      </c>
      <c r="H61" s="5" t="s">
        <v>20</v>
      </c>
      <c r="I61" s="5">
        <v>42523.6040509259</v>
      </c>
      <c r="J61" s="9">
        <v>42523</v>
      </c>
      <c r="K61" s="10">
        <v>0.544386574067175</v>
      </c>
      <c r="L61" s="11">
        <v>75</v>
      </c>
      <c r="M61" s="9">
        <v>42523</v>
      </c>
      <c r="N61" s="14">
        <f t="shared" si="3"/>
        <v>0.596469907400509</v>
      </c>
    </row>
    <row r="62" spans="1:14">
      <c r="A62" s="1" t="s">
        <v>68</v>
      </c>
      <c r="B62" s="3"/>
      <c r="C62" s="3"/>
      <c r="D62" s="3"/>
      <c r="E62" s="3"/>
      <c r="F62" s="3"/>
      <c r="G62" s="3"/>
      <c r="H62" s="5"/>
      <c r="I62" s="5"/>
      <c r="J62" s="9"/>
      <c r="K62" s="10"/>
      <c r="L62" s="11">
        <f>SUBTOTAL(9,L56:L61)</f>
        <v>244</v>
      </c>
      <c r="M62" s="9"/>
      <c r="N62" s="14"/>
    </row>
    <row r="63" spans="1:14">
      <c r="A63" s="2" t="str">
        <f>CONCATENATE(F63,"_",J63)</f>
        <v>C051_42522</v>
      </c>
      <c r="B63" s="3">
        <v>8138</v>
      </c>
      <c r="C63" s="3" t="s">
        <v>14</v>
      </c>
      <c r="D63" s="3" t="s">
        <v>15</v>
      </c>
      <c r="E63" s="3" t="s">
        <v>16</v>
      </c>
      <c r="F63" s="3" t="s">
        <v>17</v>
      </c>
      <c r="G63" s="3" t="s">
        <v>18</v>
      </c>
      <c r="H63" s="5" t="s">
        <v>32</v>
      </c>
      <c r="I63" s="5">
        <v>42522.4189467593</v>
      </c>
      <c r="J63" s="9">
        <v>42522</v>
      </c>
      <c r="K63" s="10">
        <v>0.385254629625706</v>
      </c>
      <c r="L63" s="11">
        <v>115</v>
      </c>
      <c r="M63" s="9">
        <v>42522</v>
      </c>
      <c r="N63" s="14">
        <f>K63+TIME(,L63,)</f>
        <v>0.465115740736817</v>
      </c>
    </row>
    <row r="64" spans="1:14">
      <c r="A64" s="2"/>
      <c r="B64" s="3">
        <v>8119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18</v>
      </c>
      <c r="H64" s="5" t="s">
        <v>69</v>
      </c>
      <c r="I64" s="5">
        <v>42522.550625</v>
      </c>
      <c r="J64" s="9">
        <v>42522</v>
      </c>
      <c r="K64" s="10">
        <v>0.486053240747424</v>
      </c>
      <c r="L64" s="11">
        <v>34</v>
      </c>
      <c r="M64" s="9">
        <v>42522</v>
      </c>
      <c r="N64" s="14">
        <f>K64+TIME(,L64,)</f>
        <v>0.509664351858535</v>
      </c>
    </row>
    <row r="65" spans="1:14">
      <c r="A65" s="2"/>
      <c r="B65" s="3">
        <v>8120</v>
      </c>
      <c r="C65" s="3" t="s">
        <v>14</v>
      </c>
      <c r="D65" s="3" t="s">
        <v>15</v>
      </c>
      <c r="E65" s="3" t="s">
        <v>16</v>
      </c>
      <c r="F65" s="3" t="s">
        <v>17</v>
      </c>
      <c r="G65" s="3" t="s">
        <v>18</v>
      </c>
      <c r="H65" s="5" t="s">
        <v>70</v>
      </c>
      <c r="I65" s="5">
        <v>42522.6287384259</v>
      </c>
      <c r="J65" s="9">
        <v>42522</v>
      </c>
      <c r="K65" s="10">
        <v>0.515057870361488</v>
      </c>
      <c r="L65" s="11">
        <v>30</v>
      </c>
      <c r="M65" s="9">
        <v>42522</v>
      </c>
      <c r="N65" s="14">
        <f>K65+TIME(,L65,)</f>
        <v>0.535891203694822</v>
      </c>
    </row>
    <row r="66" spans="1:14">
      <c r="A66" s="2"/>
      <c r="B66" s="3">
        <v>8099</v>
      </c>
      <c r="C66" s="3" t="s">
        <v>14</v>
      </c>
      <c r="D66" s="3" t="s">
        <v>15</v>
      </c>
      <c r="E66" s="3" t="s">
        <v>16</v>
      </c>
      <c r="F66" s="3" t="s">
        <v>17</v>
      </c>
      <c r="G66" s="3" t="s">
        <v>18</v>
      </c>
      <c r="H66" s="5" t="s">
        <v>35</v>
      </c>
      <c r="I66" s="5">
        <v>42522.6727430556</v>
      </c>
      <c r="J66" s="9">
        <v>42522</v>
      </c>
      <c r="K66" s="10">
        <v>0.545254629629198</v>
      </c>
      <c r="L66" s="11">
        <v>41</v>
      </c>
      <c r="M66" s="9">
        <v>42522</v>
      </c>
      <c r="N66" s="14">
        <f>K66+TIME(,L66,)</f>
        <v>0.573726851851421</v>
      </c>
    </row>
    <row r="67" spans="1:14">
      <c r="A67" s="2"/>
      <c r="B67" s="3">
        <v>8101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18</v>
      </c>
      <c r="H67" s="5" t="s">
        <v>36</v>
      </c>
      <c r="I67" s="5">
        <v>42522.7109143519</v>
      </c>
      <c r="J67" s="9">
        <v>42522</v>
      </c>
      <c r="K67" s="10">
        <v>0.576331018528435</v>
      </c>
      <c r="L67" s="11">
        <v>25</v>
      </c>
      <c r="M67" s="9">
        <v>42522</v>
      </c>
      <c r="N67" s="14">
        <f>K67+TIME(,L67,)</f>
        <v>0.593692129639547</v>
      </c>
    </row>
    <row r="68" spans="1:14">
      <c r="A68" s="1" t="s">
        <v>71</v>
      </c>
      <c r="B68" s="3"/>
      <c r="C68" s="3"/>
      <c r="D68" s="3"/>
      <c r="E68" s="3"/>
      <c r="F68" s="3"/>
      <c r="G68" s="3"/>
      <c r="H68" s="5"/>
      <c r="I68" s="5"/>
      <c r="J68" s="9"/>
      <c r="K68" s="10"/>
      <c r="L68" s="11">
        <f>SUBTOTAL(9,L63:L67)</f>
        <v>245</v>
      </c>
      <c r="M68" s="9"/>
      <c r="N68" s="14"/>
    </row>
    <row r="69" spans="1:14">
      <c r="A69" s="2" t="str">
        <f>CONCATENATE(F69,"_",J69)</f>
        <v>C051_42521</v>
      </c>
      <c r="B69" s="3">
        <v>8140</v>
      </c>
      <c r="C69" s="3" t="s">
        <v>14</v>
      </c>
      <c r="D69" s="3" t="s">
        <v>15</v>
      </c>
      <c r="E69" s="3" t="s">
        <v>16</v>
      </c>
      <c r="F69" s="3" t="s">
        <v>17</v>
      </c>
      <c r="G69" s="3" t="s">
        <v>18</v>
      </c>
      <c r="H69" s="5" t="s">
        <v>27</v>
      </c>
      <c r="I69" s="5">
        <v>42521.386875</v>
      </c>
      <c r="J69" s="9">
        <v>42521</v>
      </c>
      <c r="K69" s="10">
        <v>0.40353009258979</v>
      </c>
      <c r="L69" s="11">
        <v>95</v>
      </c>
      <c r="M69" s="9">
        <v>42521</v>
      </c>
      <c r="N69" s="14">
        <f t="shared" ref="N69:N74" si="4">K69+TIME(,L69,)</f>
        <v>0.469502314812012</v>
      </c>
    </row>
    <row r="70" spans="1:14">
      <c r="A70" s="2"/>
      <c r="B70" s="3">
        <v>8109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18</v>
      </c>
      <c r="H70" s="5" t="s">
        <v>72</v>
      </c>
      <c r="I70" s="5">
        <v>42521.5059143519</v>
      </c>
      <c r="J70" s="9">
        <v>42521</v>
      </c>
      <c r="K70" s="10">
        <v>0.482442129636183</v>
      </c>
      <c r="L70" s="11">
        <v>33</v>
      </c>
      <c r="M70" s="9">
        <v>42521</v>
      </c>
      <c r="N70" s="14">
        <f t="shared" si="4"/>
        <v>0.50535879630285</v>
      </c>
    </row>
    <row r="71" spans="1:14">
      <c r="A71" s="2"/>
      <c r="B71" s="3">
        <v>8143</v>
      </c>
      <c r="C71" s="3" t="s">
        <v>14</v>
      </c>
      <c r="D71" s="3" t="s">
        <v>15</v>
      </c>
      <c r="E71" s="3" t="s">
        <v>16</v>
      </c>
      <c r="F71" s="3" t="s">
        <v>17</v>
      </c>
      <c r="G71" s="3" t="s">
        <v>18</v>
      </c>
      <c r="H71" s="5" t="s">
        <v>73</v>
      </c>
      <c r="I71" s="5">
        <v>42521.5447685185</v>
      </c>
      <c r="J71" s="9">
        <v>42521</v>
      </c>
      <c r="K71" s="10">
        <v>0.509074074070668</v>
      </c>
      <c r="L71" s="11">
        <v>44</v>
      </c>
      <c r="M71" s="9">
        <v>42521</v>
      </c>
      <c r="N71" s="14">
        <f t="shared" si="4"/>
        <v>0.539629629626223</v>
      </c>
    </row>
    <row r="72" spans="1:14">
      <c r="A72" s="2"/>
      <c r="B72" s="3">
        <v>8117</v>
      </c>
      <c r="C72" s="3" t="s">
        <v>14</v>
      </c>
      <c r="D72" s="3" t="s">
        <v>15</v>
      </c>
      <c r="E72" s="3" t="s">
        <v>16</v>
      </c>
      <c r="F72" s="3" t="s">
        <v>17</v>
      </c>
      <c r="G72" s="3" t="s">
        <v>18</v>
      </c>
      <c r="H72" s="5" t="s">
        <v>41</v>
      </c>
      <c r="I72" s="5">
        <v>42521.6045601852</v>
      </c>
      <c r="J72" s="9">
        <v>42521</v>
      </c>
      <c r="K72" s="10">
        <v>0.547476851847023</v>
      </c>
      <c r="L72" s="11">
        <v>32</v>
      </c>
      <c r="M72" s="9">
        <v>42521</v>
      </c>
      <c r="N72" s="14">
        <f t="shared" si="4"/>
        <v>0.569699074069245</v>
      </c>
    </row>
    <row r="73" spans="1:14">
      <c r="A73" s="2"/>
      <c r="B73" s="3">
        <v>8142</v>
      </c>
      <c r="C73" s="3" t="s">
        <v>14</v>
      </c>
      <c r="D73" s="3" t="s">
        <v>15</v>
      </c>
      <c r="E73" s="3" t="s">
        <v>16</v>
      </c>
      <c r="F73" s="3" t="s">
        <v>17</v>
      </c>
      <c r="G73" s="3" t="s">
        <v>18</v>
      </c>
      <c r="H73" s="5" t="s">
        <v>40</v>
      </c>
      <c r="I73" s="5">
        <v>42521.8117824074</v>
      </c>
      <c r="J73" s="9">
        <v>42521</v>
      </c>
      <c r="K73" s="10">
        <v>0.574722222227138</v>
      </c>
      <c r="L73" s="11">
        <v>34</v>
      </c>
      <c r="M73" s="9">
        <v>42521</v>
      </c>
      <c r="N73" s="14">
        <f t="shared" si="4"/>
        <v>0.598333333338249</v>
      </c>
    </row>
    <row r="74" spans="1:14">
      <c r="A74" s="2"/>
      <c r="B74" s="3">
        <v>20249</v>
      </c>
      <c r="C74" s="3" t="s">
        <v>14</v>
      </c>
      <c r="D74" s="3" t="s">
        <v>15</v>
      </c>
      <c r="E74" s="3" t="s">
        <v>16</v>
      </c>
      <c r="F74" s="3" t="s">
        <v>17</v>
      </c>
      <c r="G74" s="3" t="s">
        <v>18</v>
      </c>
      <c r="H74" s="5" t="s">
        <v>39</v>
      </c>
      <c r="I74" s="5">
        <v>42521.8120949074</v>
      </c>
      <c r="J74" s="9">
        <v>42521</v>
      </c>
      <c r="K74" s="10">
        <v>0.603460648155306</v>
      </c>
      <c r="L74" s="11">
        <v>69</v>
      </c>
      <c r="M74" s="9">
        <v>42521</v>
      </c>
      <c r="N74" s="14">
        <f t="shared" si="4"/>
        <v>0.651377314821972</v>
      </c>
    </row>
    <row r="75" spans="1:14">
      <c r="A75" s="1" t="s">
        <v>74</v>
      </c>
      <c r="B75" s="3"/>
      <c r="C75" s="3"/>
      <c r="D75" s="3"/>
      <c r="E75" s="3"/>
      <c r="F75" s="3"/>
      <c r="G75" s="3"/>
      <c r="H75" s="5"/>
      <c r="I75" s="5"/>
      <c r="J75" s="9"/>
      <c r="K75" s="10"/>
      <c r="L75" s="11">
        <f>SUBTOTAL(9,L69:L74)</f>
        <v>307</v>
      </c>
      <c r="M75" s="9"/>
      <c r="N75" s="14"/>
    </row>
    <row r="76" spans="1:14">
      <c r="A76" s="2" t="str">
        <f>CONCATENATE(F76,"_",J76)</f>
        <v>C051_42520</v>
      </c>
      <c r="B76" s="3">
        <v>8139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18</v>
      </c>
      <c r="H76" s="5" t="s">
        <v>19</v>
      </c>
      <c r="I76" s="5">
        <v>42520.381412037</v>
      </c>
      <c r="J76" s="9">
        <v>42520</v>
      </c>
      <c r="K76" s="10">
        <v>0.367662037024274</v>
      </c>
      <c r="L76" s="11">
        <v>94</v>
      </c>
      <c r="M76" s="9">
        <v>42520</v>
      </c>
      <c r="N76" s="14">
        <f t="shared" ref="N76:N81" si="5">K76+TIME(,L76,)</f>
        <v>0.432939814802052</v>
      </c>
    </row>
    <row r="77" spans="1:14">
      <c r="A77" s="2"/>
      <c r="B77" s="3">
        <v>8141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18</v>
      </c>
      <c r="H77" s="5" t="s">
        <v>20</v>
      </c>
      <c r="I77" s="5">
        <v>42520.5184953704</v>
      </c>
      <c r="J77" s="9">
        <v>42520</v>
      </c>
      <c r="K77" s="10">
        <v>0.443275462952442</v>
      </c>
      <c r="L77" s="11">
        <v>101</v>
      </c>
      <c r="M77" s="9">
        <v>42520</v>
      </c>
      <c r="N77" s="14">
        <f t="shared" si="5"/>
        <v>0.513414351841331</v>
      </c>
    </row>
    <row r="78" spans="1:14">
      <c r="A78" s="2"/>
      <c r="B78" s="3">
        <v>8106</v>
      </c>
      <c r="C78" s="3" t="s">
        <v>14</v>
      </c>
      <c r="D78" s="3" t="s">
        <v>15</v>
      </c>
      <c r="E78" s="3" t="s">
        <v>16</v>
      </c>
      <c r="F78" s="3" t="s">
        <v>17</v>
      </c>
      <c r="G78" s="3" t="s">
        <v>18</v>
      </c>
      <c r="H78" s="5" t="s">
        <v>21</v>
      </c>
      <c r="I78" s="5">
        <v>42520.5394907407</v>
      </c>
      <c r="J78" s="9">
        <v>42520</v>
      </c>
      <c r="K78" s="10">
        <v>0.523043981491355</v>
      </c>
      <c r="L78" s="11">
        <v>28</v>
      </c>
      <c r="M78" s="9">
        <v>42520</v>
      </c>
      <c r="N78" s="14">
        <f t="shared" si="5"/>
        <v>0.5424884259358</v>
      </c>
    </row>
    <row r="79" spans="1:14">
      <c r="A79" s="2"/>
      <c r="B79" s="3">
        <v>8108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18</v>
      </c>
      <c r="H79" s="5" t="s">
        <v>46</v>
      </c>
      <c r="I79" s="5">
        <v>42520.5823148148</v>
      </c>
      <c r="J79" s="9">
        <v>42520</v>
      </c>
      <c r="K79" s="10">
        <v>0.548425925924676</v>
      </c>
      <c r="L79" s="11">
        <v>24</v>
      </c>
      <c r="M79" s="9">
        <v>42520</v>
      </c>
      <c r="N79" s="14">
        <f t="shared" si="5"/>
        <v>0.565092592591342</v>
      </c>
    </row>
    <row r="80" spans="1:14">
      <c r="A80" s="2"/>
      <c r="B80" s="3">
        <v>8107</v>
      </c>
      <c r="C80" s="3" t="s">
        <v>14</v>
      </c>
      <c r="D80" s="3" t="s">
        <v>15</v>
      </c>
      <c r="E80" s="3" t="s">
        <v>16</v>
      </c>
      <c r="F80" s="3" t="s">
        <v>17</v>
      </c>
      <c r="G80" s="3" t="s">
        <v>18</v>
      </c>
      <c r="H80" s="5" t="s">
        <v>51</v>
      </c>
      <c r="I80" s="5">
        <v>42520.6052083333</v>
      </c>
      <c r="J80" s="9">
        <v>42520</v>
      </c>
      <c r="K80" s="10">
        <v>0.573159722232958</v>
      </c>
      <c r="L80" s="11">
        <v>13</v>
      </c>
      <c r="M80" s="9">
        <v>42520</v>
      </c>
      <c r="N80" s="14">
        <f t="shared" si="5"/>
        <v>0.582187500010736</v>
      </c>
    </row>
    <row r="81" spans="1:14">
      <c r="A81" s="2"/>
      <c r="B81" s="3">
        <v>8104</v>
      </c>
      <c r="C81" s="3" t="s">
        <v>14</v>
      </c>
      <c r="D81" s="3" t="s">
        <v>15</v>
      </c>
      <c r="E81" s="3" t="s">
        <v>16</v>
      </c>
      <c r="F81" s="3" t="s">
        <v>17</v>
      </c>
      <c r="G81" s="3" t="s">
        <v>18</v>
      </c>
      <c r="H81" s="5" t="s">
        <v>75</v>
      </c>
      <c r="I81" s="5">
        <v>42520.6394097222</v>
      </c>
      <c r="J81" s="9">
        <v>42520</v>
      </c>
      <c r="K81" s="10">
        <v>0.592650462960592</v>
      </c>
      <c r="L81" s="11">
        <v>22</v>
      </c>
      <c r="M81" s="9">
        <v>42520</v>
      </c>
      <c r="N81" s="14">
        <f t="shared" si="5"/>
        <v>0.607928240738369</v>
      </c>
    </row>
    <row r="82" spans="1:14">
      <c r="A82" s="1" t="s">
        <v>76</v>
      </c>
      <c r="B82" s="3"/>
      <c r="C82" s="3"/>
      <c r="D82" s="3"/>
      <c r="E82" s="3"/>
      <c r="F82" s="3"/>
      <c r="G82" s="3"/>
      <c r="H82" s="5"/>
      <c r="I82" s="5"/>
      <c r="J82" s="9"/>
      <c r="K82" s="10"/>
      <c r="L82" s="11">
        <f>SUBTOTAL(9,L76:L81)</f>
        <v>282</v>
      </c>
      <c r="M82" s="9"/>
      <c r="N82" s="14"/>
    </row>
    <row r="83" spans="1:14">
      <c r="A83" s="2" t="str">
        <f>CONCATENATE(F83,"_",J83)</f>
        <v>C051_42516</v>
      </c>
      <c r="B83" s="3">
        <v>8122</v>
      </c>
      <c r="C83" s="3" t="s">
        <v>14</v>
      </c>
      <c r="D83" s="3" t="s">
        <v>15</v>
      </c>
      <c r="E83" s="3" t="s">
        <v>16</v>
      </c>
      <c r="F83" s="3" t="s">
        <v>17</v>
      </c>
      <c r="G83" s="3" t="s">
        <v>18</v>
      </c>
      <c r="H83" s="5" t="s">
        <v>26</v>
      </c>
      <c r="I83" s="5">
        <v>42516.5509490741</v>
      </c>
      <c r="J83" s="9">
        <v>42516</v>
      </c>
      <c r="K83" s="10">
        <v>0.377118055563187</v>
      </c>
      <c r="L83" s="11">
        <v>46</v>
      </c>
      <c r="M83" s="9">
        <v>42516</v>
      </c>
      <c r="N83" s="14">
        <f>K83+TIME(,L83,)</f>
        <v>0.409062500007632</v>
      </c>
    </row>
    <row r="84" spans="1:14">
      <c r="A84" s="2"/>
      <c r="B84" s="3">
        <v>8138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18</v>
      </c>
      <c r="H84" s="5" t="s">
        <v>32</v>
      </c>
      <c r="I84" s="5">
        <v>42516.5641435185</v>
      </c>
      <c r="J84" s="9">
        <v>42516</v>
      </c>
      <c r="K84" s="10">
        <v>0.420150462974561</v>
      </c>
      <c r="L84" s="11">
        <v>101</v>
      </c>
      <c r="M84" s="9">
        <v>42516</v>
      </c>
      <c r="N84" s="14">
        <f>K84+TIME(,L84,)</f>
        <v>0.49028935186345</v>
      </c>
    </row>
    <row r="85" spans="1:14">
      <c r="A85" s="2"/>
      <c r="B85" s="3">
        <v>8105</v>
      </c>
      <c r="C85" s="3" t="s">
        <v>14</v>
      </c>
      <c r="D85" s="3" t="s">
        <v>15</v>
      </c>
      <c r="E85" s="3" t="s">
        <v>16</v>
      </c>
      <c r="F85" s="3" t="s">
        <v>17</v>
      </c>
      <c r="G85" s="3" t="s">
        <v>18</v>
      </c>
      <c r="H85" s="5" t="s">
        <v>33</v>
      </c>
      <c r="I85" s="5">
        <v>42516.5844791667</v>
      </c>
      <c r="J85" s="9">
        <v>42516</v>
      </c>
      <c r="K85" s="10">
        <v>0.498229166667443</v>
      </c>
      <c r="L85" s="11">
        <v>31</v>
      </c>
      <c r="M85" s="9">
        <v>42516</v>
      </c>
      <c r="N85" s="14">
        <f>K85+TIME(,L85,)</f>
        <v>0.519756944445221</v>
      </c>
    </row>
    <row r="86" spans="1:14">
      <c r="A86" s="2"/>
      <c r="B86" s="3">
        <v>8137</v>
      </c>
      <c r="C86" s="3" t="s">
        <v>14</v>
      </c>
      <c r="D86" s="3" t="s">
        <v>15</v>
      </c>
      <c r="E86" s="3" t="s">
        <v>16</v>
      </c>
      <c r="F86" s="3" t="s">
        <v>17</v>
      </c>
      <c r="G86" s="3" t="s">
        <v>18</v>
      </c>
      <c r="H86" s="5" t="s">
        <v>34</v>
      </c>
      <c r="I86" s="5">
        <v>42516.5926157407</v>
      </c>
      <c r="J86" s="9">
        <v>42516</v>
      </c>
      <c r="K86" s="10">
        <v>0.524583333346527</v>
      </c>
      <c r="L86" s="11">
        <v>38</v>
      </c>
      <c r="M86" s="9">
        <v>42516</v>
      </c>
      <c r="N86" s="14">
        <f>K86+TIME(,L86,)</f>
        <v>0.550972222235416</v>
      </c>
    </row>
    <row r="87" spans="1:14">
      <c r="A87" s="2"/>
      <c r="B87" s="3">
        <v>8136</v>
      </c>
      <c r="C87" s="3" t="s">
        <v>14</v>
      </c>
      <c r="D87" s="3" t="s">
        <v>15</v>
      </c>
      <c r="E87" s="3" t="s">
        <v>16</v>
      </c>
      <c r="F87" s="3" t="s">
        <v>17</v>
      </c>
      <c r="G87" s="3" t="s">
        <v>18</v>
      </c>
      <c r="H87" s="5" t="s">
        <v>77</v>
      </c>
      <c r="I87" s="5">
        <v>42516.6338310185</v>
      </c>
      <c r="J87" s="9">
        <v>42516</v>
      </c>
      <c r="K87" s="10">
        <v>0.590543981496012</v>
      </c>
      <c r="L87" s="11">
        <v>33</v>
      </c>
      <c r="M87" s="9">
        <v>42516</v>
      </c>
      <c r="N87" s="14">
        <f>K87+TIME(,L87,)</f>
        <v>0.613460648162679</v>
      </c>
    </row>
    <row r="88" spans="1:14">
      <c r="A88" s="1" t="s">
        <v>78</v>
      </c>
      <c r="B88" s="3"/>
      <c r="C88" s="3"/>
      <c r="D88" s="3"/>
      <c r="E88" s="3"/>
      <c r="F88" s="3"/>
      <c r="G88" s="3"/>
      <c r="H88" s="5"/>
      <c r="I88" s="5"/>
      <c r="J88" s="9"/>
      <c r="K88" s="10"/>
      <c r="L88" s="11">
        <f>SUBTOTAL(9,L83:L87)</f>
        <v>249</v>
      </c>
      <c r="M88" s="9"/>
      <c r="N88" s="14"/>
    </row>
    <row r="89" spans="1:14">
      <c r="A89" s="2" t="str">
        <f>CONCATENATE(F89,"_",J89)</f>
        <v>C051_42515</v>
      </c>
      <c r="B89" s="3">
        <v>8125</v>
      </c>
      <c r="C89" s="3" t="s">
        <v>14</v>
      </c>
      <c r="D89" s="3" t="s">
        <v>15</v>
      </c>
      <c r="E89" s="3" t="s">
        <v>16</v>
      </c>
      <c r="F89" s="3" t="s">
        <v>17</v>
      </c>
      <c r="G89" s="3" t="s">
        <v>18</v>
      </c>
      <c r="H89" s="5" t="s">
        <v>58</v>
      </c>
      <c r="I89" s="5">
        <v>42515.4155671296</v>
      </c>
      <c r="J89" s="9">
        <v>42515</v>
      </c>
      <c r="K89" s="10">
        <v>0.397268518514466</v>
      </c>
      <c r="L89" s="11">
        <v>46</v>
      </c>
      <c r="M89" s="9">
        <v>42515</v>
      </c>
      <c r="N89" s="14">
        <f>K89+TIME(,L89,)</f>
        <v>0.42921296295891</v>
      </c>
    </row>
    <row r="90" spans="1:14">
      <c r="A90" s="2"/>
      <c r="B90" s="3">
        <v>8140</v>
      </c>
      <c r="C90" s="3" t="s">
        <v>14</v>
      </c>
      <c r="D90" s="3" t="s">
        <v>15</v>
      </c>
      <c r="E90" s="3" t="s">
        <v>16</v>
      </c>
      <c r="F90" s="3" t="s">
        <v>17</v>
      </c>
      <c r="G90" s="3" t="s">
        <v>18</v>
      </c>
      <c r="H90" s="5" t="s">
        <v>27</v>
      </c>
      <c r="I90" s="5">
        <v>42515.8848611111</v>
      </c>
      <c r="J90" s="9">
        <v>42515</v>
      </c>
      <c r="K90" s="10">
        <v>0.443032407405553</v>
      </c>
      <c r="L90" s="11">
        <v>111</v>
      </c>
      <c r="M90" s="9">
        <v>42515</v>
      </c>
      <c r="N90" s="14">
        <f>K90+TIME(,L90,)</f>
        <v>0.520115740738887</v>
      </c>
    </row>
    <row r="91" spans="1:14">
      <c r="A91" s="2"/>
      <c r="B91" s="3">
        <v>8097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18</v>
      </c>
      <c r="H91" s="5" t="s">
        <v>42</v>
      </c>
      <c r="I91" s="5">
        <v>42515.8850231481</v>
      </c>
      <c r="J91" s="9">
        <v>42515</v>
      </c>
      <c r="K91" s="10">
        <v>0.53133101851563</v>
      </c>
      <c r="L91" s="11">
        <v>49</v>
      </c>
      <c r="M91" s="9">
        <v>42515</v>
      </c>
      <c r="N91" s="14">
        <f>K91+TIME(,L91,)</f>
        <v>0.565358796293407</v>
      </c>
    </row>
    <row r="92" spans="1:14">
      <c r="A92" s="2"/>
      <c r="B92" s="3">
        <v>8123</v>
      </c>
      <c r="C92" s="3" t="s">
        <v>14</v>
      </c>
      <c r="D92" s="3" t="s">
        <v>15</v>
      </c>
      <c r="E92" s="3" t="s">
        <v>16</v>
      </c>
      <c r="F92" s="3" t="s">
        <v>17</v>
      </c>
      <c r="G92" s="3" t="s">
        <v>18</v>
      </c>
      <c r="H92" s="5" t="s">
        <v>59</v>
      </c>
      <c r="I92" s="5">
        <v>42515.8852199074</v>
      </c>
      <c r="J92" s="9">
        <v>42515</v>
      </c>
      <c r="K92" s="10">
        <v>0.567662037035916</v>
      </c>
      <c r="L92" s="11">
        <v>28</v>
      </c>
      <c r="M92" s="9">
        <v>42515</v>
      </c>
      <c r="N92" s="14">
        <f>K92+TIME(,L92,)</f>
        <v>0.58710648148036</v>
      </c>
    </row>
    <row r="93" spans="1:14">
      <c r="A93" s="2"/>
      <c r="B93" s="3">
        <v>8098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18</v>
      </c>
      <c r="H93" s="5" t="s">
        <v>38</v>
      </c>
      <c r="I93" s="5">
        <v>42515.8854166667</v>
      </c>
      <c r="J93" s="9">
        <v>42515</v>
      </c>
      <c r="K93" s="10">
        <v>0.596967592602596</v>
      </c>
      <c r="L93" s="11">
        <v>16</v>
      </c>
      <c r="M93" s="9">
        <v>42515</v>
      </c>
      <c r="N93" s="14">
        <f>K93+TIME(,L93,)</f>
        <v>0.608078703713707</v>
      </c>
    </row>
    <row r="94" spans="1:14">
      <c r="A94" s="1" t="s">
        <v>79</v>
      </c>
      <c r="B94" s="3"/>
      <c r="C94" s="3"/>
      <c r="D94" s="3"/>
      <c r="E94" s="3"/>
      <c r="F94" s="3"/>
      <c r="G94" s="3"/>
      <c r="H94" s="5"/>
      <c r="I94" s="5"/>
      <c r="J94" s="9"/>
      <c r="K94" s="10"/>
      <c r="L94" s="11">
        <f>SUBTOTAL(9,L89:L93)</f>
        <v>250</v>
      </c>
      <c r="M94" s="9"/>
      <c r="N94" s="14"/>
    </row>
    <row r="95" spans="1:14">
      <c r="A95" s="2" t="str">
        <f>CONCATENATE(F95,"_",J95)</f>
        <v>C051_42514</v>
      </c>
      <c r="B95" s="3">
        <v>8139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18</v>
      </c>
      <c r="H95" s="5" t="s">
        <v>19</v>
      </c>
      <c r="I95" s="5">
        <v>42514.3425810185</v>
      </c>
      <c r="J95" s="9">
        <v>42514</v>
      </c>
      <c r="K95" s="10">
        <v>0.381562499998836</v>
      </c>
      <c r="L95" s="11">
        <v>91</v>
      </c>
      <c r="M95" s="9">
        <v>42514</v>
      </c>
      <c r="N95" s="14">
        <f>K95+TIME(,L95,)</f>
        <v>0.44475694444328</v>
      </c>
    </row>
    <row r="96" spans="1:14">
      <c r="A96" s="2"/>
      <c r="B96" s="3">
        <v>8141</v>
      </c>
      <c r="C96" s="3" t="s">
        <v>14</v>
      </c>
      <c r="D96" s="3" t="s">
        <v>15</v>
      </c>
      <c r="E96" s="3" t="s">
        <v>16</v>
      </c>
      <c r="F96" s="3" t="s">
        <v>17</v>
      </c>
      <c r="G96" s="3" t="s">
        <v>18</v>
      </c>
      <c r="H96" s="5" t="s">
        <v>20</v>
      </c>
      <c r="I96" s="5">
        <v>42514.458275463</v>
      </c>
      <c r="J96" s="9">
        <v>42514</v>
      </c>
      <c r="K96" s="10">
        <v>0.466018518520286</v>
      </c>
      <c r="L96" s="11">
        <v>113</v>
      </c>
      <c r="M96" s="9">
        <v>42514</v>
      </c>
      <c r="N96" s="14">
        <f>K96+TIME(,L96,)</f>
        <v>0.544490740742509</v>
      </c>
    </row>
    <row r="97" spans="1:14">
      <c r="A97" s="2"/>
      <c r="B97" s="3">
        <v>8124</v>
      </c>
      <c r="C97" s="3" t="s">
        <v>14</v>
      </c>
      <c r="D97" s="3" t="s">
        <v>15</v>
      </c>
      <c r="E97" s="3" t="s">
        <v>16</v>
      </c>
      <c r="F97" s="3" t="s">
        <v>17</v>
      </c>
      <c r="G97" s="3" t="s">
        <v>18</v>
      </c>
      <c r="H97" s="5" t="s">
        <v>49</v>
      </c>
      <c r="I97" s="5">
        <v>42514.5820717593</v>
      </c>
      <c r="J97" s="9">
        <v>42514</v>
      </c>
      <c r="K97" s="10">
        <v>0.55162037035916</v>
      </c>
      <c r="L97" s="11">
        <v>28</v>
      </c>
      <c r="M97" s="9">
        <v>42514</v>
      </c>
      <c r="N97" s="14">
        <f>K97+TIME(,L97,)</f>
        <v>0.571064814803604</v>
      </c>
    </row>
    <row r="98" spans="1:14">
      <c r="A98" s="2"/>
      <c r="B98" s="3">
        <v>8100</v>
      </c>
      <c r="C98" s="3" t="s">
        <v>14</v>
      </c>
      <c r="D98" s="3" t="s">
        <v>15</v>
      </c>
      <c r="E98" s="3" t="s">
        <v>16</v>
      </c>
      <c r="F98" s="3" t="s">
        <v>17</v>
      </c>
      <c r="G98" s="3" t="s">
        <v>18</v>
      </c>
      <c r="H98" s="5" t="s">
        <v>47</v>
      </c>
      <c r="I98" s="5">
        <v>42514.6161342593</v>
      </c>
      <c r="J98" s="9">
        <v>42514</v>
      </c>
      <c r="K98" s="10">
        <v>0.573645833326736</v>
      </c>
      <c r="L98" s="11">
        <v>44</v>
      </c>
      <c r="M98" s="9">
        <v>42514</v>
      </c>
      <c r="N98" s="14">
        <f>K98+TIME(,L98,)</f>
        <v>0.604201388882292</v>
      </c>
    </row>
    <row r="99" spans="1:14">
      <c r="A99" s="1" t="s">
        <v>80</v>
      </c>
      <c r="B99" s="3"/>
      <c r="C99" s="3"/>
      <c r="D99" s="3"/>
      <c r="E99" s="3"/>
      <c r="F99" s="3"/>
      <c r="G99" s="3"/>
      <c r="H99" s="5"/>
      <c r="I99" s="5"/>
      <c r="J99" s="9"/>
      <c r="K99" s="10"/>
      <c r="L99" s="11">
        <f>SUBTOTAL(9,L95:L98)</f>
        <v>276</v>
      </c>
      <c r="M99" s="9"/>
      <c r="N99" s="14"/>
    </row>
    <row r="100" spans="1:14">
      <c r="A100" s="2" t="str">
        <f>CONCATENATE(F100,"_",J100)</f>
        <v>C051_42509</v>
      </c>
      <c r="B100" s="3">
        <v>8141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18</v>
      </c>
      <c r="H100" s="5" t="s">
        <v>20</v>
      </c>
      <c r="I100" s="5">
        <v>42509.3443402778</v>
      </c>
      <c r="J100" s="9">
        <v>42509</v>
      </c>
      <c r="K100" s="10">
        <v>0.311377314821584</v>
      </c>
      <c r="L100" s="11">
        <v>88</v>
      </c>
      <c r="M100" s="9">
        <v>42509</v>
      </c>
      <c r="N100" s="14">
        <f>K100+TIME(,L100,)</f>
        <v>0.372488425932695</v>
      </c>
    </row>
    <row r="101" spans="1:14">
      <c r="A101" s="2"/>
      <c r="B101" s="3">
        <v>8115</v>
      </c>
      <c r="C101" s="3" t="s">
        <v>14</v>
      </c>
      <c r="D101" s="3" t="s">
        <v>15</v>
      </c>
      <c r="E101" s="3" t="s">
        <v>16</v>
      </c>
      <c r="F101" s="3" t="s">
        <v>17</v>
      </c>
      <c r="G101" s="3" t="s">
        <v>18</v>
      </c>
      <c r="H101" s="5" t="s">
        <v>81</v>
      </c>
      <c r="I101" s="5">
        <v>42509.416724537</v>
      </c>
      <c r="J101" s="9">
        <v>42509</v>
      </c>
      <c r="K101" s="10">
        <v>0.452627314807614</v>
      </c>
      <c r="L101" s="11">
        <v>29</v>
      </c>
      <c r="M101" s="9">
        <v>42509</v>
      </c>
      <c r="N101" s="14">
        <f>K101+TIME(,L101,)</f>
        <v>0.472766203696503</v>
      </c>
    </row>
    <row r="102" spans="1:14">
      <c r="A102" s="2"/>
      <c r="B102" s="3">
        <v>8108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18</v>
      </c>
      <c r="H102" s="5" t="s">
        <v>46</v>
      </c>
      <c r="I102" s="5">
        <v>42509.4406134259</v>
      </c>
      <c r="J102" s="9">
        <v>42509</v>
      </c>
      <c r="K102" s="10">
        <v>0.476712962961756</v>
      </c>
      <c r="L102" s="11">
        <v>60</v>
      </c>
      <c r="M102" s="9">
        <v>42509</v>
      </c>
      <c r="N102" s="14">
        <f>K102+TIME(,L102,)</f>
        <v>0.518379629628422</v>
      </c>
    </row>
    <row r="103" spans="1:14">
      <c r="A103" s="2"/>
      <c r="B103" s="3">
        <v>8138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18</v>
      </c>
      <c r="H103" s="5" t="s">
        <v>32</v>
      </c>
      <c r="I103" s="5">
        <v>42509.5470601852</v>
      </c>
      <c r="J103" s="9">
        <v>42509</v>
      </c>
      <c r="K103" s="10">
        <v>0.532280092593282</v>
      </c>
      <c r="L103" s="11">
        <v>101</v>
      </c>
      <c r="M103" s="9">
        <v>42509</v>
      </c>
      <c r="N103" s="14">
        <f>K103+TIME(,L103,)</f>
        <v>0.602418981482171</v>
      </c>
    </row>
    <row r="104" spans="1:14">
      <c r="A104" s="1" t="s">
        <v>82</v>
      </c>
      <c r="B104" s="3"/>
      <c r="C104" s="3"/>
      <c r="D104" s="3"/>
      <c r="E104" s="3"/>
      <c r="F104" s="3"/>
      <c r="G104" s="3"/>
      <c r="H104" s="5"/>
      <c r="I104" s="5"/>
      <c r="J104" s="9"/>
      <c r="K104" s="10"/>
      <c r="L104" s="11">
        <f>SUBTOTAL(9,L100:L103)</f>
        <v>278</v>
      </c>
      <c r="M104" s="9"/>
      <c r="N104" s="14"/>
    </row>
  </sheetData>
  <mergeCells count="17">
    <mergeCell ref="A2:A7"/>
    <mergeCell ref="A9:A13"/>
    <mergeCell ref="A15:A19"/>
    <mergeCell ref="A21:A26"/>
    <mergeCell ref="A28:A32"/>
    <mergeCell ref="A34:A39"/>
    <mergeCell ref="A41:A44"/>
    <mergeCell ref="A46:A49"/>
    <mergeCell ref="A51:A54"/>
    <mergeCell ref="A56:A61"/>
    <mergeCell ref="A63:A67"/>
    <mergeCell ref="A69:A74"/>
    <mergeCell ref="A76:A81"/>
    <mergeCell ref="A83:A87"/>
    <mergeCell ref="A89:A93"/>
    <mergeCell ref="A95:A98"/>
    <mergeCell ref="A100:A10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2024-11-30T22:48:00Z</dcterms:created>
  <dcterms:modified xsi:type="dcterms:W3CDTF">2024-12-05T15:35:59Z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3D8F44B28B9F18AA940D5067735A5EE9_42</vt:lpwstr>
  </property>
  <property fmtid="{D5CDD505-2E9C-101B-9397-08002B2CF9AE}" pid="3" name="KSOProductBuildVer">
    <vt:lpwstr>2052-6.8.2.8850</vt:lpwstr>
  </property>
</Properties>
</file>