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Table 3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<sst xmlns="http://schemas.openxmlformats.org/spreadsheetml/2006/main" count="141" uniqueCount="110">
  <si>
    <t>Table 3. General Inactivation Results. 3,000 mg NaOCl/liter</t>
  </si>
  <si>
    <t>Wash Water</t>
  </si>
  <si>
    <t>Test #</t>
  </si>
  <si>
    <t>Temp °C</t>
  </si>
  <si>
    <t>pH of water</t>
  </si>
  <si>
    <r>
      <rPr>
        <b/>
        <sz val="11"/>
        <color theme="1"/>
        <rFont val="宋体"/>
        <charset val="134"/>
        <scheme val="minor"/>
      </rPr>
      <t>pH after Cl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addition</t>
    </r>
  </si>
  <si>
    <r>
      <rPr>
        <b/>
        <sz val="11"/>
        <color theme="1"/>
        <rFont val="宋体"/>
        <charset val="134"/>
        <scheme val="minor"/>
      </rPr>
      <t>LI</t>
    </r>
    <r>
      <rPr>
        <b/>
        <vertAlign val="subscript"/>
        <sz val="11"/>
        <color theme="1"/>
        <rFont val="宋体"/>
        <charset val="134"/>
        <scheme val="minor"/>
      </rPr>
      <t>max</t>
    </r>
  </si>
  <si>
    <r>
      <rPr>
        <b/>
        <sz val="11"/>
        <color theme="1"/>
        <rFont val="宋体"/>
        <charset val="134"/>
        <scheme val="minor"/>
      </rPr>
      <t>T</t>
    </r>
    <r>
      <rPr>
        <b/>
        <vertAlign val="subscript"/>
        <sz val="11"/>
        <color theme="1"/>
        <rFont val="宋体"/>
        <charset val="134"/>
        <scheme val="minor"/>
      </rPr>
      <t>max</t>
    </r>
    <r>
      <rPr>
        <b/>
        <sz val="11"/>
        <color theme="1"/>
        <rFont val="宋体"/>
        <charset val="134"/>
        <scheme val="minor"/>
      </rPr>
      <t>, sample time for LI</t>
    </r>
    <r>
      <rPr>
        <b/>
        <vertAlign val="subscript"/>
        <sz val="11"/>
        <color theme="1"/>
        <rFont val="宋体"/>
        <charset val="134"/>
        <scheme val="minor"/>
      </rPr>
      <t>max</t>
    </r>
    <r>
      <rPr>
        <b/>
        <sz val="11"/>
        <color theme="1"/>
        <rFont val="宋体"/>
        <charset val="134"/>
        <scheme val="minor"/>
      </rPr>
      <t xml:space="preserve"> (min)</t>
    </r>
  </si>
  <si>
    <r>
      <rPr>
        <b/>
        <sz val="11"/>
        <color theme="1"/>
        <rFont val="宋体"/>
        <charset val="134"/>
        <scheme val="minor"/>
      </rPr>
      <t>T</t>
    </r>
    <r>
      <rPr>
        <b/>
        <vertAlign val="subscript"/>
        <sz val="11"/>
        <color theme="1"/>
        <rFont val="宋体"/>
        <charset val="134"/>
        <scheme val="minor"/>
      </rPr>
      <t>6log</t>
    </r>
    <r>
      <rPr>
        <b/>
        <sz val="11"/>
        <color theme="1"/>
        <rFont val="宋体"/>
        <charset val="134"/>
        <scheme val="minor"/>
      </rPr>
      <t>,      time for 6 log kill,  (min)</t>
    </r>
  </si>
  <si>
    <t>σ</t>
  </si>
  <si>
    <r>
      <rPr>
        <b/>
        <sz val="11"/>
        <color theme="1"/>
        <rFont val="宋体"/>
        <charset val="134"/>
        <scheme val="minor"/>
      </rPr>
      <t># of points for  T</t>
    </r>
    <r>
      <rPr>
        <b/>
        <vertAlign val="subscript"/>
        <sz val="11"/>
        <color theme="1"/>
        <rFont val="宋体"/>
        <charset val="134"/>
        <scheme val="minor"/>
      </rPr>
      <t>6log</t>
    </r>
    <r>
      <rPr>
        <b/>
        <sz val="11"/>
        <color theme="1"/>
        <rFont val="宋体"/>
        <charset val="134"/>
        <scheme val="minor"/>
      </rPr>
      <t xml:space="preserve"> calc.</t>
    </r>
  </si>
  <si>
    <r>
      <rPr>
        <b/>
        <sz val="11"/>
        <color theme="1"/>
        <rFont val="宋体"/>
        <charset val="134"/>
        <scheme val="minor"/>
      </rPr>
      <t>R</t>
    </r>
    <r>
      <rPr>
        <b/>
        <vertAlign val="superscript"/>
        <sz val="11"/>
        <color theme="1"/>
        <rFont val="宋体"/>
        <charset val="134"/>
        <scheme val="minor"/>
      </rPr>
      <t>2</t>
    </r>
  </si>
  <si>
    <r>
      <rPr>
        <b/>
        <sz val="11"/>
        <color theme="1"/>
        <rFont val="宋体"/>
        <charset val="134"/>
        <scheme val="minor"/>
      </rPr>
      <t>t</t>
    </r>
    <r>
      <rPr>
        <b/>
        <vertAlign val="subscript"/>
        <sz val="11"/>
        <color theme="1"/>
        <rFont val="宋体"/>
        <charset val="134"/>
        <scheme val="minor"/>
      </rPr>
      <t>max</t>
    </r>
    <r>
      <rPr>
        <b/>
        <sz val="11"/>
        <color theme="1"/>
        <rFont val="宋体"/>
        <charset val="134"/>
        <scheme val="minor"/>
      </rPr>
      <t xml:space="preserve">       (min)</t>
    </r>
  </si>
  <si>
    <r>
      <rPr>
        <b/>
        <sz val="11"/>
        <color theme="1"/>
        <rFont val="宋体"/>
        <charset val="134"/>
        <scheme val="minor"/>
      </rPr>
      <t>t</t>
    </r>
    <r>
      <rPr>
        <b/>
        <vertAlign val="subscript"/>
        <sz val="11"/>
        <color theme="1"/>
        <rFont val="宋体"/>
        <charset val="134"/>
        <scheme val="minor"/>
      </rPr>
      <t>max</t>
    </r>
    <r>
      <rPr>
        <b/>
        <sz val="11"/>
        <color theme="1"/>
        <rFont val="宋体"/>
        <charset val="134"/>
        <scheme val="minor"/>
      </rPr>
      <t>/T</t>
    </r>
    <r>
      <rPr>
        <b/>
        <vertAlign val="subscript"/>
        <sz val="11"/>
        <color theme="1"/>
        <rFont val="宋体"/>
        <charset val="134"/>
        <scheme val="minor"/>
      </rPr>
      <t>max</t>
    </r>
  </si>
  <si>
    <t>A. Floor wash water</t>
  </si>
  <si>
    <t>1a</t>
  </si>
  <si>
    <t>≥ 6.88</t>
  </si>
  <si>
    <t>NA</t>
  </si>
  <si>
    <t xml:space="preserve"> w/1% Alconox</t>
  </si>
  <si>
    <t>1b</t>
  </si>
  <si>
    <t>≥ 7.04</t>
  </si>
  <si>
    <t>1c</t>
  </si>
  <si>
    <t xml:space="preserve"> ≥ 7.11</t>
  </si>
  <si>
    <r>
      <rPr>
        <b/>
        <sz val="10.5"/>
        <color theme="1"/>
        <rFont val="宋体"/>
        <charset val="134"/>
        <scheme val="minor"/>
      </rPr>
      <t xml:space="preserve">Avg. </t>
    </r>
    <r>
      <rPr>
        <b/>
        <i/>
        <sz val="10.5"/>
        <color theme="1"/>
        <rFont val="宋体"/>
        <charset val="134"/>
        <scheme val="minor"/>
      </rPr>
      <t>(std. dev)</t>
    </r>
  </si>
  <si>
    <t>12a</t>
  </si>
  <si>
    <t>≥ 7.17</t>
  </si>
  <si>
    <t>12b</t>
  </si>
  <si>
    <t>12c</t>
  </si>
  <si>
    <t>≥ 7.26</t>
  </si>
  <si>
    <t xml:space="preserve">B. Floor wash water </t>
  </si>
  <si>
    <t>3a</t>
  </si>
  <si>
    <t>≥ 6.1</t>
  </si>
  <si>
    <t xml:space="preserve">w/1% Alconox and </t>
  </si>
  <si>
    <t>3b</t>
  </si>
  <si>
    <t>≥ 7.23</t>
  </si>
  <si>
    <t>added hardness</t>
  </si>
  <si>
    <t>3c</t>
  </si>
  <si>
    <t>≥ 7.15</t>
  </si>
  <si>
    <t>14a</t>
  </si>
  <si>
    <t>≥ 7.09</t>
  </si>
  <si>
    <t>14b</t>
  </si>
  <si>
    <t>≥ 7.11</t>
  </si>
  <si>
    <t>14c</t>
  </si>
  <si>
    <t>C. PPE wash water</t>
  </si>
  <si>
    <t>5a</t>
  </si>
  <si>
    <t>≥ 7.48</t>
  </si>
  <si>
    <t>w/1% Alconox</t>
  </si>
  <si>
    <t>5b</t>
  </si>
  <si>
    <t>≥ 7.80</t>
  </si>
  <si>
    <t>5c</t>
  </si>
  <si>
    <t>≥ 6.61</t>
  </si>
  <si>
    <t>16a</t>
  </si>
  <si>
    <t>≥ 7.14</t>
  </si>
  <si>
    <t>16b</t>
  </si>
  <si>
    <t>16crR</t>
  </si>
  <si>
    <t>≥ 7.45</t>
  </si>
  <si>
    <t>D. PPE wash water</t>
  </si>
  <si>
    <t>7a</t>
  </si>
  <si>
    <t>≥ 7.12</t>
  </si>
  <si>
    <t>7b</t>
  </si>
  <si>
    <t>7c</t>
  </si>
  <si>
    <t>≥ 6.99</t>
  </si>
  <si>
    <t>18a</t>
  </si>
  <si>
    <t>18b</t>
  </si>
  <si>
    <t>18c</t>
  </si>
  <si>
    <t>≥ 7.18</t>
  </si>
  <si>
    <t>E. Car wash water</t>
  </si>
  <si>
    <t>10a</t>
  </si>
  <si>
    <t>w/1% Dawn®</t>
  </si>
  <si>
    <t>10b</t>
  </si>
  <si>
    <t>≥ 7.07</t>
  </si>
  <si>
    <t>10c</t>
  </si>
  <si>
    <t>≥ 7.00</t>
  </si>
  <si>
    <t>21a</t>
  </si>
  <si>
    <t>21b</t>
  </si>
  <si>
    <t>21c</t>
  </si>
  <si>
    <t>F. Storm water</t>
  </si>
  <si>
    <t>9a</t>
  </si>
  <si>
    <t>from parking lot</t>
  </si>
  <si>
    <t>9aR</t>
  </si>
  <si>
    <t>9b</t>
  </si>
  <si>
    <t>≥ 7.46</t>
  </si>
  <si>
    <t>9c</t>
  </si>
  <si>
    <t>20a</t>
  </si>
  <si>
    <t>≥7.48</t>
  </si>
  <si>
    <t>20b</t>
  </si>
  <si>
    <t>20c</t>
  </si>
  <si>
    <t>≥ 8.41</t>
  </si>
  <si>
    <t xml:space="preserve">G. Rusty water, high </t>
  </si>
  <si>
    <t>11a</t>
  </si>
  <si>
    <t>iron content</t>
  </si>
  <si>
    <t>11b</t>
  </si>
  <si>
    <t>11c</t>
  </si>
  <si>
    <t>22a</t>
  </si>
  <si>
    <t>22b</t>
  </si>
  <si>
    <t>22c</t>
  </si>
  <si>
    <t xml:space="preserve">H. Floor wash water, </t>
  </si>
  <si>
    <t>27aR</t>
  </si>
  <si>
    <t>≥ 7.38</t>
  </si>
  <si>
    <t xml:space="preserve">w/ 1% Alconox and </t>
  </si>
  <si>
    <t>27bR</t>
  </si>
  <si>
    <t>≥ 7.57</t>
  </si>
  <si>
    <t>1.9 mg/l motor oil</t>
  </si>
  <si>
    <t>27c</t>
  </si>
  <si>
    <t>≥ 7.32</t>
  </si>
  <si>
    <t>28a</t>
  </si>
  <si>
    <t>≥ 7.35</t>
  </si>
  <si>
    <t>28b</t>
  </si>
  <si>
    <t>28c</t>
  </si>
  <si>
    <t>≥ 7.40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</si>
</sst>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name val="宋体"/>
      <charset val="134"/>
      <scheme val="minor"/>
    </font>
    <font>
      <b/>
      <sz val="10.5"/>
      <name val="宋体"/>
      <charset val="134"/>
      <scheme val="minor"/>
    </font>
    <font>
      <b/>
      <i/>
      <sz val="10.5"/>
      <color theme="1"/>
      <name val="宋体"/>
      <charset val="134"/>
      <scheme val="minor"/>
    </font>
    <font>
      <i/>
      <sz val="10.5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vertAlign val="subscript"/>
      <sz val="11"/>
      <color theme="1"/>
      <name val="宋体"/>
      <charset val="134"/>
      <scheme val="minor"/>
    </font>
    <font>
      <b/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medium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8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8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176" fontId="3" fillId="0" borderId="2" xfId="0" applyNumberFormat="1" applyFont="1" applyBorder="1"/>
    <xf numFmtId="2" fontId="3" fillId="0" borderId="2" xfId="0" applyNumberFormat="1" applyFont="1" applyBorder="1"/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176" fontId="2" fillId="0" borderId="3" xfId="0" applyNumberFormat="1" applyFont="1" applyBorder="1"/>
    <xf numFmtId="2" fontId="2" fillId="0" borderId="3" xfId="0" applyNumberFormat="1" applyFont="1" applyBorder="1"/>
    <xf numFmtId="0" fontId="3" fillId="0" borderId="2" xfId="0" applyFont="1" applyBorder="1"/>
    <xf numFmtId="0" fontId="2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176" fontId="2" fillId="0" borderId="4" xfId="0" applyNumberFormat="1" applyFont="1" applyBorder="1"/>
    <xf numFmtId="2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176" fontId="2" fillId="0" borderId="2" xfId="0" applyNumberFormat="1" applyFont="1" applyBorder="1"/>
    <xf numFmtId="2" fontId="2" fillId="0" borderId="2" xfId="0" applyNumberFormat="1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76" fontId="3" fillId="0" borderId="5" xfId="0" applyNumberFormat="1" applyFont="1" applyBorder="1"/>
    <xf numFmtId="2" fontId="3" fillId="0" borderId="5" xfId="0" applyNumberFormat="1" applyFont="1" applyBorder="1"/>
    <xf numFmtId="0" fontId="2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/>
    <xf numFmtId="0" fontId="2" fillId="0" borderId="2" xfId="0" applyFont="1" applyBorder="1"/>
    <xf numFmtId="0" fontId="1" fillId="0" borderId="6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/>
    </xf>
    <xf numFmtId="1" fontId="3" fillId="0" borderId="0" xfId="0" applyNumberFormat="1" applyFont="1"/>
    <xf numFmtId="2" fontId="3" fillId="0" borderId="2" xfId="0" applyNumberFormat="1" applyFont="1" applyBorder="1" applyAlignment="1"/>
    <xf numFmtId="1" fontId="2" fillId="0" borderId="7" xfId="0" applyNumberFormat="1" applyFont="1" applyBorder="1"/>
    <xf numFmtId="2" fontId="4" fillId="0" borderId="2" xfId="0" applyNumberFormat="1" applyFont="1" applyBorder="1"/>
    <xf numFmtId="2" fontId="2" fillId="0" borderId="4" xfId="0" applyNumberFormat="1" applyFont="1" applyBorder="1" applyAlignment="1"/>
    <xf numFmtId="1" fontId="2" fillId="0" borderId="8" xfId="0" applyNumberFormat="1" applyFont="1" applyBorder="1"/>
    <xf numFmtId="1" fontId="3" fillId="0" borderId="0" xfId="0" applyNumberFormat="1" applyFont="1" applyBorder="1"/>
    <xf numFmtId="1" fontId="2" fillId="0" borderId="0" xfId="0" applyNumberFormat="1" applyFont="1"/>
    <xf numFmtId="2" fontId="4" fillId="0" borderId="5" xfId="49" applyNumberFormat="1" applyFont="1" applyBorder="1"/>
    <xf numFmtId="2" fontId="3" fillId="0" borderId="5" xfId="0" applyNumberFormat="1" applyFont="1" applyBorder="1" applyAlignment="1">
      <alignment horizontal="right"/>
    </xf>
    <xf numFmtId="1" fontId="3" fillId="0" borderId="9" xfId="0" applyNumberFormat="1" applyFont="1" applyBorder="1"/>
    <xf numFmtId="2" fontId="4" fillId="0" borderId="2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5" fillId="0" borderId="2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2" fontId="5" fillId="0" borderId="4" xfId="0" applyNumberFormat="1" applyFont="1" applyBorder="1" applyAlignment="1">
      <alignment horizontal="right"/>
    </xf>
    <xf numFmtId="1" fontId="3" fillId="0" borderId="2" xfId="0" applyNumberFormat="1" applyFont="1" applyBorder="1"/>
    <xf numFmtId="0" fontId="1" fillId="0" borderId="10" xfId="0" applyFont="1" applyBorder="1" applyAlignment="1">
      <alignment horizontal="center" vertical="center" wrapText="1"/>
    </xf>
    <xf numFmtId="2" fontId="3" fillId="0" borderId="11" xfId="0" applyNumberFormat="1" applyFont="1" applyBorder="1"/>
    <xf numFmtId="1" fontId="3" fillId="0" borderId="2" xfId="0" applyNumberFormat="1" applyFont="1" applyBorder="1" applyAlignment="1">
      <alignment horizontal="center"/>
    </xf>
    <xf numFmtId="177" fontId="3" fillId="0" borderId="2" xfId="0" applyNumberFormat="1" applyFont="1" applyBorder="1" applyAlignment="1">
      <alignment horizontal="right"/>
    </xf>
    <xf numFmtId="2" fontId="6" fillId="0" borderId="12" xfId="0" applyNumberFormat="1" applyFont="1" applyBorder="1"/>
    <xf numFmtId="1" fontId="7" fillId="0" borderId="3" xfId="0" applyNumberFormat="1" applyFont="1" applyBorder="1" applyAlignment="1">
      <alignment horizontal="center"/>
    </xf>
    <xf numFmtId="177" fontId="7" fillId="0" borderId="3" xfId="0" applyNumberFormat="1" applyFont="1" applyBorder="1" applyAlignment="1">
      <alignment horizontal="right"/>
    </xf>
    <xf numFmtId="2" fontId="6" fillId="0" borderId="13" xfId="0" applyNumberFormat="1" applyFont="1" applyBorder="1"/>
    <xf numFmtId="1" fontId="2" fillId="0" borderId="4" xfId="0" applyNumberFormat="1" applyFont="1" applyBorder="1" applyAlignment="1">
      <alignment horizontal="center"/>
    </xf>
    <xf numFmtId="177" fontId="2" fillId="0" borderId="4" xfId="0" applyNumberFormat="1" applyFont="1" applyBorder="1" applyAlignment="1">
      <alignment horizontal="right"/>
    </xf>
    <xf numFmtId="2" fontId="6" fillId="0" borderId="11" xfId="0" applyNumberFormat="1" applyFont="1" applyBorder="1"/>
    <xf numFmtId="1" fontId="2" fillId="0" borderId="2" xfId="0" applyNumberFormat="1" applyFont="1" applyBorder="1" applyAlignment="1">
      <alignment horizontal="center"/>
    </xf>
    <xf numFmtId="177" fontId="2" fillId="0" borderId="2" xfId="0" applyNumberFormat="1" applyFont="1" applyBorder="1" applyAlignment="1">
      <alignment horizontal="right"/>
    </xf>
    <xf numFmtId="2" fontId="3" fillId="0" borderId="14" xfId="0" applyNumberFormat="1" applyFont="1" applyBorder="1"/>
    <xf numFmtId="1" fontId="3" fillId="0" borderId="5" xfId="0" applyNumberFormat="1" applyFont="1" applyBorder="1" applyAlignment="1">
      <alignment horizontal="center"/>
    </xf>
    <xf numFmtId="177" fontId="3" fillId="0" borderId="5" xfId="0" applyNumberFormat="1" applyFont="1" applyBorder="1" applyAlignment="1">
      <alignment horizontal="right"/>
    </xf>
    <xf numFmtId="1" fontId="3" fillId="0" borderId="2" xfId="0" applyNumberFormat="1" applyFont="1" applyFill="1" applyBorder="1" applyAlignment="1">
      <alignment horizontal="center"/>
    </xf>
    <xf numFmtId="0" fontId="0" fillId="0" borderId="0" xfId="0" applyFont="1"/>
    <xf numFmtId="1" fontId="3" fillId="0" borderId="3" xfId="0" applyNumberFormat="1" applyFont="1" applyBorder="1"/>
    <xf numFmtId="2" fontId="3" fillId="0" borderId="3" xfId="0" applyNumberFormat="1" applyFont="1" applyBorder="1"/>
    <xf numFmtId="1" fontId="2" fillId="0" borderId="4" xfId="0" applyNumberFormat="1" applyFont="1" applyBorder="1"/>
    <xf numFmtId="1" fontId="2" fillId="0" borderId="2" xfId="0" applyNumberFormat="1" applyFont="1" applyBorder="1"/>
    <xf numFmtId="1" fontId="3" fillId="0" borderId="5" xfId="0" applyNumberFormat="1" applyFont="1" applyBorder="1"/>
    <xf numFmtId="0" fontId="3" fillId="0" borderId="0" xfId="0" applyFont="1" applyBorder="1"/>
    <xf numFmtId="176" fontId="3" fillId="0" borderId="0" xfId="0" applyNumberFormat="1" applyFont="1" applyBorder="1"/>
    <xf numFmtId="176" fontId="0" fillId="0" borderId="0" xfId="0" applyNumberFormat="1"/>
    <xf numFmtId="2" fontId="5" fillId="0" borderId="3" xfId="0" applyNumberFormat="1" applyFont="1" applyBorder="1" applyAlignment="1">
      <alignment horizontal="right"/>
    </xf>
    <xf numFmtId="2" fontId="3" fillId="0" borderId="0" xfId="0" applyNumberFormat="1" applyFont="1" applyBorder="1"/>
    <xf numFmtId="1" fontId="2" fillId="0" borderId="3" xfId="0" applyNumberFormat="1" applyFont="1" applyBorder="1" applyAlignment="1">
      <alignment horizontal="center"/>
    </xf>
    <xf numFmtId="177" fontId="2" fillId="0" borderId="3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center"/>
    </xf>
    <xf numFmtId="177" fontId="3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8" fillId="0" borderId="0" xfId="0" applyFont="1"/>
    <xf numFmtId="1" fontId="2" fillId="0" borderId="3" xfId="0" applyNumberFormat="1" applyFont="1" applyBorder="1"/>
    <xf numFmtId="1" fontId="0" fillId="0" borderId="0" xfId="0" applyNumberFormat="1"/>
    <xf numFmtId="2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vironment-table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 3"/>
      <sheetName val="Test Conditions"/>
      <sheetName val="3a"/>
      <sheetName val="3b"/>
      <sheetName val="3c"/>
      <sheetName val="7a"/>
      <sheetName val="7b"/>
      <sheetName val="7c"/>
      <sheetName val="14a"/>
      <sheetName val="14b"/>
      <sheetName val="14c"/>
      <sheetName val="18a"/>
      <sheetName val="18b"/>
      <sheetName val="18c"/>
      <sheetName val="22a"/>
      <sheetName val="22b"/>
      <sheetName val="22c"/>
      <sheetName val="11a"/>
      <sheetName val="11b"/>
      <sheetName val="11c"/>
      <sheetName val="21a"/>
      <sheetName val="21b"/>
      <sheetName val="21c"/>
      <sheetName val="21d"/>
      <sheetName val="21e"/>
      <sheetName val="21f"/>
      <sheetName val="21g"/>
      <sheetName val="21h"/>
      <sheetName val="21i"/>
      <sheetName val="21j"/>
      <sheetName val="21k"/>
      <sheetName val="21l"/>
      <sheetName val="21m"/>
      <sheetName val="21o"/>
      <sheetName val="21p"/>
      <sheetName val="21q"/>
      <sheetName val="10a"/>
      <sheetName val="10b"/>
      <sheetName val="10c"/>
      <sheetName val="10d"/>
      <sheetName val="10e"/>
      <sheetName val="10eR"/>
      <sheetName val="10f"/>
      <sheetName val="10g"/>
      <sheetName val="10h"/>
      <sheetName val="10i"/>
      <sheetName val="1a"/>
      <sheetName val="1b"/>
      <sheetName val="1c"/>
      <sheetName val="12a"/>
      <sheetName val="12b"/>
      <sheetName val="12c"/>
      <sheetName val="16a"/>
      <sheetName val="16b"/>
      <sheetName val="16cR"/>
      <sheetName val="5a"/>
      <sheetName val="5b"/>
      <sheetName val="5c"/>
      <sheetName val="9a"/>
      <sheetName val="9aR"/>
      <sheetName val="9b"/>
      <sheetName val="9c"/>
      <sheetName val="20a"/>
      <sheetName val="20b"/>
      <sheetName val="20c"/>
      <sheetName val="27aR"/>
      <sheetName val="27bR"/>
      <sheetName val="27c"/>
      <sheetName val="28a"/>
      <sheetName val="28b"/>
      <sheetName val="28c"/>
      <sheetName val="PM 4C 0hr"/>
      <sheetName val="PM 4C 48hr R"/>
      <sheetName val="PM 4C 96hr R"/>
      <sheetName val="PM 20C 0hr"/>
      <sheetName val="PM 20C 48hr R"/>
      <sheetName val="PM 20C 96hr R2"/>
    </sheetNames>
    <sheetDataSet>
      <sheetData sheetId="0"/>
      <sheetData sheetId="1"/>
      <sheetData sheetId="2">
        <row r="18">
          <cell r="S18">
            <v>6.31034482758621</v>
          </cell>
        </row>
      </sheetData>
      <sheetData sheetId="3">
        <row r="18">
          <cell r="S18">
            <v>7.00541464804788</v>
          </cell>
        </row>
      </sheetData>
      <sheetData sheetId="4">
        <row r="19">
          <cell r="S19">
            <v>6.92395328966107</v>
          </cell>
        </row>
      </sheetData>
      <sheetData sheetId="5">
        <row r="19">
          <cell r="S19">
            <v>5.5625</v>
          </cell>
        </row>
      </sheetData>
      <sheetData sheetId="6">
        <row r="19">
          <cell r="S19">
            <v>5.97493036211699</v>
          </cell>
        </row>
      </sheetData>
      <sheetData sheetId="7">
        <row r="19">
          <cell r="S19">
            <v>7.3374498301945</v>
          </cell>
        </row>
      </sheetData>
      <sheetData sheetId="8">
        <row r="19">
          <cell r="S19">
            <v>19.9344053004149</v>
          </cell>
        </row>
      </sheetData>
      <sheetData sheetId="9">
        <row r="19">
          <cell r="S19">
            <v>13.4742003342189</v>
          </cell>
        </row>
      </sheetData>
      <sheetData sheetId="10">
        <row r="19">
          <cell r="S19">
            <v>23.853065591465</v>
          </cell>
        </row>
      </sheetData>
      <sheetData sheetId="11">
        <row r="19">
          <cell r="S19">
            <v>15.5550737371591</v>
          </cell>
        </row>
      </sheetData>
      <sheetData sheetId="12">
        <row r="19">
          <cell r="S19">
            <v>12.107105809366</v>
          </cell>
        </row>
      </sheetData>
      <sheetData sheetId="13">
        <row r="19">
          <cell r="S19">
            <v>11.9108358549124</v>
          </cell>
        </row>
      </sheetData>
      <sheetData sheetId="14">
        <row r="19">
          <cell r="S19">
            <v>31.1487878431202</v>
          </cell>
        </row>
      </sheetData>
      <sheetData sheetId="15">
        <row r="19">
          <cell r="S19">
            <v>29.7501719886356</v>
          </cell>
        </row>
      </sheetData>
      <sheetData sheetId="16">
        <row r="19">
          <cell r="S19">
            <v>31.253747376779</v>
          </cell>
        </row>
      </sheetData>
      <sheetData sheetId="17">
        <row r="19">
          <cell r="S19">
            <v>30.7229696492552</v>
          </cell>
        </row>
      </sheetData>
      <sheetData sheetId="18">
        <row r="19">
          <cell r="S19">
            <v>30.430318622426</v>
          </cell>
        </row>
      </sheetData>
      <sheetData sheetId="19">
        <row r="19">
          <cell r="S19">
            <v>56.0838084300874</v>
          </cell>
        </row>
      </sheetData>
      <sheetData sheetId="20">
        <row r="19">
          <cell r="S19">
            <v>75.2562313830698</v>
          </cell>
        </row>
      </sheetData>
      <sheetData sheetId="21">
        <row r="19">
          <cell r="S19">
            <v>75.9806755230136</v>
          </cell>
        </row>
      </sheetData>
      <sheetData sheetId="22">
        <row r="19">
          <cell r="S19">
            <v>74.5843674584583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9">
          <cell r="S19">
            <v>35.4250999200639</v>
          </cell>
        </row>
      </sheetData>
      <sheetData sheetId="37">
        <row r="19">
          <cell r="S19">
            <v>32.5849206664811</v>
          </cell>
        </row>
      </sheetData>
      <sheetData sheetId="38">
        <row r="19">
          <cell r="S19">
            <v>34.5174682751058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>
        <row r="19">
          <cell r="S19">
            <v>11.937997181821</v>
          </cell>
        </row>
      </sheetData>
      <sheetData sheetId="47">
        <row r="19">
          <cell r="S19">
            <v>16.7428784871671</v>
          </cell>
        </row>
      </sheetData>
      <sheetData sheetId="48">
        <row r="19">
          <cell r="S19">
            <v>9.89126767826277</v>
          </cell>
        </row>
      </sheetData>
      <sheetData sheetId="49">
        <row r="19">
          <cell r="S19">
            <v>17.464251724431</v>
          </cell>
        </row>
      </sheetData>
      <sheetData sheetId="50">
        <row r="19">
          <cell r="S19">
            <v>43.4514906129511</v>
          </cell>
        </row>
      </sheetData>
      <sheetData sheetId="51">
        <row r="19">
          <cell r="S19">
            <v>18.5200049086031</v>
          </cell>
        </row>
      </sheetData>
      <sheetData sheetId="52">
        <row r="19">
          <cell r="S19">
            <v>11.05895453429</v>
          </cell>
        </row>
      </sheetData>
      <sheetData sheetId="53">
        <row r="19">
          <cell r="S19">
            <v>14.8370945915938</v>
          </cell>
        </row>
      </sheetData>
      <sheetData sheetId="54">
        <row r="19">
          <cell r="S19">
            <v>16.7093594087612</v>
          </cell>
        </row>
      </sheetData>
      <sheetData sheetId="55">
        <row r="19">
          <cell r="S19">
            <v>13.5888065216759</v>
          </cell>
        </row>
      </sheetData>
      <sheetData sheetId="56">
        <row r="19">
          <cell r="S19">
            <v>7.23171622550139</v>
          </cell>
        </row>
      </sheetData>
      <sheetData sheetId="57">
        <row r="19">
          <cell r="S19">
            <v>14.1791099662061</v>
          </cell>
        </row>
      </sheetData>
      <sheetData sheetId="58">
        <row r="19">
          <cell r="S19">
            <v>48.1493132689016</v>
          </cell>
        </row>
      </sheetData>
      <sheetData sheetId="59">
        <row r="19">
          <cell r="S19">
            <v>50.4954819134399</v>
          </cell>
        </row>
      </sheetData>
      <sheetData sheetId="60">
        <row r="19">
          <cell r="S19">
            <v>31.3909606102871</v>
          </cell>
        </row>
      </sheetData>
      <sheetData sheetId="61">
        <row r="18">
          <cell r="S18">
            <v>44.9775710955052</v>
          </cell>
        </row>
      </sheetData>
      <sheetData sheetId="62">
        <row r="19">
          <cell r="S19">
            <v>86.3874402096604</v>
          </cell>
        </row>
      </sheetData>
      <sheetData sheetId="63">
        <row r="19">
          <cell r="S19">
            <v>119.512526415933</v>
          </cell>
        </row>
      </sheetData>
      <sheetData sheetId="64">
        <row r="19">
          <cell r="S19">
            <v>72.9174255267383</v>
          </cell>
        </row>
      </sheetData>
      <sheetData sheetId="65">
        <row r="19">
          <cell r="S19">
            <v>28.12244994906</v>
          </cell>
        </row>
      </sheetData>
      <sheetData sheetId="66">
        <row r="19">
          <cell r="S19">
            <v>25.6446268642297</v>
          </cell>
        </row>
      </sheetData>
      <sheetData sheetId="67">
        <row r="19">
          <cell r="S19">
            <v>31.9336050254991</v>
          </cell>
        </row>
      </sheetData>
      <sheetData sheetId="68">
        <row r="19">
          <cell r="S19">
            <v>23.704798624721</v>
          </cell>
        </row>
      </sheetData>
      <sheetData sheetId="69">
        <row r="19">
          <cell r="S19">
            <v>20.8428978881227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  <pageSetUpPr fitToPage="1"/>
  </sheetPr>
  <dimension ref="A1:O82"/>
  <sheetViews>
    <sheetView tabSelected="1" zoomScale="135" zoomScaleNormal="135" workbookViewId="0">
      <selection activeCell="A9" sqref="A9"/>
    </sheetView>
  </sheetViews>
  <sheetFormatPr defaultColWidth="9" defaultRowHeight="16.8"/>
  <cols>
    <col min="1" max="1" width="22.2884615384615" customWidth="1"/>
    <col min="2" max="2" width="8.28846153846154" customWidth="1"/>
    <col min="4" max="4" width="8.71153846153846" customWidth="1"/>
    <col min="5" max="7" width="10.1442307692308" customWidth="1"/>
    <col min="8" max="8" width="10.4230769230769" customWidth="1"/>
    <col min="9" max="9" width="6.14423076923077" customWidth="1"/>
    <col min="10" max="10" width="10" customWidth="1"/>
    <col min="11" max="11" width="6.71153846153846" customWidth="1"/>
    <col min="12" max="12" width="9.42307692307692" customWidth="1"/>
    <col min="13" max="13" width="12.2884615384615" customWidth="1"/>
    <col min="14" max="14" width="11" hidden="1" customWidth="1"/>
    <col min="15" max="15" width="11.5673076923077" hidden="1" customWidth="1"/>
  </cols>
  <sheetData>
    <row r="1" spans="1:1">
      <c r="A1" s="1" t="s">
        <v>0</v>
      </c>
    </row>
    <row r="2" ht="90.75" spans="1:15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1" t="s">
        <v>8</v>
      </c>
      <c r="I2" s="51" t="s">
        <v>9</v>
      </c>
      <c r="J2" s="4" t="s">
        <v>10</v>
      </c>
      <c r="K2" s="4" t="s">
        <v>11</v>
      </c>
      <c r="N2" s="4" t="s">
        <v>12</v>
      </c>
      <c r="O2" s="4" t="s">
        <v>13</v>
      </c>
    </row>
    <row r="3" spans="1:15">
      <c r="A3" s="5" t="s">
        <v>14</v>
      </c>
      <c r="B3" s="6" t="s">
        <v>15</v>
      </c>
      <c r="C3" s="7">
        <v>22.4</v>
      </c>
      <c r="D3" s="8">
        <v>9.27</v>
      </c>
      <c r="E3" s="8">
        <v>9.47</v>
      </c>
      <c r="F3" s="32" t="s">
        <v>16</v>
      </c>
      <c r="G3" s="14">
        <v>5</v>
      </c>
      <c r="H3" s="33">
        <v>9.91528005134635</v>
      </c>
      <c r="I3" s="52"/>
      <c r="J3" s="53">
        <v>1</v>
      </c>
      <c r="K3" s="54" t="s">
        <v>17</v>
      </c>
      <c r="N3" s="50">
        <f>'[1]1a'!S19</f>
        <v>11.937997181821</v>
      </c>
      <c r="O3" s="8">
        <f t="shared" ref="O3:O9" si="0">N3/G3</f>
        <v>2.3875994363642</v>
      </c>
    </row>
    <row r="4" spans="1:15">
      <c r="A4" s="5" t="s">
        <v>18</v>
      </c>
      <c r="B4" s="6" t="s">
        <v>19</v>
      </c>
      <c r="C4" s="7">
        <v>20.9</v>
      </c>
      <c r="D4" s="8">
        <v>9.2</v>
      </c>
      <c r="E4" s="8">
        <v>9.23</v>
      </c>
      <c r="F4" s="32" t="s">
        <v>20</v>
      </c>
      <c r="G4" s="14">
        <v>30</v>
      </c>
      <c r="H4" s="33">
        <v>13.5899987720512</v>
      </c>
      <c r="I4" s="52"/>
      <c r="J4" s="53">
        <v>4</v>
      </c>
      <c r="K4" s="54">
        <v>0.667</v>
      </c>
      <c r="N4" s="50">
        <f>'[1]1b'!S19</f>
        <v>16.7428784871671</v>
      </c>
      <c r="O4" s="8">
        <f t="shared" si="0"/>
        <v>0.558095949572237</v>
      </c>
    </row>
    <row r="5" spans="1:15">
      <c r="A5" s="9"/>
      <c r="B5" s="6" t="s">
        <v>21</v>
      </c>
      <c r="C5" s="7">
        <v>19.85</v>
      </c>
      <c r="D5" s="8">
        <v>9.26</v>
      </c>
      <c r="E5" s="34">
        <v>9.295</v>
      </c>
      <c r="F5" s="32" t="s">
        <v>22</v>
      </c>
      <c r="G5" s="14">
        <v>10</v>
      </c>
      <c r="H5" s="33">
        <v>7.94958222082602</v>
      </c>
      <c r="I5" s="52"/>
      <c r="J5" s="53">
        <v>2</v>
      </c>
      <c r="K5" s="54">
        <v>0.975</v>
      </c>
      <c r="N5" s="50">
        <f>'[1]1c'!S19</f>
        <v>9.89126767826277</v>
      </c>
      <c r="O5" s="8">
        <f t="shared" si="0"/>
        <v>0.989126767826277</v>
      </c>
    </row>
    <row r="6" spans="1:15">
      <c r="A6" s="10" t="s">
        <v>23</v>
      </c>
      <c r="B6" s="11"/>
      <c r="C6" s="12">
        <f t="shared" ref="C6:H6" si="1">AVERAGE(C3:C5)</f>
        <v>21.05</v>
      </c>
      <c r="D6" s="13">
        <f t="shared" si="1"/>
        <v>9.24333333333333</v>
      </c>
      <c r="E6" s="13">
        <f t="shared" si="1"/>
        <v>9.33166666666667</v>
      </c>
      <c r="F6" s="13"/>
      <c r="G6" s="13"/>
      <c r="H6" s="35">
        <f t="shared" si="1"/>
        <v>10.4849536814079</v>
      </c>
      <c r="I6" s="55">
        <f>STDEV.P(H3:H5)</f>
        <v>2.33765847967923</v>
      </c>
      <c r="J6" s="56"/>
      <c r="K6" s="57"/>
      <c r="N6" s="69"/>
      <c r="O6" s="70"/>
    </row>
    <row r="7" spans="1:15">
      <c r="A7" s="14"/>
      <c r="B7" s="6" t="s">
        <v>24</v>
      </c>
      <c r="C7" s="7">
        <v>4.65</v>
      </c>
      <c r="D7" s="8">
        <v>9.15</v>
      </c>
      <c r="E7" s="8">
        <v>9.075</v>
      </c>
      <c r="F7" s="32" t="s">
        <v>25</v>
      </c>
      <c r="G7" s="14">
        <v>10</v>
      </c>
      <c r="H7" s="33">
        <v>13.9185110376019</v>
      </c>
      <c r="I7" s="52"/>
      <c r="J7" s="53">
        <v>2</v>
      </c>
      <c r="K7" s="54">
        <v>0.788</v>
      </c>
      <c r="N7" s="50">
        <f>'[1]12a'!S19</f>
        <v>17.464251724431</v>
      </c>
      <c r="O7" s="8">
        <f t="shared" si="0"/>
        <v>1.7464251724431</v>
      </c>
    </row>
    <row r="8" spans="1:15">
      <c r="A8" s="14"/>
      <c r="B8" s="6" t="s">
        <v>26</v>
      </c>
      <c r="C8" s="7">
        <v>4.45</v>
      </c>
      <c r="D8" s="8">
        <v>9.31</v>
      </c>
      <c r="E8" s="8">
        <v>9.53166666666667</v>
      </c>
      <c r="F8" s="36">
        <v>5.1</v>
      </c>
      <c r="G8" s="14">
        <v>60</v>
      </c>
      <c r="H8" s="33">
        <v>48.6851435439228</v>
      </c>
      <c r="I8" s="52"/>
      <c r="J8" s="53">
        <v>5</v>
      </c>
      <c r="K8" s="54">
        <v>0.548</v>
      </c>
      <c r="N8" s="50">
        <f>'[1]12b'!S19</f>
        <v>43.4514906129511</v>
      </c>
      <c r="O8" s="8">
        <f t="shared" si="0"/>
        <v>0.724191510215852</v>
      </c>
    </row>
    <row r="9" spans="1:15">
      <c r="A9" s="14"/>
      <c r="B9" s="6" t="s">
        <v>27</v>
      </c>
      <c r="C9" s="7">
        <v>4.7</v>
      </c>
      <c r="D9" s="8">
        <v>9.33</v>
      </c>
      <c r="E9" s="8">
        <v>10.475</v>
      </c>
      <c r="F9" s="32" t="s">
        <v>28</v>
      </c>
      <c r="G9" s="14">
        <v>10</v>
      </c>
      <c r="H9" s="33">
        <v>14.5769420768226</v>
      </c>
      <c r="I9" s="52"/>
      <c r="J9" s="53">
        <v>2</v>
      </c>
      <c r="K9" s="54">
        <v>0.835</v>
      </c>
      <c r="N9" s="50">
        <f>'[1]12c'!S19</f>
        <v>18.5200049086031</v>
      </c>
      <c r="O9" s="8">
        <f t="shared" si="0"/>
        <v>1.85200049086031</v>
      </c>
    </row>
    <row r="10" ht="17.55" spans="1:15">
      <c r="A10" s="15" t="s">
        <v>23</v>
      </c>
      <c r="B10" s="16"/>
      <c r="C10" s="17">
        <f t="shared" ref="C10:H10" si="2">AVERAGE(C7:C9)</f>
        <v>4.6</v>
      </c>
      <c r="D10" s="18">
        <f t="shared" si="2"/>
        <v>9.26333333333333</v>
      </c>
      <c r="E10" s="18">
        <f t="shared" si="2"/>
        <v>9.69388888888889</v>
      </c>
      <c r="F10" s="37"/>
      <c r="G10" s="18"/>
      <c r="H10" s="38">
        <f t="shared" si="2"/>
        <v>25.7268655527824</v>
      </c>
      <c r="I10" s="58">
        <f>STDEV.P(H7:H9)</f>
        <v>16.2361793349957</v>
      </c>
      <c r="J10" s="59"/>
      <c r="K10" s="60"/>
      <c r="N10" s="71"/>
      <c r="O10" s="18"/>
    </row>
    <row r="11" spans="1:15">
      <c r="A11" s="19" t="s">
        <v>29</v>
      </c>
      <c r="B11" s="6" t="s">
        <v>30</v>
      </c>
      <c r="C11" s="7">
        <v>22.48</v>
      </c>
      <c r="D11" s="8">
        <v>8.98</v>
      </c>
      <c r="E11" s="8">
        <v>8.88</v>
      </c>
      <c r="F11" s="32" t="s">
        <v>31</v>
      </c>
      <c r="G11" s="14">
        <v>5</v>
      </c>
      <c r="H11" s="39">
        <v>5.91133004926108</v>
      </c>
      <c r="I11" s="52"/>
      <c r="J11" s="53">
        <v>1</v>
      </c>
      <c r="K11" s="54" t="s">
        <v>17</v>
      </c>
      <c r="N11" s="50">
        <f>'[1]3a'!S18</f>
        <v>6.31034482758621</v>
      </c>
      <c r="O11" s="8">
        <f t="shared" ref="O11:O13" si="3">N11/G11</f>
        <v>1.26206896551724</v>
      </c>
    </row>
    <row r="12" spans="1:15">
      <c r="A12" s="19" t="s">
        <v>32</v>
      </c>
      <c r="B12" s="6" t="s">
        <v>33</v>
      </c>
      <c r="C12" s="7">
        <v>23.85</v>
      </c>
      <c r="D12" s="8">
        <v>8.76</v>
      </c>
      <c r="E12" s="8">
        <v>8.765</v>
      </c>
      <c r="F12" s="32" t="s">
        <v>34</v>
      </c>
      <c r="G12" s="14">
        <v>10</v>
      </c>
      <c r="H12" s="33">
        <v>5.53678296625005</v>
      </c>
      <c r="I12" s="52"/>
      <c r="J12" s="53">
        <v>2</v>
      </c>
      <c r="K12" s="54">
        <v>0.99867</v>
      </c>
      <c r="N12" s="50">
        <f>'[1]3b'!S18</f>
        <v>7.00541464804788</v>
      </c>
      <c r="O12" s="8">
        <f t="shared" si="3"/>
        <v>0.700541464804788</v>
      </c>
    </row>
    <row r="13" spans="1:15">
      <c r="A13" s="19" t="s">
        <v>35</v>
      </c>
      <c r="B13" s="6" t="s">
        <v>36</v>
      </c>
      <c r="C13" s="7">
        <v>23.7</v>
      </c>
      <c r="D13" s="8">
        <v>8.64</v>
      </c>
      <c r="E13" s="8">
        <v>8.685</v>
      </c>
      <c r="F13" s="32" t="s">
        <v>37</v>
      </c>
      <c r="G13" s="14">
        <v>10</v>
      </c>
      <c r="H13" s="33">
        <v>5.53362900272613</v>
      </c>
      <c r="I13" s="52"/>
      <c r="J13" s="53">
        <v>2</v>
      </c>
      <c r="K13" s="54">
        <v>0.9269</v>
      </c>
      <c r="N13" s="50">
        <f>'[1]3c'!S19</f>
        <v>6.92395328966107</v>
      </c>
      <c r="O13" s="8">
        <f t="shared" si="3"/>
        <v>0.692395328966107</v>
      </c>
    </row>
    <row r="14" spans="1:15">
      <c r="A14" s="20" t="s">
        <v>23</v>
      </c>
      <c r="B14" s="6"/>
      <c r="C14" s="21">
        <f t="shared" ref="C14:H14" si="4">AVERAGE(C11:C13)</f>
        <v>23.3433333333333</v>
      </c>
      <c r="D14" s="22">
        <f t="shared" si="4"/>
        <v>8.79333333333333</v>
      </c>
      <c r="E14" s="22">
        <f t="shared" si="4"/>
        <v>8.77666666666667</v>
      </c>
      <c r="F14" s="22"/>
      <c r="G14" s="22"/>
      <c r="H14" s="40">
        <f t="shared" si="4"/>
        <v>5.66058067274575</v>
      </c>
      <c r="I14" s="61">
        <f>STDEV.P(H11:H13)</f>
        <v>0.17731125972631</v>
      </c>
      <c r="J14" s="62"/>
      <c r="K14" s="63"/>
      <c r="N14" s="72"/>
      <c r="O14" s="22"/>
    </row>
    <row r="15" spans="1:15">
      <c r="A15" s="23"/>
      <c r="B15" s="24" t="s">
        <v>38</v>
      </c>
      <c r="C15" s="25">
        <v>7.9</v>
      </c>
      <c r="D15" s="26">
        <v>9.31</v>
      </c>
      <c r="E15" s="41">
        <v>9.28</v>
      </c>
      <c r="F15" s="42" t="s">
        <v>39</v>
      </c>
      <c r="G15" s="23">
        <v>30</v>
      </c>
      <c r="H15" s="43">
        <v>9.50268346104303</v>
      </c>
      <c r="I15" s="64"/>
      <c r="J15" s="65">
        <v>3</v>
      </c>
      <c r="K15" s="66">
        <v>0.7803</v>
      </c>
      <c r="N15" s="73">
        <f>'[1]14a'!S19</f>
        <v>19.9344053004149</v>
      </c>
      <c r="O15" s="26">
        <f t="shared" ref="O15:O17" si="5">N15/G15</f>
        <v>0.664480176680497</v>
      </c>
    </row>
    <row r="16" spans="1:15">
      <c r="A16" s="14"/>
      <c r="B16" s="6" t="s">
        <v>40</v>
      </c>
      <c r="C16" s="7">
        <v>6.65</v>
      </c>
      <c r="D16" s="8">
        <v>9.34</v>
      </c>
      <c r="E16" s="8">
        <v>9.34</v>
      </c>
      <c r="F16" s="32" t="s">
        <v>41</v>
      </c>
      <c r="G16" s="14">
        <v>15</v>
      </c>
      <c r="H16" s="33">
        <v>10.8291744699368</v>
      </c>
      <c r="I16" s="52"/>
      <c r="J16" s="53">
        <v>3</v>
      </c>
      <c r="K16" s="54">
        <v>0.90375</v>
      </c>
      <c r="N16" s="50">
        <f>'[1]14b'!S19</f>
        <v>13.4742003342189</v>
      </c>
      <c r="O16" s="8">
        <f t="shared" si="5"/>
        <v>0.89828002228126</v>
      </c>
    </row>
    <row r="17" spans="1:15">
      <c r="A17" s="14"/>
      <c r="B17" s="6" t="s">
        <v>42</v>
      </c>
      <c r="C17" s="7">
        <v>5.6</v>
      </c>
      <c r="D17" s="8">
        <v>9.24</v>
      </c>
      <c r="E17" s="8">
        <v>9.172</v>
      </c>
      <c r="F17" s="44">
        <v>5.5</v>
      </c>
      <c r="G17" s="14">
        <v>30</v>
      </c>
      <c r="H17" s="33">
        <v>24.7824058093143</v>
      </c>
      <c r="I17" s="52"/>
      <c r="J17" s="67">
        <v>5</v>
      </c>
      <c r="K17" s="68">
        <f>0.64839</f>
        <v>0.64839</v>
      </c>
      <c r="N17" s="50">
        <f>'[1]14c'!S19</f>
        <v>23.853065591465</v>
      </c>
      <c r="O17" s="8">
        <f t="shared" si="5"/>
        <v>0.795102186382167</v>
      </c>
    </row>
    <row r="18" ht="17.55" spans="1:15">
      <c r="A18" s="15" t="s">
        <v>23</v>
      </c>
      <c r="B18" s="16"/>
      <c r="C18" s="17">
        <f t="shared" ref="C18:H18" si="6">AVERAGE(C15:C17)</f>
        <v>6.71666666666667</v>
      </c>
      <c r="D18" s="18">
        <f t="shared" si="6"/>
        <v>9.29666666666667</v>
      </c>
      <c r="E18" s="18">
        <f t="shared" si="6"/>
        <v>9.264</v>
      </c>
      <c r="F18" s="45"/>
      <c r="G18" s="18"/>
      <c r="H18" s="38">
        <f t="shared" si="6"/>
        <v>15.0380879134314</v>
      </c>
      <c r="I18" s="58">
        <f>STDEV.P(H15:H17)</f>
        <v>6.91152144568219</v>
      </c>
      <c r="J18" s="59"/>
      <c r="K18" s="60"/>
      <c r="N18" s="71"/>
      <c r="O18" s="18"/>
    </row>
    <row r="19" spans="1:15">
      <c r="A19" s="19" t="s">
        <v>43</v>
      </c>
      <c r="B19" s="6" t="s">
        <v>44</v>
      </c>
      <c r="C19" s="7">
        <v>20.2</v>
      </c>
      <c r="D19" s="8">
        <v>9.27</v>
      </c>
      <c r="E19" s="8">
        <v>9.29</v>
      </c>
      <c r="F19" s="32" t="s">
        <v>45</v>
      </c>
      <c r="G19" s="14">
        <v>15</v>
      </c>
      <c r="H19" s="39">
        <v>10.3810592220595</v>
      </c>
      <c r="I19" s="52"/>
      <c r="J19" s="53">
        <v>3</v>
      </c>
      <c r="K19" s="54">
        <v>0.8696</v>
      </c>
      <c r="N19" s="50">
        <f>'[1]5a'!S19</f>
        <v>13.5888065216759</v>
      </c>
      <c r="O19" s="8">
        <f t="shared" ref="O19:O21" si="7">N19/G19</f>
        <v>0.905920434778393</v>
      </c>
    </row>
    <row r="20" spans="1:15">
      <c r="A20" s="27" t="s">
        <v>46</v>
      </c>
      <c r="B20" s="28" t="s">
        <v>47</v>
      </c>
      <c r="C20" s="7">
        <v>19.5</v>
      </c>
      <c r="D20" s="8">
        <v>9.23</v>
      </c>
      <c r="E20" s="8">
        <v>9.235</v>
      </c>
      <c r="F20" s="32" t="s">
        <v>48</v>
      </c>
      <c r="G20" s="14">
        <v>10</v>
      </c>
      <c r="H20" s="33">
        <v>5.29796060476292</v>
      </c>
      <c r="I20" s="52"/>
      <c r="J20" s="53">
        <v>2</v>
      </c>
      <c r="K20" s="54">
        <v>0.9999</v>
      </c>
      <c r="N20" s="50">
        <f>'[1]5b'!S19</f>
        <v>7.23171622550139</v>
      </c>
      <c r="O20" s="8">
        <f t="shared" si="7"/>
        <v>0.723171622550139</v>
      </c>
    </row>
    <row r="21" spans="1:15">
      <c r="A21" s="29"/>
      <c r="B21" s="28" t="s">
        <v>49</v>
      </c>
      <c r="C21" s="7">
        <v>20.2</v>
      </c>
      <c r="D21" s="8">
        <v>9.35</v>
      </c>
      <c r="E21" s="8">
        <v>9.35</v>
      </c>
      <c r="F21" s="32" t="s">
        <v>50</v>
      </c>
      <c r="G21" s="14">
        <v>10</v>
      </c>
      <c r="H21" s="33">
        <v>12.2577133920087</v>
      </c>
      <c r="I21" s="52"/>
      <c r="J21" s="53">
        <v>2</v>
      </c>
      <c r="K21" s="54">
        <v>0.841</v>
      </c>
      <c r="N21" s="50">
        <f>'[1]5c'!S19</f>
        <v>14.1791099662061</v>
      </c>
      <c r="O21" s="8">
        <f t="shared" si="7"/>
        <v>1.41791099662061</v>
      </c>
    </row>
    <row r="22" spans="1:15">
      <c r="A22" s="20" t="s">
        <v>23</v>
      </c>
      <c r="B22" s="6"/>
      <c r="C22" s="21">
        <f t="shared" ref="C22:H22" si="8">AVERAGE(C19:C21)</f>
        <v>19.9666666666667</v>
      </c>
      <c r="D22" s="22">
        <f t="shared" si="8"/>
        <v>9.28333333333333</v>
      </c>
      <c r="E22" s="22">
        <f t="shared" si="8"/>
        <v>9.29166666666667</v>
      </c>
      <c r="F22" s="46"/>
      <c r="G22" s="22"/>
      <c r="H22" s="40">
        <f t="shared" si="8"/>
        <v>9.31224440627704</v>
      </c>
      <c r="I22" s="61">
        <f>STDEV.P(H19:H21)</f>
        <v>2.94010357501465</v>
      </c>
      <c r="J22" s="62"/>
      <c r="K22" s="63"/>
      <c r="N22" s="72"/>
      <c r="O22" s="22"/>
    </row>
    <row r="23" spans="1:15">
      <c r="A23" s="23"/>
      <c r="B23" s="24" t="s">
        <v>51</v>
      </c>
      <c r="C23" s="25">
        <v>4.3</v>
      </c>
      <c r="D23" s="26">
        <v>6.935</v>
      </c>
      <c r="E23" s="41">
        <v>9.6</v>
      </c>
      <c r="F23" s="42" t="s">
        <v>52</v>
      </c>
      <c r="G23" s="23">
        <v>10</v>
      </c>
      <c r="H23" s="43">
        <v>8.8507039089956</v>
      </c>
      <c r="I23" s="64"/>
      <c r="J23" s="65">
        <v>2</v>
      </c>
      <c r="K23" s="66">
        <v>0.988</v>
      </c>
      <c r="N23" s="73">
        <f>'[1]16a'!S19</f>
        <v>11.05895453429</v>
      </c>
      <c r="O23" s="26">
        <f t="shared" ref="O23:O25" si="9">N23/G23</f>
        <v>1.105895453429</v>
      </c>
    </row>
    <row r="24" spans="1:15">
      <c r="A24" s="14"/>
      <c r="B24" s="6" t="s">
        <v>53</v>
      </c>
      <c r="C24" s="7">
        <v>3.66666666666667</v>
      </c>
      <c r="D24" s="8">
        <v>9.52</v>
      </c>
      <c r="E24" s="8">
        <v>9.53</v>
      </c>
      <c r="F24" s="32" t="s">
        <v>28</v>
      </c>
      <c r="G24" s="14">
        <v>15</v>
      </c>
      <c r="H24" s="33">
        <v>11.6781539485193</v>
      </c>
      <c r="I24" s="52"/>
      <c r="J24" s="53">
        <v>3</v>
      </c>
      <c r="K24" s="54">
        <v>0.9494</v>
      </c>
      <c r="N24" s="50">
        <f>'[1]16b'!S19</f>
        <v>14.8370945915938</v>
      </c>
      <c r="O24" s="8">
        <f t="shared" si="9"/>
        <v>0.989139639439587</v>
      </c>
    </row>
    <row r="25" spans="1:15">
      <c r="A25" s="14"/>
      <c r="B25" s="6" t="s">
        <v>54</v>
      </c>
      <c r="C25" s="7">
        <v>3.8</v>
      </c>
      <c r="D25" s="8">
        <v>9.5</v>
      </c>
      <c r="E25" s="8">
        <v>9.952</v>
      </c>
      <c r="F25" s="32" t="s">
        <v>55</v>
      </c>
      <c r="G25" s="14">
        <v>10</v>
      </c>
      <c r="H25" s="33">
        <v>12.8163830556174</v>
      </c>
      <c r="I25" s="52"/>
      <c r="J25" s="53">
        <v>2</v>
      </c>
      <c r="K25" s="54">
        <v>0.9922</v>
      </c>
      <c r="N25" s="50">
        <f>'[1]16cR'!S19</f>
        <v>16.7093594087612</v>
      </c>
      <c r="O25" s="8">
        <f t="shared" si="9"/>
        <v>1.67093594087612</v>
      </c>
    </row>
    <row r="26" ht="17.55" spans="1:15">
      <c r="A26" s="15" t="s">
        <v>23</v>
      </c>
      <c r="B26" s="16"/>
      <c r="C26" s="17">
        <f t="shared" ref="C26:H26" si="10">AVERAGE(C23:C25)</f>
        <v>3.92222222222222</v>
      </c>
      <c r="D26" s="18">
        <f t="shared" si="10"/>
        <v>8.65166666666667</v>
      </c>
      <c r="E26" s="18">
        <f t="shared" si="10"/>
        <v>9.694</v>
      </c>
      <c r="F26" s="45"/>
      <c r="G26" s="18"/>
      <c r="H26" s="38">
        <f t="shared" si="10"/>
        <v>11.1150803043774</v>
      </c>
      <c r="I26" s="58">
        <f>STDEV.P(H23:H25)</f>
        <v>1.66722158495967</v>
      </c>
      <c r="J26" s="59"/>
      <c r="K26" s="60"/>
      <c r="N26" s="71"/>
      <c r="O26" s="18"/>
    </row>
    <row r="27" spans="1:15">
      <c r="A27" s="19" t="s">
        <v>56</v>
      </c>
      <c r="B27" s="6" t="s">
        <v>57</v>
      </c>
      <c r="C27" s="7">
        <v>22.7</v>
      </c>
      <c r="D27" s="8">
        <v>8.85</v>
      </c>
      <c r="E27" s="8">
        <v>8.71</v>
      </c>
      <c r="F27" s="32" t="s">
        <v>58</v>
      </c>
      <c r="G27" s="14">
        <v>5</v>
      </c>
      <c r="H27" s="39">
        <v>4.46428571428571</v>
      </c>
      <c r="I27" s="52"/>
      <c r="J27" s="53">
        <v>1</v>
      </c>
      <c r="K27" s="54" t="s">
        <v>17</v>
      </c>
      <c r="N27" s="50">
        <f>'[1]7a'!S19</f>
        <v>5.5625</v>
      </c>
      <c r="O27" s="8">
        <f t="shared" ref="O27:O29" si="11">N27/G27</f>
        <v>1.1125</v>
      </c>
    </row>
    <row r="28" spans="1:15">
      <c r="A28" s="27" t="s">
        <v>32</v>
      </c>
      <c r="B28" s="28" t="s">
        <v>59</v>
      </c>
      <c r="C28" s="7">
        <v>21.7</v>
      </c>
      <c r="D28" s="8">
        <v>9.07</v>
      </c>
      <c r="E28" s="8">
        <v>9.02</v>
      </c>
      <c r="F28" s="32" t="s">
        <v>37</v>
      </c>
      <c r="G28" s="14">
        <v>5</v>
      </c>
      <c r="H28" s="33">
        <v>4.77516912057302</v>
      </c>
      <c r="I28" s="52"/>
      <c r="J28" s="53">
        <v>1</v>
      </c>
      <c r="K28" s="54" t="s">
        <v>17</v>
      </c>
      <c r="N28" s="50">
        <f>'[1]7b'!S19</f>
        <v>5.97493036211699</v>
      </c>
      <c r="O28" s="8">
        <f t="shared" si="11"/>
        <v>1.1949860724234</v>
      </c>
    </row>
    <row r="29" spans="1:15">
      <c r="A29" s="27" t="s">
        <v>35</v>
      </c>
      <c r="B29" s="28" t="s">
        <v>60</v>
      </c>
      <c r="C29" s="7">
        <v>21.7</v>
      </c>
      <c r="D29" s="8">
        <v>9.09</v>
      </c>
      <c r="E29" s="8">
        <v>8.995</v>
      </c>
      <c r="F29" s="32" t="s">
        <v>61</v>
      </c>
      <c r="G29" s="14">
        <v>10</v>
      </c>
      <c r="H29" s="33">
        <v>5.39083557951482</v>
      </c>
      <c r="I29" s="52"/>
      <c r="J29" s="53">
        <v>2</v>
      </c>
      <c r="K29" s="54">
        <v>0.98715</v>
      </c>
      <c r="N29" s="50">
        <f>'[1]7c'!S19</f>
        <v>7.3374498301945</v>
      </c>
      <c r="O29" s="8">
        <f t="shared" si="11"/>
        <v>0.73374498301945</v>
      </c>
    </row>
    <row r="30" spans="1:15">
      <c r="A30" s="20" t="s">
        <v>23</v>
      </c>
      <c r="B30" s="6"/>
      <c r="C30" s="21">
        <f t="shared" ref="C30:H30" si="12">AVERAGE(C27:C29)</f>
        <v>22.0333333333333</v>
      </c>
      <c r="D30" s="22">
        <f t="shared" si="12"/>
        <v>9.00333333333333</v>
      </c>
      <c r="E30" s="22">
        <f t="shared" si="12"/>
        <v>8.90833333333333</v>
      </c>
      <c r="F30" s="46"/>
      <c r="G30" s="22"/>
      <c r="H30" s="40">
        <f t="shared" si="12"/>
        <v>4.87676347145785</v>
      </c>
      <c r="I30" s="61">
        <f>STDEV.P(H27:H29)</f>
        <v>0.385023568358963</v>
      </c>
      <c r="J30" s="62"/>
      <c r="K30" s="63"/>
      <c r="N30" s="72"/>
      <c r="O30" s="22"/>
    </row>
    <row r="31" spans="1:15">
      <c r="A31" s="23"/>
      <c r="B31" s="24" t="s">
        <v>62</v>
      </c>
      <c r="C31" s="25">
        <v>4.85</v>
      </c>
      <c r="D31" s="26">
        <v>9.25</v>
      </c>
      <c r="E31" s="26">
        <v>9.2125</v>
      </c>
      <c r="F31" s="42" t="s">
        <v>41</v>
      </c>
      <c r="G31" s="23">
        <v>30</v>
      </c>
      <c r="H31" s="43">
        <v>12.5015661942207</v>
      </c>
      <c r="I31" s="64"/>
      <c r="J31" s="65">
        <v>4</v>
      </c>
      <c r="K31" s="66">
        <v>0.9343</v>
      </c>
      <c r="N31" s="73">
        <f>'[1]18a'!S19</f>
        <v>15.5550737371591</v>
      </c>
      <c r="O31" s="26">
        <f t="shared" ref="O31:O33" si="13">N31/G31</f>
        <v>0.518502457905303</v>
      </c>
    </row>
    <row r="32" spans="1:15">
      <c r="A32" s="14"/>
      <c r="B32" s="6" t="s">
        <v>63</v>
      </c>
      <c r="C32" s="7">
        <v>5.23333333333333</v>
      </c>
      <c r="D32" s="8">
        <v>9.18</v>
      </c>
      <c r="E32" s="8">
        <v>9.12</v>
      </c>
      <c r="F32" s="32" t="s">
        <v>20</v>
      </c>
      <c r="G32" s="14">
        <v>15</v>
      </c>
      <c r="H32" s="33">
        <v>9.82719627383601</v>
      </c>
      <c r="I32" s="52"/>
      <c r="J32" s="53">
        <v>3</v>
      </c>
      <c r="K32" s="54">
        <v>0.9315</v>
      </c>
      <c r="N32" s="50">
        <f>'[1]18b'!S19</f>
        <v>12.107105809366</v>
      </c>
      <c r="O32" s="8">
        <f t="shared" si="13"/>
        <v>0.807140387291067</v>
      </c>
    </row>
    <row r="33" spans="1:15">
      <c r="A33" s="14"/>
      <c r="B33" s="6" t="s">
        <v>64</v>
      </c>
      <c r="C33" s="7">
        <v>5.66666666666667</v>
      </c>
      <c r="D33" s="8">
        <v>9.3</v>
      </c>
      <c r="E33" s="8">
        <v>9.25</v>
      </c>
      <c r="F33" s="32" t="s">
        <v>65</v>
      </c>
      <c r="G33" s="14">
        <v>15</v>
      </c>
      <c r="H33" s="33">
        <v>9.47937592909861</v>
      </c>
      <c r="I33" s="52"/>
      <c r="J33" s="53">
        <v>3</v>
      </c>
      <c r="K33" s="54">
        <v>0.9377</v>
      </c>
      <c r="N33" s="50">
        <f>'[1]18c'!S19</f>
        <v>11.9108358549124</v>
      </c>
      <c r="O33" s="8">
        <f t="shared" si="13"/>
        <v>0.794055723660827</v>
      </c>
    </row>
    <row r="34" ht="17.55" spans="1:15">
      <c r="A34" s="15" t="s">
        <v>23</v>
      </c>
      <c r="B34" s="16"/>
      <c r="C34" s="17">
        <f t="shared" ref="C34:H34" si="14">AVERAGE(C31:C33)</f>
        <v>5.25</v>
      </c>
      <c r="D34" s="18">
        <f t="shared" si="14"/>
        <v>9.24333333333333</v>
      </c>
      <c r="E34" s="18">
        <f t="shared" si="14"/>
        <v>9.19416666666667</v>
      </c>
      <c r="F34" s="45"/>
      <c r="G34" s="18"/>
      <c r="H34" s="38">
        <f t="shared" si="14"/>
        <v>10.6027127990518</v>
      </c>
      <c r="I34" s="58">
        <f>STDEV.P(H31:H33)</f>
        <v>1.35017971897861</v>
      </c>
      <c r="J34" s="59"/>
      <c r="K34" s="60"/>
      <c r="N34" s="71"/>
      <c r="O34" s="18"/>
    </row>
    <row r="35" spans="1:15">
      <c r="A35" s="19" t="s">
        <v>66</v>
      </c>
      <c r="B35" s="6" t="s">
        <v>67</v>
      </c>
      <c r="C35" s="7">
        <v>21.28</v>
      </c>
      <c r="D35" s="8">
        <v>8.21</v>
      </c>
      <c r="E35" s="8">
        <v>9.838</v>
      </c>
      <c r="F35" s="44" t="s">
        <v>20</v>
      </c>
      <c r="G35" s="14">
        <v>60</v>
      </c>
      <c r="H35" s="39">
        <v>29.1931340423844</v>
      </c>
      <c r="I35" s="52"/>
      <c r="J35" s="53">
        <v>5</v>
      </c>
      <c r="K35" s="54">
        <v>0.8846</v>
      </c>
      <c r="N35" s="50">
        <f>'[1]10a'!S19</f>
        <v>35.4250999200639</v>
      </c>
      <c r="O35" s="8">
        <f t="shared" ref="O35:O37" si="15">N35/G35</f>
        <v>0.590418332001065</v>
      </c>
    </row>
    <row r="36" spans="1:15">
      <c r="A36" s="27" t="s">
        <v>68</v>
      </c>
      <c r="B36" s="6" t="s">
        <v>69</v>
      </c>
      <c r="C36" s="7">
        <v>24.275</v>
      </c>
      <c r="D36" s="8">
        <v>7.96</v>
      </c>
      <c r="E36" s="8">
        <v>9.915</v>
      </c>
      <c r="F36" s="44" t="s">
        <v>70</v>
      </c>
      <c r="G36" s="14">
        <v>60</v>
      </c>
      <c r="H36" s="33">
        <v>26.3365695425186</v>
      </c>
      <c r="I36" s="52"/>
      <c r="J36" s="53">
        <v>4</v>
      </c>
      <c r="K36" s="54">
        <v>0.7754</v>
      </c>
      <c r="N36" s="50">
        <f>'[1]10b'!S19</f>
        <v>32.5849206664811</v>
      </c>
      <c r="O36" s="8">
        <f t="shared" si="15"/>
        <v>0.543082011108018</v>
      </c>
    </row>
    <row r="37" spans="1:15">
      <c r="A37" s="27"/>
      <c r="B37" s="6" t="s">
        <v>71</v>
      </c>
      <c r="C37" s="7">
        <v>21.74</v>
      </c>
      <c r="D37" s="8">
        <v>8.12</v>
      </c>
      <c r="E37" s="8">
        <v>9.764</v>
      </c>
      <c r="F37" s="44" t="s">
        <v>72</v>
      </c>
      <c r="G37" s="14">
        <v>60</v>
      </c>
      <c r="H37" s="33">
        <v>28.6077163457801</v>
      </c>
      <c r="I37" s="52"/>
      <c r="J37" s="53">
        <v>5</v>
      </c>
      <c r="K37" s="54">
        <v>0.9646</v>
      </c>
      <c r="N37" s="50">
        <f>'[1]10c'!S19</f>
        <v>34.5174682751058</v>
      </c>
      <c r="O37" s="8">
        <f t="shared" si="15"/>
        <v>0.57529113791843</v>
      </c>
    </row>
    <row r="38" spans="1:15">
      <c r="A38" s="20" t="s">
        <v>23</v>
      </c>
      <c r="B38" s="6"/>
      <c r="C38" s="21">
        <f t="shared" ref="C38:H38" si="16">AVERAGE(C35:C37)</f>
        <v>22.4316666666667</v>
      </c>
      <c r="D38" s="22">
        <f t="shared" si="16"/>
        <v>8.09666666666667</v>
      </c>
      <c r="E38" s="22">
        <f t="shared" si="16"/>
        <v>9.839</v>
      </c>
      <c r="F38" s="47"/>
      <c r="G38" s="22"/>
      <c r="H38" s="40">
        <f t="shared" si="16"/>
        <v>28.045806643561</v>
      </c>
      <c r="I38" s="61">
        <f>STDEV.P(H35:H37)</f>
        <v>1.23201652330893</v>
      </c>
      <c r="J38" s="62"/>
      <c r="K38" s="63"/>
      <c r="N38" s="72"/>
      <c r="O38" s="22"/>
    </row>
    <row r="39" spans="1:15">
      <c r="A39" s="23"/>
      <c r="B39" s="24" t="s">
        <v>73</v>
      </c>
      <c r="C39" s="25">
        <v>3.51666666666667</v>
      </c>
      <c r="D39" s="26">
        <v>8.2</v>
      </c>
      <c r="E39" s="26">
        <v>9.85666666666667</v>
      </c>
      <c r="F39" s="48">
        <v>4.6</v>
      </c>
      <c r="G39" s="23">
        <v>60</v>
      </c>
      <c r="H39" s="43">
        <v>93.4860017180991</v>
      </c>
      <c r="I39" s="64"/>
      <c r="J39" s="65">
        <v>6</v>
      </c>
      <c r="K39" s="66">
        <v>0.8103</v>
      </c>
      <c r="N39" s="73">
        <f>'[1]21a'!S19</f>
        <v>75.2562313830698</v>
      </c>
      <c r="O39" s="26">
        <f t="shared" ref="O39:O41" si="17">N39/G39</f>
        <v>1.25427052305116</v>
      </c>
    </row>
    <row r="40" spans="1:15">
      <c r="A40" s="14"/>
      <c r="B40" s="6" t="s">
        <v>74</v>
      </c>
      <c r="C40" s="7">
        <v>4.14</v>
      </c>
      <c r="D40" s="8">
        <v>8.58</v>
      </c>
      <c r="E40" s="8">
        <v>10.274</v>
      </c>
      <c r="F40" s="44">
        <v>4.82</v>
      </c>
      <c r="G40" s="14">
        <v>60</v>
      </c>
      <c r="H40" s="33">
        <v>90.0778607267499</v>
      </c>
      <c r="I40" s="52"/>
      <c r="J40" s="53">
        <v>6</v>
      </c>
      <c r="K40" s="54">
        <v>0.7847</v>
      </c>
      <c r="N40" s="50">
        <f>'[1]21b'!S19</f>
        <v>75.9806755230136</v>
      </c>
      <c r="O40" s="8">
        <f t="shared" si="17"/>
        <v>1.26634459205023</v>
      </c>
    </row>
    <row r="41" spans="1:15">
      <c r="A41" s="14"/>
      <c r="B41" s="6" t="s">
        <v>75</v>
      </c>
      <c r="C41" s="7">
        <v>2.78</v>
      </c>
      <c r="D41" s="8">
        <v>8.43</v>
      </c>
      <c r="E41" s="8">
        <v>10.26</v>
      </c>
      <c r="F41" s="44">
        <v>4.28</v>
      </c>
      <c r="G41" s="14">
        <v>60</v>
      </c>
      <c r="H41" s="33">
        <v>99.5785947375945</v>
      </c>
      <c r="I41" s="52"/>
      <c r="J41" s="53">
        <v>6</v>
      </c>
      <c r="K41" s="54">
        <v>0.8107</v>
      </c>
      <c r="N41" s="50">
        <f>'[1]21c'!S19</f>
        <v>74.5843674584583</v>
      </c>
      <c r="O41" s="8">
        <f t="shared" si="17"/>
        <v>1.24307279097431</v>
      </c>
    </row>
    <row r="42" ht="17.55" spans="1:15">
      <c r="A42" s="15" t="s">
        <v>23</v>
      </c>
      <c r="B42" s="16"/>
      <c r="C42" s="17">
        <f t="shared" ref="C42:H42" si="18">AVERAGE(C39:C41)</f>
        <v>3.47888888888889</v>
      </c>
      <c r="D42" s="18">
        <f t="shared" si="18"/>
        <v>8.40333333333333</v>
      </c>
      <c r="E42" s="18">
        <f t="shared" si="18"/>
        <v>10.1302222222222</v>
      </c>
      <c r="F42" s="49"/>
      <c r="G42" s="18"/>
      <c r="H42" s="38">
        <f t="shared" si="18"/>
        <v>94.3808190608145</v>
      </c>
      <c r="I42" s="58">
        <f>STDEV.P(H39:H41)</f>
        <v>3.9299287732157</v>
      </c>
      <c r="J42" s="59"/>
      <c r="K42" s="60"/>
      <c r="N42" s="71"/>
      <c r="O42" s="18"/>
    </row>
    <row r="43" spans="1:15">
      <c r="A43" s="19" t="s">
        <v>76</v>
      </c>
      <c r="B43" s="6" t="s">
        <v>77</v>
      </c>
      <c r="C43" s="7">
        <v>20.8833333333333</v>
      </c>
      <c r="D43" s="8">
        <v>7.46</v>
      </c>
      <c r="E43" s="8">
        <v>10.0233333333333</v>
      </c>
      <c r="F43" s="44">
        <v>5</v>
      </c>
      <c r="G43" s="14">
        <v>60</v>
      </c>
      <c r="H43" s="39">
        <v>55</v>
      </c>
      <c r="I43" s="52"/>
      <c r="J43" s="53">
        <v>6</v>
      </c>
      <c r="K43" s="54">
        <v>0.6045</v>
      </c>
      <c r="N43" s="50">
        <f>'[1]9a'!S19</f>
        <v>48.1493132689016</v>
      </c>
      <c r="O43" s="8">
        <f t="shared" ref="O43:O46" si="19">N43/G43</f>
        <v>0.802488554481693</v>
      </c>
    </row>
    <row r="44" spans="1:15">
      <c r="A44" s="27" t="s">
        <v>78</v>
      </c>
      <c r="B44" s="28" t="s">
        <v>79</v>
      </c>
      <c r="C44" s="7">
        <v>19.18</v>
      </c>
      <c r="D44" s="8">
        <v>7.76</v>
      </c>
      <c r="E44" s="8">
        <v>9.934</v>
      </c>
      <c r="F44" s="44">
        <v>5.7</v>
      </c>
      <c r="G44" s="14">
        <v>60</v>
      </c>
      <c r="H44" s="33">
        <v>50.269270197551</v>
      </c>
      <c r="I44" s="52"/>
      <c r="J44" s="53">
        <v>6</v>
      </c>
      <c r="K44" s="54">
        <v>0.8007</v>
      </c>
      <c r="N44" s="50">
        <f>'[1]9aR'!S19</f>
        <v>50.4954819134399</v>
      </c>
      <c r="O44" s="8">
        <f t="shared" si="19"/>
        <v>0.841591365223998</v>
      </c>
    </row>
    <row r="45" spans="1:15">
      <c r="A45" s="14"/>
      <c r="B45" s="6" t="s">
        <v>80</v>
      </c>
      <c r="C45" s="7">
        <v>21.16</v>
      </c>
      <c r="D45" s="8">
        <v>8.24</v>
      </c>
      <c r="E45" s="8">
        <v>10.236</v>
      </c>
      <c r="F45" s="44" t="s">
        <v>81</v>
      </c>
      <c r="G45" s="14">
        <v>60</v>
      </c>
      <c r="H45" s="33">
        <v>24.0451632403578</v>
      </c>
      <c r="I45" s="52"/>
      <c r="J45" s="53">
        <v>5</v>
      </c>
      <c r="K45" s="54">
        <v>0.8144</v>
      </c>
      <c r="N45" s="50">
        <f>'[1]9b'!S19</f>
        <v>31.3909606102871</v>
      </c>
      <c r="O45" s="8">
        <f t="shared" si="19"/>
        <v>0.523182676838118</v>
      </c>
    </row>
    <row r="46" spans="1:15">
      <c r="A46" s="14"/>
      <c r="B46" s="6" t="s">
        <v>82</v>
      </c>
      <c r="C46" s="7">
        <v>19.4</v>
      </c>
      <c r="D46" s="8">
        <v>7.85</v>
      </c>
      <c r="E46" s="8">
        <v>10.07</v>
      </c>
      <c r="F46" s="44">
        <v>6.3</v>
      </c>
      <c r="G46" s="14">
        <v>60</v>
      </c>
      <c r="H46" s="33">
        <v>40.7959828530659</v>
      </c>
      <c r="I46" s="52"/>
      <c r="J46" s="53">
        <v>5</v>
      </c>
      <c r="K46" s="54">
        <v>0.4425</v>
      </c>
      <c r="N46" s="50">
        <f>'[1]9c'!S18</f>
        <v>44.9775710955052</v>
      </c>
      <c r="O46" s="8">
        <f t="shared" si="19"/>
        <v>0.749626184925087</v>
      </c>
    </row>
    <row r="47" spans="1:15">
      <c r="A47" s="20" t="s">
        <v>23</v>
      </c>
      <c r="B47" s="6"/>
      <c r="C47" s="21">
        <f t="shared" ref="C47:H47" si="20">AVERAGE(C43:C46)</f>
        <v>20.1558333333333</v>
      </c>
      <c r="D47" s="22">
        <f t="shared" si="20"/>
        <v>7.8275</v>
      </c>
      <c r="E47" s="22">
        <f t="shared" si="20"/>
        <v>10.0658333333333</v>
      </c>
      <c r="F47" s="47"/>
      <c r="G47" s="22"/>
      <c r="H47" s="40">
        <f t="shared" si="20"/>
        <v>42.5276040727437</v>
      </c>
      <c r="I47" s="61">
        <f>STDEV.P(H43:H46)</f>
        <v>11.8331439791514</v>
      </c>
      <c r="J47" s="62"/>
      <c r="K47" s="63"/>
      <c r="N47" s="72"/>
      <c r="O47" s="22"/>
    </row>
    <row r="48" spans="1:15">
      <c r="A48" s="23"/>
      <c r="B48" s="24" t="s">
        <v>83</v>
      </c>
      <c r="C48" s="25">
        <v>4.5</v>
      </c>
      <c r="D48" s="26">
        <v>8.01</v>
      </c>
      <c r="E48" s="26">
        <v>10.362</v>
      </c>
      <c r="F48" s="48" t="s">
        <v>84</v>
      </c>
      <c r="G48" s="23">
        <v>120</v>
      </c>
      <c r="H48" s="43">
        <v>65.0631851189561</v>
      </c>
      <c r="I48" s="64"/>
      <c r="J48" s="65">
        <v>5</v>
      </c>
      <c r="K48" s="66">
        <v>0.9245</v>
      </c>
      <c r="N48" s="73">
        <f>'[1]20a'!S19</f>
        <v>86.3874402096604</v>
      </c>
      <c r="O48" s="26">
        <f t="shared" ref="O48:O50" si="21">N48/G48</f>
        <v>0.719895335080503</v>
      </c>
    </row>
    <row r="49" spans="1:15">
      <c r="A49" s="14"/>
      <c r="B49" s="6" t="s">
        <v>85</v>
      </c>
      <c r="C49" s="7">
        <v>4.56666666666667</v>
      </c>
      <c r="D49" s="8">
        <v>7.98</v>
      </c>
      <c r="E49" s="8">
        <v>10.3483333333333</v>
      </c>
      <c r="F49" s="44" t="s">
        <v>55</v>
      </c>
      <c r="G49" s="50">
        <v>180</v>
      </c>
      <c r="H49" s="33">
        <v>97.4583260205136</v>
      </c>
      <c r="I49" s="52"/>
      <c r="J49" s="53">
        <v>6</v>
      </c>
      <c r="K49" s="54">
        <v>0.843</v>
      </c>
      <c r="N49" s="50">
        <f>'[1]20b'!S19</f>
        <v>119.512526415933</v>
      </c>
      <c r="O49" s="8">
        <f t="shared" si="21"/>
        <v>0.663958480088517</v>
      </c>
    </row>
    <row r="50" spans="1:15">
      <c r="A50" s="14"/>
      <c r="B50" s="6" t="s">
        <v>86</v>
      </c>
      <c r="C50" s="7">
        <v>5.1</v>
      </c>
      <c r="D50" s="8">
        <v>7.51</v>
      </c>
      <c r="E50" s="8">
        <v>10.094</v>
      </c>
      <c r="F50" s="44" t="s">
        <v>87</v>
      </c>
      <c r="G50" s="50">
        <v>120</v>
      </c>
      <c r="H50" s="33">
        <v>52.674100013926</v>
      </c>
      <c r="I50" s="52"/>
      <c r="J50" s="53">
        <v>5</v>
      </c>
      <c r="K50" s="54">
        <v>0.9927</v>
      </c>
      <c r="N50" s="50">
        <f>'[1]20c'!S19</f>
        <v>72.9174255267383</v>
      </c>
      <c r="O50" s="8">
        <f t="shared" si="21"/>
        <v>0.607645212722819</v>
      </c>
    </row>
    <row r="51" ht="17.55" spans="1:15">
      <c r="A51" s="15" t="s">
        <v>23</v>
      </c>
      <c r="B51" s="16"/>
      <c r="C51" s="17">
        <f t="shared" ref="C51:H51" si="22">AVERAGE(C48:C50)</f>
        <v>4.72222222222222</v>
      </c>
      <c r="D51" s="18">
        <f t="shared" si="22"/>
        <v>7.83333333333333</v>
      </c>
      <c r="E51" s="18">
        <f t="shared" si="22"/>
        <v>10.2681111111111</v>
      </c>
      <c r="F51" s="49"/>
      <c r="G51" s="18"/>
      <c r="H51" s="38">
        <f t="shared" si="22"/>
        <v>71.7318703844652</v>
      </c>
      <c r="I51" s="58">
        <f>STDEV.P(H48:H50)</f>
        <v>18.8813884929065</v>
      </c>
      <c r="J51" s="59"/>
      <c r="K51" s="60"/>
      <c r="N51" s="71"/>
      <c r="O51" s="18"/>
    </row>
    <row r="52" spans="1:15">
      <c r="A52" s="19" t="s">
        <v>88</v>
      </c>
      <c r="B52" s="6" t="s">
        <v>89</v>
      </c>
      <c r="C52" s="7">
        <v>22.575</v>
      </c>
      <c r="D52" s="8">
        <v>7.4</v>
      </c>
      <c r="E52" s="8">
        <v>10.575</v>
      </c>
      <c r="F52" s="44">
        <v>4.4</v>
      </c>
      <c r="G52" s="14">
        <v>30</v>
      </c>
      <c r="H52" s="39">
        <v>39.8999605834483</v>
      </c>
      <c r="I52" s="52"/>
      <c r="J52" s="53">
        <v>5</v>
      </c>
      <c r="K52" s="54">
        <v>0.9376</v>
      </c>
      <c r="N52" s="50">
        <f>'[1]11a'!S19</f>
        <v>30.7229696492552</v>
      </c>
      <c r="O52" s="8">
        <f t="shared" ref="O52:O54" si="23">N52/G52</f>
        <v>1.02409898830851</v>
      </c>
    </row>
    <row r="53" spans="1:15">
      <c r="A53" s="27" t="s">
        <v>90</v>
      </c>
      <c r="B53" s="28" t="s">
        <v>91</v>
      </c>
      <c r="C53" s="7">
        <v>23.2</v>
      </c>
      <c r="D53" s="8">
        <v>7.45</v>
      </c>
      <c r="E53" s="8">
        <v>10.762</v>
      </c>
      <c r="F53" s="44">
        <v>4.3</v>
      </c>
      <c r="G53" s="14">
        <v>30</v>
      </c>
      <c r="H53" s="33">
        <v>40.4389616244864</v>
      </c>
      <c r="I53" s="52"/>
      <c r="J53" s="53">
        <v>5</v>
      </c>
      <c r="K53" s="54">
        <v>0.9578</v>
      </c>
      <c r="N53" s="50">
        <f>'[1]11b'!S19</f>
        <v>30.430318622426</v>
      </c>
      <c r="O53" s="8">
        <f t="shared" si="23"/>
        <v>1.01434395408087</v>
      </c>
    </row>
    <row r="54" spans="1:15">
      <c r="A54" s="29"/>
      <c r="B54" s="28" t="s">
        <v>92</v>
      </c>
      <c r="C54" s="7">
        <v>22.65</v>
      </c>
      <c r="D54" s="8">
        <v>7.4</v>
      </c>
      <c r="E54" s="8">
        <v>10.6775</v>
      </c>
      <c r="F54" s="44" t="s">
        <v>37</v>
      </c>
      <c r="G54" s="14">
        <v>30</v>
      </c>
      <c r="H54" s="33">
        <v>44.8222245195503</v>
      </c>
      <c r="I54" s="52"/>
      <c r="J54" s="53">
        <v>4</v>
      </c>
      <c r="K54" s="54">
        <v>0.8801</v>
      </c>
      <c r="N54" s="50">
        <f>'[1]11c'!S19</f>
        <v>56.0838084300874</v>
      </c>
      <c r="O54" s="8">
        <f t="shared" si="23"/>
        <v>1.86946028100291</v>
      </c>
    </row>
    <row r="55" spans="1:15">
      <c r="A55" s="20" t="s">
        <v>23</v>
      </c>
      <c r="B55" s="6"/>
      <c r="C55" s="21">
        <f t="shared" ref="C55:H55" si="24">AVERAGE(C52:C54)</f>
        <v>22.8083333333333</v>
      </c>
      <c r="D55" s="22">
        <f t="shared" si="24"/>
        <v>7.41666666666667</v>
      </c>
      <c r="E55" s="22">
        <f t="shared" si="24"/>
        <v>10.6715</v>
      </c>
      <c r="F55" s="47"/>
      <c r="G55" s="22"/>
      <c r="H55" s="40">
        <f t="shared" si="24"/>
        <v>41.720382242495</v>
      </c>
      <c r="I55" s="61">
        <f>STDEV.P(H52:H54)</f>
        <v>2.20434414499427</v>
      </c>
      <c r="J55" s="62"/>
      <c r="K55" s="63"/>
      <c r="N55" s="72"/>
      <c r="O55" s="22"/>
    </row>
    <row r="56" spans="1:15">
      <c r="A56" s="23"/>
      <c r="B56" s="24" t="s">
        <v>93</v>
      </c>
      <c r="C56" s="25">
        <v>4.58</v>
      </c>
      <c r="D56" s="26">
        <v>7.57</v>
      </c>
      <c r="E56" s="26">
        <v>10.998</v>
      </c>
      <c r="F56" s="48">
        <v>1.1</v>
      </c>
      <c r="G56" s="23">
        <v>30</v>
      </c>
      <c r="H56" s="43">
        <v>161.811884899326</v>
      </c>
      <c r="I56" s="64"/>
      <c r="J56" s="65">
        <v>5</v>
      </c>
      <c r="K56" s="66">
        <v>0.9551</v>
      </c>
      <c r="N56" s="73">
        <f>'[1]22a'!S19</f>
        <v>31.1487878431202</v>
      </c>
      <c r="O56" s="26">
        <f t="shared" ref="O56:O58" si="25">N56/G56</f>
        <v>1.03829292810401</v>
      </c>
    </row>
    <row r="57" spans="1:15">
      <c r="A57" s="14"/>
      <c r="B57" s="6" t="s">
        <v>94</v>
      </c>
      <c r="C57" s="7">
        <v>4</v>
      </c>
      <c r="D57" s="8">
        <v>7.2</v>
      </c>
      <c r="E57" s="8">
        <v>10.876</v>
      </c>
      <c r="F57" s="44">
        <v>0.7</v>
      </c>
      <c r="G57" s="14">
        <v>30</v>
      </c>
      <c r="H57" s="33">
        <v>242.858546846005</v>
      </c>
      <c r="I57" s="52"/>
      <c r="J57" s="53">
        <v>5</v>
      </c>
      <c r="K57" s="54">
        <v>0.964</v>
      </c>
      <c r="N57" s="50">
        <f>'[1]22b'!S19</f>
        <v>29.7501719886356</v>
      </c>
      <c r="O57" s="8">
        <f t="shared" si="25"/>
        <v>0.991672399621187</v>
      </c>
    </row>
    <row r="58" spans="1:15">
      <c r="A58" s="14"/>
      <c r="B58" s="6" t="s">
        <v>95</v>
      </c>
      <c r="C58" s="7">
        <v>4</v>
      </c>
      <c r="D58" s="8">
        <v>7.1</v>
      </c>
      <c r="E58" s="8">
        <v>10.88</v>
      </c>
      <c r="F58" s="44">
        <v>0.8</v>
      </c>
      <c r="G58" s="14">
        <v>30</v>
      </c>
      <c r="H58" s="33">
        <v>223.241052691278</v>
      </c>
      <c r="I58" s="52"/>
      <c r="J58" s="53">
        <v>5</v>
      </c>
      <c r="K58" s="54">
        <v>0.952</v>
      </c>
      <c r="N58" s="50">
        <f>'[1]22c'!S19</f>
        <v>31.253747376779</v>
      </c>
      <c r="O58" s="8">
        <f t="shared" si="25"/>
        <v>1.04179157922597</v>
      </c>
    </row>
    <row r="59" ht="17.55" spans="1:15">
      <c r="A59" s="15" t="s">
        <v>23</v>
      </c>
      <c r="B59" s="16"/>
      <c r="C59" s="17">
        <f t="shared" ref="C59:H59" si="26">AVERAGE(C56:C58)</f>
        <v>4.19333333333333</v>
      </c>
      <c r="D59" s="18">
        <f t="shared" si="26"/>
        <v>7.29</v>
      </c>
      <c r="E59" s="18">
        <f t="shared" si="26"/>
        <v>10.918</v>
      </c>
      <c r="F59" s="49"/>
      <c r="G59" s="18"/>
      <c r="H59" s="38">
        <f t="shared" si="26"/>
        <v>209.303828145536</v>
      </c>
      <c r="I59" s="58">
        <f>STDEV.P(H56:H58)</f>
        <v>34.5236636159764</v>
      </c>
      <c r="J59" s="59"/>
      <c r="K59" s="60"/>
      <c r="N59" s="71"/>
      <c r="O59" s="18"/>
    </row>
    <row r="60" spans="1:15">
      <c r="A60" s="19" t="s">
        <v>96</v>
      </c>
      <c r="B60" s="6" t="s">
        <v>97</v>
      </c>
      <c r="C60" s="7">
        <v>22.4</v>
      </c>
      <c r="D60" s="8">
        <v>8.96</v>
      </c>
      <c r="E60" s="8">
        <v>9.07</v>
      </c>
      <c r="F60" s="44" t="s">
        <v>98</v>
      </c>
      <c r="G60" s="14">
        <v>10</v>
      </c>
      <c r="H60" s="39">
        <v>22.6464658748638</v>
      </c>
      <c r="I60" s="52"/>
      <c r="J60" s="53">
        <v>1</v>
      </c>
      <c r="K60" s="54" t="s">
        <v>17</v>
      </c>
      <c r="N60" s="50">
        <f>'[1]27aR'!S19</f>
        <v>28.12244994906</v>
      </c>
      <c r="O60" s="8">
        <f t="shared" ref="O60:O62" si="27">N60/G60</f>
        <v>2.812244994906</v>
      </c>
    </row>
    <row r="61" spans="1:15">
      <c r="A61" s="30" t="s">
        <v>99</v>
      </c>
      <c r="B61" s="6" t="s">
        <v>100</v>
      </c>
      <c r="C61" s="7">
        <v>22.1</v>
      </c>
      <c r="D61" s="8">
        <v>9.13</v>
      </c>
      <c r="E61" s="8">
        <v>9.1</v>
      </c>
      <c r="F61" s="44" t="s">
        <v>101</v>
      </c>
      <c r="G61" s="14">
        <v>10</v>
      </c>
      <c r="H61" s="33">
        <v>20.1327987076133</v>
      </c>
      <c r="I61" s="52"/>
      <c r="J61" s="53">
        <v>1</v>
      </c>
      <c r="K61" s="54" t="s">
        <v>17</v>
      </c>
      <c r="N61" s="50">
        <f>'[1]27bR'!S19</f>
        <v>25.6446268642297</v>
      </c>
      <c r="O61" s="8">
        <f t="shared" si="27"/>
        <v>2.56446268642297</v>
      </c>
    </row>
    <row r="62" spans="1:15">
      <c r="A62" s="30" t="s">
        <v>102</v>
      </c>
      <c r="B62" s="6" t="s">
        <v>103</v>
      </c>
      <c r="C62" s="7">
        <v>19.9</v>
      </c>
      <c r="D62" s="8">
        <v>9.14</v>
      </c>
      <c r="E62" s="8">
        <v>9.14</v>
      </c>
      <c r="F62" s="44" t="s">
        <v>104</v>
      </c>
      <c r="G62" s="14">
        <v>10</v>
      </c>
      <c r="H62" s="33">
        <v>25.9262983747973</v>
      </c>
      <c r="I62" s="52"/>
      <c r="J62" s="53">
        <v>1</v>
      </c>
      <c r="K62" s="54" t="s">
        <v>17</v>
      </c>
      <c r="N62" s="50">
        <f>'[1]27c'!S19</f>
        <v>31.9336050254991</v>
      </c>
      <c r="O62" s="8">
        <f t="shared" si="27"/>
        <v>3.19336050254991</v>
      </c>
    </row>
    <row r="63" spans="1:15">
      <c r="A63" s="20" t="s">
        <v>23</v>
      </c>
      <c r="B63" s="6"/>
      <c r="C63" s="21">
        <f t="shared" ref="C63:H63" si="28">AVERAGE(C60:C62)</f>
        <v>21.4666666666667</v>
      </c>
      <c r="D63" s="22">
        <f t="shared" si="28"/>
        <v>9.07666666666667</v>
      </c>
      <c r="E63" s="22">
        <f t="shared" si="28"/>
        <v>9.10333333333333</v>
      </c>
      <c r="F63" s="47"/>
      <c r="G63" s="22"/>
      <c r="H63" s="40">
        <f t="shared" si="28"/>
        <v>22.9018543190915</v>
      </c>
      <c r="I63" s="61">
        <f>STDEV.P(H60:H62)</f>
        <v>2.37207040950855</v>
      </c>
      <c r="J63" s="62"/>
      <c r="K63" s="63"/>
      <c r="N63" s="72"/>
      <c r="O63" s="22"/>
    </row>
    <row r="64" spans="1:15">
      <c r="A64" s="23"/>
      <c r="B64" s="24" t="s">
        <v>105</v>
      </c>
      <c r="C64" s="25">
        <v>4.33333333333333</v>
      </c>
      <c r="D64" s="26">
        <v>9.13</v>
      </c>
      <c r="E64" s="26">
        <v>9.16333333333333</v>
      </c>
      <c r="F64" s="48" t="s">
        <v>106</v>
      </c>
      <c r="G64" s="23">
        <v>30</v>
      </c>
      <c r="H64" s="43">
        <v>19.1669309254413</v>
      </c>
      <c r="I64" s="64"/>
      <c r="J64" s="65">
        <v>3</v>
      </c>
      <c r="K64" s="66">
        <v>0.8934</v>
      </c>
      <c r="N64" s="73">
        <f>'[1]28a'!S19</f>
        <v>23.704798624721</v>
      </c>
      <c r="O64" s="26">
        <f t="shared" ref="O64:O66" si="29">N64/G64</f>
        <v>0.790159954157367</v>
      </c>
    </row>
    <row r="65" spans="1:15">
      <c r="A65" s="14"/>
      <c r="B65" s="6" t="s">
        <v>107</v>
      </c>
      <c r="C65" s="7">
        <v>4.6</v>
      </c>
      <c r="D65" s="8">
        <v>9.13</v>
      </c>
      <c r="E65" s="8">
        <v>9.12666666666667</v>
      </c>
      <c r="F65" s="44" t="s">
        <v>81</v>
      </c>
      <c r="G65" s="14">
        <v>30</v>
      </c>
      <c r="H65" s="33">
        <v>16.6043897894589</v>
      </c>
      <c r="I65" s="52"/>
      <c r="J65" s="53">
        <v>3</v>
      </c>
      <c r="K65" s="54">
        <v>0.928</v>
      </c>
      <c r="N65" s="50">
        <f>'[1]28b'!S19</f>
        <v>20.8428978881227</v>
      </c>
      <c r="O65" s="8">
        <f t="shared" si="29"/>
        <v>0.694763262937423</v>
      </c>
    </row>
    <row r="66" spans="1:15">
      <c r="A66" s="14"/>
      <c r="B66" s="6" t="s">
        <v>108</v>
      </c>
      <c r="C66" s="7">
        <v>4.9</v>
      </c>
      <c r="D66" s="8">
        <v>9.2</v>
      </c>
      <c r="E66" s="8">
        <v>9.07333333333333</v>
      </c>
      <c r="F66" s="44" t="s">
        <v>109</v>
      </c>
      <c r="G66" s="14">
        <v>30</v>
      </c>
      <c r="H66" s="33">
        <v>17.1398594749848</v>
      </c>
      <c r="I66" s="52"/>
      <c r="J66" s="53">
        <v>3</v>
      </c>
      <c r="K66" s="54">
        <v>0.9563</v>
      </c>
      <c r="N66" s="50">
        <f>'[1]27c'!S19</f>
        <v>31.9336050254991</v>
      </c>
      <c r="O66" s="8">
        <f t="shared" si="29"/>
        <v>1.06445350084997</v>
      </c>
    </row>
    <row r="67" spans="1:15">
      <c r="A67" s="10" t="s">
        <v>23</v>
      </c>
      <c r="B67" s="11"/>
      <c r="C67" s="12">
        <f t="shared" ref="C67:H67" si="30">AVERAGE(C64:C66)</f>
        <v>4.61111111111111</v>
      </c>
      <c r="D67" s="13">
        <f t="shared" si="30"/>
        <v>9.15333333333333</v>
      </c>
      <c r="E67" s="13">
        <f t="shared" si="30"/>
        <v>9.12111111111111</v>
      </c>
      <c r="F67" s="77"/>
      <c r="G67" s="13"/>
      <c r="H67" s="35">
        <f t="shared" si="30"/>
        <v>17.637060063295</v>
      </c>
      <c r="I67" s="55">
        <f>STDEV.P(H64:H66)</f>
        <v>1.10364867210615</v>
      </c>
      <c r="J67" s="79"/>
      <c r="K67" s="80"/>
      <c r="N67" s="85"/>
      <c r="O67" s="13"/>
    </row>
    <row r="68" spans="1:15">
      <c r="A68" s="74"/>
      <c r="B68" s="74"/>
      <c r="C68" s="75"/>
      <c r="D68" s="74"/>
      <c r="E68" s="78"/>
      <c r="F68" s="78"/>
      <c r="G68" s="78"/>
      <c r="H68" s="75"/>
      <c r="I68" s="78"/>
      <c r="J68" s="81"/>
      <c r="K68" s="82"/>
      <c r="L68" s="83"/>
      <c r="M68" s="74"/>
      <c r="N68" s="39"/>
      <c r="O68" s="78">
        <f>AVERAGE(O3:O66)</f>
        <v>1.09641190637835</v>
      </c>
    </row>
    <row r="69" spans="3:15">
      <c r="C69" s="76"/>
      <c r="L69" s="84"/>
      <c r="N69" s="86"/>
      <c r="O69" s="87"/>
    </row>
    <row r="70" spans="3:14">
      <c r="C70" s="76"/>
      <c r="L70" s="84"/>
      <c r="N70" s="86"/>
    </row>
    <row r="71" spans="3:12">
      <c r="C71" s="76"/>
      <c r="L71" s="84"/>
    </row>
    <row r="72" spans="12:12">
      <c r="L72" s="84"/>
    </row>
    <row r="73" spans="12:12">
      <c r="L73" s="84"/>
    </row>
    <row r="74" spans="12:12">
      <c r="L74" s="84"/>
    </row>
    <row r="75" spans="12:12">
      <c r="L75" s="84"/>
    </row>
    <row r="76" spans="12:12">
      <c r="L76" s="84"/>
    </row>
    <row r="77" spans="12:12">
      <c r="L77" s="84"/>
    </row>
    <row r="78" spans="12:12">
      <c r="L78" s="84"/>
    </row>
    <row r="79" spans="12:12">
      <c r="L79" s="84"/>
    </row>
    <row r="80" spans="12:12">
      <c r="L80" s="84"/>
    </row>
    <row r="81" spans="12:12">
      <c r="L81" s="84"/>
    </row>
    <row r="82" spans="12:12">
      <c r="L82" s="84"/>
    </row>
  </sheetData>
  <pageMargins left="0.7" right="0.7" top="0.75" bottom="0.75" header="0.3" footer="0.3"/>
  <pageSetup paperSize="1" scale="66" orientation="portrait" verticalDpi="597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2024-12-23T18:45:00Z</dcterms:created>
  <dcterms:modified xsi:type="dcterms:W3CDTF">2024-12-23T10:47:26Z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32E25D482CC8744A3ECF6867DAB467BA_43</vt:lpwstr>
  </property>
  <property fmtid="{D5CDD505-2E9C-101B-9397-08002B2CF9AE}" pid="3" name="KSOProductBuildVer">
    <vt:lpwstr>2052-6.11.0.8885</vt:lpwstr>
  </property>
</Properties>
</file>