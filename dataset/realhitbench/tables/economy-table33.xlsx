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<sst xmlns="http://schemas.openxmlformats.org/spreadsheetml/2006/main" count="129" uniqueCount="72">
  <si>
    <t>Labour</t>
  </si>
  <si>
    <t xml:space="preserve">R/O </t>
  </si>
  <si>
    <t>Sales</t>
  </si>
  <si>
    <t>Hours</t>
  </si>
  <si>
    <t>Effective</t>
  </si>
  <si>
    <t>Tech</t>
  </si>
  <si>
    <t>%</t>
  </si>
  <si>
    <t>Number</t>
  </si>
  <si>
    <t>Amount</t>
  </si>
  <si>
    <t>Charged</t>
  </si>
  <si>
    <t>Rate</t>
  </si>
  <si>
    <t>Gross</t>
  </si>
  <si>
    <t>RV63758</t>
  </si>
  <si>
    <t>148</t>
  </si>
  <si>
    <t>RV63769</t>
  </si>
  <si>
    <t>92</t>
  </si>
  <si>
    <t>RV63768</t>
  </si>
  <si>
    <t>176</t>
  </si>
  <si>
    <t>RV63754</t>
  </si>
  <si>
    <t>RV63766</t>
  </si>
  <si>
    <t>RV63762</t>
  </si>
  <si>
    <t>RV63755</t>
  </si>
  <si>
    <t>RV63720</t>
  </si>
  <si>
    <t>185</t>
  </si>
  <si>
    <t>RV63761</t>
  </si>
  <si>
    <t>RV63751</t>
  </si>
  <si>
    <t>092</t>
  </si>
  <si>
    <t>RV63625</t>
  </si>
  <si>
    <t>187</t>
  </si>
  <si>
    <t>RV63703</t>
  </si>
  <si>
    <t>RV63628</t>
  </si>
  <si>
    <t>RV63629</t>
  </si>
  <si>
    <t>RV63607</t>
  </si>
  <si>
    <t>RV63632</t>
  </si>
  <si>
    <t>RV63627</t>
  </si>
  <si>
    <t>RV63637</t>
  </si>
  <si>
    <t>RV63634</t>
  </si>
  <si>
    <t>RV63641</t>
  </si>
  <si>
    <t>RV63633</t>
  </si>
  <si>
    <t>RV63643</t>
  </si>
  <si>
    <t>RV63630</t>
  </si>
  <si>
    <t>RV63595</t>
  </si>
  <si>
    <t>RV63636</t>
  </si>
  <si>
    <t>RV63642</t>
  </si>
  <si>
    <t>RV63644</t>
  </si>
  <si>
    <t>RV63638</t>
  </si>
  <si>
    <t>RV63626</t>
  </si>
  <si>
    <t>144</t>
  </si>
  <si>
    <t>RV63631</t>
  </si>
  <si>
    <t>RV63658</t>
  </si>
  <si>
    <t>RV63639</t>
  </si>
  <si>
    <t>RV63721</t>
  </si>
  <si>
    <t>RV63640</t>
  </si>
  <si>
    <t>RV63740</t>
  </si>
  <si>
    <t>RV63661</t>
  </si>
  <si>
    <t>RV63731</t>
  </si>
  <si>
    <t>RV63656</t>
  </si>
  <si>
    <t>RV63649</t>
  </si>
  <si>
    <t>RV63654</t>
  </si>
  <si>
    <t>RV63715</t>
  </si>
  <si>
    <t>RV63733</t>
  </si>
  <si>
    <t>RV63743</t>
  </si>
  <si>
    <t>RV63736</t>
  </si>
  <si>
    <t>RV63734</t>
  </si>
  <si>
    <t>RV63708</t>
  </si>
  <si>
    <t>RV63696</t>
  </si>
  <si>
    <t>Totals</t>
  </si>
  <si>
    <t># of R.O.'s</t>
  </si>
  <si>
    <t>Hours per repair order*</t>
  </si>
  <si>
    <t>* Hours per repair order equals total hours sold divided by number of repair orders closed</t>
  </si>
  <si>
    <t>R.O.'s</t>
  </si>
  <si>
    <t>Hrs/R.O.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</si>
</sst>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"/>
    <numFmt numFmtId="177" formatCode="0.0"/>
    <numFmt numFmtId="178" formatCode="&quot;$&quot;#,##0.00_);[Red]\(&quot;$&quot;#,##0.00\)"/>
    <numFmt numFmtId="179" formatCode="_-&quot;$&quot;* #,##0.00_-;\-&quot;$&quot;* #,##0.00_-;_-&quot;$&quot;* &quot;-&quot;??_-;_-@_-"/>
  </numFmts>
  <fonts count="23">
    <font>
      <sz val="11"/>
      <color theme="1"/>
      <name val="宋体"/>
      <charset val="134"/>
      <scheme val="minor"/>
    </font>
    <font>
      <sz val="12"/>
      <name val="Arial"/>
      <family val="2"/>
      <charset val="0"/>
    </font>
    <font>
      <b/>
      <sz val="12"/>
      <name val="Arial"/>
      <family val="2"/>
      <charset val="0"/>
    </font>
    <font>
      <sz val="11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176" fontId="2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176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2" applyNumberFormat="1" applyFont="1" applyBorder="1" applyAlignment="1">
      <alignment horizontal="center" wrapText="1"/>
    </xf>
    <xf numFmtId="177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/>
    </xf>
    <xf numFmtId="178" fontId="3" fillId="0" borderId="0" xfId="0" applyNumberFormat="1" applyFont="1" applyFill="1" applyBorder="1" applyAlignment="1">
      <alignment horizontal="center"/>
    </xf>
    <xf numFmtId="176" fontId="3" fillId="0" borderId="0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176" fontId="2" fillId="0" borderId="1" xfId="0" applyNumberFormat="1" applyFont="1" applyFill="1" applyBorder="1" applyAlignment="1">
      <alignment horizontal="center"/>
    </xf>
    <xf numFmtId="177" fontId="2" fillId="0" borderId="1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/>
    </xf>
    <xf numFmtId="2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178" fontId="2" fillId="0" borderId="2" xfId="3" applyNumberFormat="1" applyFont="1" applyBorder="1" applyAlignment="1"/>
    <xf numFmtId="2" fontId="2" fillId="0" borderId="0" xfId="0" applyNumberFormat="1" applyFont="1" applyFill="1" applyBorder="1" applyAlignment="1">
      <alignment horizontal="center"/>
    </xf>
    <xf numFmtId="9" fontId="2" fillId="0" borderId="0" xfId="3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179" fontId="2" fillId="0" borderId="0" xfId="2" applyNumberFormat="1" applyFont="1" applyBorder="1" applyAlignment="1">
      <alignment horizontal="center"/>
    </xf>
    <xf numFmtId="49" fontId="3" fillId="0" borderId="0" xfId="2" applyNumberFormat="1" applyFont="1" applyBorder="1" applyAlignment="1">
      <alignment horizontal="center"/>
    </xf>
    <xf numFmtId="9" fontId="1" fillId="0" borderId="2" xfId="3" applyFont="1" applyBorder="1" applyAlignment="1">
      <alignment horizontal="center"/>
    </xf>
    <xf numFmtId="9" fontId="1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9" fontId="1" fillId="0" borderId="0" xfId="3" applyFont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179" fontId="2" fillId="0" borderId="1" xfId="2" applyNumberFormat="1" applyFont="1" applyBorder="1" applyAlignment="1">
      <alignment horizontal="center"/>
    </xf>
    <xf numFmtId="9" fontId="2" fillId="0" borderId="1" xfId="3" applyFont="1" applyBorder="1" applyAlignment="1">
      <alignment horizontal="center"/>
    </xf>
    <xf numFmtId="0" fontId="2" fillId="0" borderId="3" xfId="0" applyFont="1" applyFill="1" applyBorder="1" applyAlignment="1"/>
    <xf numFmtId="9" fontId="2" fillId="0" borderId="0" xfId="3" applyFont="1" applyBorder="1"/>
    <xf numFmtId="0" fontId="2" fillId="0" borderId="0" xfId="0" applyFont="1" applyFill="1" applyBorder="1" applyAlignment="1">
      <alignment horizontal="left"/>
    </xf>
    <xf numFmtId="9" fontId="2" fillId="0" borderId="0" xfId="3" applyFont="1" applyBorder="1" applyAlignment="1">
      <alignment horizontal="left"/>
    </xf>
    <xf numFmtId="9" fontId="1" fillId="0" borderId="0" xfId="3" applyFont="1" applyBorder="1"/>
    <xf numFmtId="177" fontId="2" fillId="0" borderId="1" xfId="0" applyNumberFormat="1" applyFont="1" applyFill="1" applyBorder="1" applyAlignment="1"/>
    <xf numFmtId="176" fontId="3" fillId="0" borderId="0" xfId="2" applyNumberFormat="1" applyFont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179" fontId="2" fillId="0" borderId="0" xfId="2" applyNumberFormat="1" applyFont="1" applyBorder="1" applyAlignment="1">
      <alignment horizontal="right"/>
    </xf>
    <xf numFmtId="179" fontId="2" fillId="0" borderId="0" xfId="2" applyNumberFormat="1" applyFont="1" applyBorder="1"/>
    <xf numFmtId="179" fontId="2" fillId="0" borderId="1" xfId="2" applyNumberFormat="1" applyFont="1" applyBorder="1"/>
    <xf numFmtId="177" fontId="2" fillId="0" borderId="1" xfId="2" applyNumberFormat="1" applyFont="1" applyBorder="1"/>
    <xf numFmtId="2" fontId="2" fillId="0" borderId="1" xfId="0" applyNumberFormat="1" applyFont="1" applyFill="1" applyBorder="1" applyAlignment="1"/>
    <xf numFmtId="9" fontId="2" fillId="0" borderId="2" xfId="3" applyFont="1" applyBorder="1" applyAlignment="1">
      <alignment horizontal="center"/>
    </xf>
    <xf numFmtId="9" fontId="1" fillId="0" borderId="2" xfId="3" applyFont="1" applyBorder="1" applyAlignment="1">
      <alignment horizontal="center" vertical="center"/>
    </xf>
    <xf numFmtId="9" fontId="1" fillId="0" borderId="0" xfId="3" applyFont="1" applyBorder="1" applyAlignment="1">
      <alignment horizontal="center" vertical="center"/>
    </xf>
    <xf numFmtId="9" fontId="1" fillId="0" borderId="0" xfId="3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tabSelected="1" workbookViewId="0">
      <selection activeCell="N6" sqref="N6"/>
    </sheetView>
  </sheetViews>
  <sheetFormatPr defaultColWidth="9.23076923076923" defaultRowHeight="16.8"/>
  <cols>
    <col min="3" max="3" width="12.4615384615385"/>
    <col min="5" max="5" width="16.0192307692308" customWidth="1"/>
    <col min="9" max="9" width="13.8461538461538"/>
    <col min="11" max="11" width="10.2307692307692"/>
    <col min="17" max="17" width="9.69230769230769"/>
    <col min="19" max="19" width="9.69230769230769"/>
  </cols>
  <sheetData>
    <row r="1" ht="17.6" spans="1:13">
      <c r="A1" s="1"/>
      <c r="B1" s="2"/>
      <c r="C1" s="3" t="s">
        <v>0</v>
      </c>
      <c r="D1" s="2"/>
      <c r="E1" s="20"/>
      <c r="F1" s="20"/>
      <c r="G1" s="21"/>
      <c r="H1" s="2"/>
      <c r="I1" s="25" t="s">
        <v>0</v>
      </c>
      <c r="J1" s="2"/>
      <c r="K1" s="22"/>
      <c r="L1" s="22"/>
      <c r="M1" s="47"/>
    </row>
    <row r="2" ht="17.6" spans="1:13">
      <c r="A2" s="1"/>
      <c r="B2" s="2" t="s">
        <v>1</v>
      </c>
      <c r="C2" s="3" t="s">
        <v>2</v>
      </c>
      <c r="D2" s="2" t="s">
        <v>3</v>
      </c>
      <c r="E2" s="22" t="s">
        <v>4</v>
      </c>
      <c r="F2" s="22" t="s">
        <v>5</v>
      </c>
      <c r="G2" s="23" t="s">
        <v>6</v>
      </c>
      <c r="H2" s="24" t="s">
        <v>1</v>
      </c>
      <c r="I2" s="25" t="s">
        <v>2</v>
      </c>
      <c r="J2" s="2" t="s">
        <v>3</v>
      </c>
      <c r="K2" s="22" t="s">
        <v>4</v>
      </c>
      <c r="L2" s="22" t="s">
        <v>5</v>
      </c>
      <c r="M2" s="23" t="s">
        <v>6</v>
      </c>
    </row>
    <row r="3" ht="17.6" spans="1:13">
      <c r="A3" s="1"/>
      <c r="B3" s="2" t="s">
        <v>7</v>
      </c>
      <c r="C3" s="3" t="s">
        <v>8</v>
      </c>
      <c r="D3" s="2" t="s">
        <v>9</v>
      </c>
      <c r="E3" s="22" t="s">
        <v>10</v>
      </c>
      <c r="F3" s="22"/>
      <c r="G3" s="23" t="s">
        <v>11</v>
      </c>
      <c r="H3" s="24" t="s">
        <v>7</v>
      </c>
      <c r="I3" s="25" t="s">
        <v>8</v>
      </c>
      <c r="J3" s="2" t="s">
        <v>9</v>
      </c>
      <c r="K3" s="22" t="s">
        <v>10</v>
      </c>
      <c r="L3" s="22"/>
      <c r="M3" s="23" t="s">
        <v>11</v>
      </c>
    </row>
    <row r="4" ht="17.6" spans="1:13">
      <c r="A4" s="1">
        <v>1</v>
      </c>
      <c r="B4" s="4" t="s">
        <v>12</v>
      </c>
      <c r="C4" s="5">
        <v>19.99</v>
      </c>
      <c r="D4" s="6">
        <v>0.5</v>
      </c>
      <c r="E4" s="25">
        <f t="shared" ref="E4:E51" si="0">SUM(C4/D4)</f>
        <v>39.98</v>
      </c>
      <c r="F4" s="26" t="s">
        <v>13</v>
      </c>
      <c r="G4" s="27">
        <v>0.5</v>
      </c>
      <c r="H4" s="4" t="s">
        <v>14</v>
      </c>
      <c r="I4" s="5">
        <v>11</v>
      </c>
      <c r="J4" s="6">
        <v>0.1</v>
      </c>
      <c r="K4" s="25">
        <f>SUM(I4/J4)</f>
        <v>110</v>
      </c>
      <c r="L4" s="26" t="s">
        <v>15</v>
      </c>
      <c r="M4" s="48">
        <v>0.67</v>
      </c>
    </row>
    <row r="5" ht="17.6" spans="1:13">
      <c r="A5" s="1">
        <f t="shared" ref="A5:A20" si="1">SUM(A4+1)</f>
        <v>2</v>
      </c>
      <c r="B5" s="7" t="s">
        <v>16</v>
      </c>
      <c r="C5" s="8">
        <v>50.08</v>
      </c>
      <c r="D5" s="9">
        <v>0.5</v>
      </c>
      <c r="E5" s="25">
        <f t="shared" si="0"/>
        <v>100.16</v>
      </c>
      <c r="F5" s="26" t="s">
        <v>17</v>
      </c>
      <c r="G5" s="28">
        <v>0.86</v>
      </c>
      <c r="H5" s="7" t="s">
        <v>18</v>
      </c>
      <c r="I5" s="8">
        <v>79.6</v>
      </c>
      <c r="J5" s="9">
        <v>1</v>
      </c>
      <c r="K5" s="25">
        <f>SUM(I5/J5)</f>
        <v>79.6</v>
      </c>
      <c r="L5" s="26">
        <v>187</v>
      </c>
      <c r="M5" s="49">
        <v>0.84</v>
      </c>
    </row>
    <row r="6" ht="17.6" spans="1:13">
      <c r="A6" s="1">
        <f t="shared" si="1"/>
        <v>3</v>
      </c>
      <c r="B6" s="4" t="s">
        <v>19</v>
      </c>
      <c r="C6" s="5">
        <v>35</v>
      </c>
      <c r="D6" s="10">
        <v>0.5</v>
      </c>
      <c r="E6" s="25">
        <f t="shared" si="0"/>
        <v>70</v>
      </c>
      <c r="F6" s="26" t="s">
        <v>15</v>
      </c>
      <c r="G6" s="27">
        <v>0.74</v>
      </c>
      <c r="H6" s="29" t="s">
        <v>20</v>
      </c>
      <c r="I6" s="8">
        <v>34.95</v>
      </c>
      <c r="J6" s="9">
        <v>0.5</v>
      </c>
      <c r="K6" s="25">
        <f>SUM(I6/J6)</f>
        <v>69.9</v>
      </c>
      <c r="L6" s="26" t="s">
        <v>13</v>
      </c>
      <c r="M6" s="49">
        <v>0.71</v>
      </c>
    </row>
    <row r="7" ht="17.6" spans="1:13">
      <c r="A7" s="1">
        <f t="shared" si="1"/>
        <v>4</v>
      </c>
      <c r="B7" s="4" t="s">
        <v>21</v>
      </c>
      <c r="C7" s="5">
        <v>47.03</v>
      </c>
      <c r="D7" s="10">
        <v>0.6</v>
      </c>
      <c r="E7" s="25">
        <f t="shared" si="0"/>
        <v>78.3833333333333</v>
      </c>
      <c r="F7" s="26" t="s">
        <v>13</v>
      </c>
      <c r="G7" s="30">
        <v>0.744</v>
      </c>
      <c r="H7" s="31" t="s">
        <v>22</v>
      </c>
      <c r="I7" s="8">
        <v>241.4</v>
      </c>
      <c r="J7" s="9">
        <v>2</v>
      </c>
      <c r="K7" s="25">
        <f>SUM(I7/J7)</f>
        <v>120.7</v>
      </c>
      <c r="L7" s="26" t="s">
        <v>23</v>
      </c>
      <c r="M7" s="49">
        <v>0.87</v>
      </c>
    </row>
    <row r="8" ht="17.6" spans="1:13">
      <c r="A8" s="1">
        <f t="shared" si="1"/>
        <v>5</v>
      </c>
      <c r="B8" s="4" t="s">
        <v>24</v>
      </c>
      <c r="C8" s="5">
        <v>104.9</v>
      </c>
      <c r="D8" s="10">
        <v>1.5</v>
      </c>
      <c r="E8" s="25">
        <f t="shared" si="0"/>
        <v>69.9333333333333</v>
      </c>
      <c r="F8" s="26" t="s">
        <v>17</v>
      </c>
      <c r="G8" s="30">
        <v>0.8</v>
      </c>
      <c r="H8" s="31" t="s">
        <v>25</v>
      </c>
      <c r="I8" s="8">
        <v>52</v>
      </c>
      <c r="J8" s="9">
        <v>0.7</v>
      </c>
      <c r="K8" s="25">
        <f>SUM(I8/J8)</f>
        <v>74.2857142857143</v>
      </c>
      <c r="L8" s="26" t="s">
        <v>26</v>
      </c>
      <c r="M8" s="49">
        <v>0.76</v>
      </c>
    </row>
    <row r="9" ht="17.6" spans="1:13">
      <c r="A9" s="1">
        <f t="shared" si="1"/>
        <v>6</v>
      </c>
      <c r="B9" s="4" t="s">
        <v>27</v>
      </c>
      <c r="C9" s="11">
        <v>225.3</v>
      </c>
      <c r="D9" s="10">
        <v>2</v>
      </c>
      <c r="E9" s="25">
        <f t="shared" si="0"/>
        <v>112.65</v>
      </c>
      <c r="F9" s="26" t="s">
        <v>28</v>
      </c>
      <c r="G9" s="30">
        <v>0.88</v>
      </c>
      <c r="H9" s="31" t="s">
        <v>29</v>
      </c>
      <c r="I9" s="8">
        <v>153.9</v>
      </c>
      <c r="J9" s="10">
        <v>1.4</v>
      </c>
      <c r="K9" s="25">
        <f>SUM(I9/J9)</f>
        <v>109.928571428571</v>
      </c>
      <c r="L9" s="26" t="s">
        <v>17</v>
      </c>
      <c r="M9" s="50">
        <v>0.87</v>
      </c>
    </row>
    <row r="10" ht="17.6" spans="1:13">
      <c r="A10" s="1">
        <f t="shared" si="1"/>
        <v>7</v>
      </c>
      <c r="B10" s="4" t="s">
        <v>30</v>
      </c>
      <c r="C10" s="5">
        <v>11</v>
      </c>
      <c r="D10" s="10">
        <v>1</v>
      </c>
      <c r="E10" s="25">
        <f t="shared" si="0"/>
        <v>11</v>
      </c>
      <c r="F10" s="26" t="s">
        <v>23</v>
      </c>
      <c r="G10" s="30"/>
      <c r="H10" s="31" t="s">
        <v>31</v>
      </c>
      <c r="I10" s="8">
        <v>57.1</v>
      </c>
      <c r="J10" s="9">
        <v>0.7</v>
      </c>
      <c r="K10" s="25">
        <f>SUM(I10/J10)</f>
        <v>81.5714285714286</v>
      </c>
      <c r="L10" s="26" t="s">
        <v>28</v>
      </c>
      <c r="M10" s="49"/>
    </row>
    <row r="11" ht="17.6" spans="1:13">
      <c r="A11" s="1">
        <f t="shared" si="1"/>
        <v>8</v>
      </c>
      <c r="B11" s="4" t="s">
        <v>32</v>
      </c>
      <c r="C11" s="5">
        <v>70.36</v>
      </c>
      <c r="D11" s="10">
        <v>0.8</v>
      </c>
      <c r="E11" s="25">
        <f t="shared" si="0"/>
        <v>87.95</v>
      </c>
      <c r="F11" s="26" t="s">
        <v>23</v>
      </c>
      <c r="G11" s="30"/>
      <c r="H11" s="31" t="s">
        <v>33</v>
      </c>
      <c r="I11" s="8">
        <v>79.95</v>
      </c>
      <c r="J11" s="9">
        <v>1</v>
      </c>
      <c r="K11" s="25">
        <f>SUM(I11/J11)</f>
        <v>79.95</v>
      </c>
      <c r="L11" s="26" t="s">
        <v>13</v>
      </c>
      <c r="M11" s="49"/>
    </row>
    <row r="12" ht="17.6" spans="1:13">
      <c r="A12" s="1">
        <f t="shared" si="1"/>
        <v>9</v>
      </c>
      <c r="B12" s="4" t="s">
        <v>34</v>
      </c>
      <c r="C12" s="5">
        <v>236.8</v>
      </c>
      <c r="D12" s="10">
        <v>2.5</v>
      </c>
      <c r="E12" s="25">
        <f t="shared" si="0"/>
        <v>94.72</v>
      </c>
      <c r="F12" s="26" t="s">
        <v>15</v>
      </c>
      <c r="G12" s="30"/>
      <c r="H12" s="31" t="s">
        <v>35</v>
      </c>
      <c r="I12" s="8">
        <v>18.99</v>
      </c>
      <c r="J12" s="9">
        <v>0.5</v>
      </c>
      <c r="K12" s="25">
        <f>SUM(I12/J12)</f>
        <v>37.98</v>
      </c>
      <c r="L12" s="26" t="s">
        <v>13</v>
      </c>
      <c r="M12" s="49"/>
    </row>
    <row r="13" ht="17.6" spans="1:13">
      <c r="A13" s="1">
        <f t="shared" si="1"/>
        <v>10</v>
      </c>
      <c r="B13" s="7" t="s">
        <v>36</v>
      </c>
      <c r="C13" s="12">
        <v>248.6</v>
      </c>
      <c r="D13" s="10">
        <v>2.7</v>
      </c>
      <c r="E13" s="25">
        <f t="shared" si="0"/>
        <v>92.0740740740741</v>
      </c>
      <c r="F13" s="26" t="s">
        <v>23</v>
      </c>
      <c r="G13" s="30"/>
      <c r="H13" s="31" t="s">
        <v>37</v>
      </c>
      <c r="I13" s="8">
        <v>35</v>
      </c>
      <c r="J13" s="9">
        <v>0.5</v>
      </c>
      <c r="K13" s="25">
        <f>SUM(I13/J13)</f>
        <v>70</v>
      </c>
      <c r="L13" s="26" t="s">
        <v>17</v>
      </c>
      <c r="M13" s="49"/>
    </row>
    <row r="14" ht="17.6" spans="1:13">
      <c r="A14" s="1">
        <f t="shared" si="1"/>
        <v>11</v>
      </c>
      <c r="B14" s="4" t="s">
        <v>38</v>
      </c>
      <c r="C14" s="5">
        <v>87.1</v>
      </c>
      <c r="D14" s="10">
        <v>1.2</v>
      </c>
      <c r="E14" s="25">
        <f t="shared" si="0"/>
        <v>72.5833333333333</v>
      </c>
      <c r="F14" s="26" t="s">
        <v>28</v>
      </c>
      <c r="G14" s="30"/>
      <c r="H14" s="31" t="s">
        <v>39</v>
      </c>
      <c r="I14" s="8">
        <v>32.99</v>
      </c>
      <c r="J14" s="9">
        <v>0.3</v>
      </c>
      <c r="K14" s="25">
        <f>SUM(I14/J14)</f>
        <v>109.966666666667</v>
      </c>
      <c r="L14" s="26" t="s">
        <v>13</v>
      </c>
      <c r="M14" s="49"/>
    </row>
    <row r="15" ht="17.6" spans="1:13">
      <c r="A15" s="1">
        <f t="shared" si="1"/>
        <v>12</v>
      </c>
      <c r="B15" s="4" t="s">
        <v>40</v>
      </c>
      <c r="C15" s="5">
        <v>156.72</v>
      </c>
      <c r="D15" s="10">
        <v>1.5</v>
      </c>
      <c r="E15" s="25">
        <f t="shared" si="0"/>
        <v>104.48</v>
      </c>
      <c r="F15" s="26" t="s">
        <v>23</v>
      </c>
      <c r="G15" s="30"/>
      <c r="H15" s="31" t="s">
        <v>41</v>
      </c>
      <c r="I15" s="8">
        <v>54.98</v>
      </c>
      <c r="J15" s="9">
        <v>0.5</v>
      </c>
      <c r="K15" s="25">
        <f>SUM(I15/J15)</f>
        <v>109.96</v>
      </c>
      <c r="L15" s="26" t="s">
        <v>13</v>
      </c>
      <c r="M15" s="49"/>
    </row>
    <row r="16" ht="17.6" spans="1:13">
      <c r="A16" s="1">
        <f t="shared" si="1"/>
        <v>13</v>
      </c>
      <c r="B16" s="4" t="s">
        <v>32</v>
      </c>
      <c r="C16" s="5">
        <v>246.4</v>
      </c>
      <c r="D16" s="10">
        <v>2.2</v>
      </c>
      <c r="E16" s="25">
        <f t="shared" si="0"/>
        <v>112</v>
      </c>
      <c r="F16" s="26" t="s">
        <v>23</v>
      </c>
      <c r="G16" s="30"/>
      <c r="H16" s="31" t="s">
        <v>42</v>
      </c>
      <c r="I16" s="8">
        <v>57.02</v>
      </c>
      <c r="J16" s="9">
        <v>0.6</v>
      </c>
      <c r="K16" s="25">
        <f>SUM(I16/J16)</f>
        <v>95.0333333333333</v>
      </c>
      <c r="L16" s="26" t="s">
        <v>15</v>
      </c>
      <c r="M16" s="49"/>
    </row>
    <row r="17" ht="17.6" spans="1:13">
      <c r="A17" s="1">
        <f t="shared" si="1"/>
        <v>14</v>
      </c>
      <c r="B17" s="4" t="s">
        <v>43</v>
      </c>
      <c r="C17" s="5">
        <v>116.6</v>
      </c>
      <c r="D17" s="10">
        <v>1.7</v>
      </c>
      <c r="E17" s="25">
        <f t="shared" si="0"/>
        <v>68.5882352941177</v>
      </c>
      <c r="F17" s="26" t="s">
        <v>28</v>
      </c>
      <c r="G17" s="30"/>
      <c r="H17" s="31" t="s">
        <v>44</v>
      </c>
      <c r="I17" s="8">
        <v>29.95</v>
      </c>
      <c r="J17" s="9">
        <v>0.5</v>
      </c>
      <c r="K17" s="25">
        <f>SUM(I17/J17)</f>
        <v>59.9</v>
      </c>
      <c r="L17" s="26" t="s">
        <v>23</v>
      </c>
      <c r="M17" s="49"/>
    </row>
    <row r="18" ht="17.6" spans="1:13">
      <c r="A18" s="1">
        <f t="shared" si="1"/>
        <v>15</v>
      </c>
      <c r="B18" s="4" t="s">
        <v>45</v>
      </c>
      <c r="C18" s="5">
        <v>149.16</v>
      </c>
      <c r="D18" s="10">
        <v>2.2</v>
      </c>
      <c r="E18" s="25">
        <f t="shared" si="0"/>
        <v>67.8</v>
      </c>
      <c r="F18" s="26" t="s">
        <v>15</v>
      </c>
      <c r="G18" s="30"/>
      <c r="H18" s="31" t="s">
        <v>46</v>
      </c>
      <c r="I18" s="8">
        <v>355.12</v>
      </c>
      <c r="J18" s="9">
        <v>3.7</v>
      </c>
      <c r="K18" s="25">
        <f>SUM(I18/J18)</f>
        <v>95.9783783783784</v>
      </c>
      <c r="L18" s="26" t="s">
        <v>47</v>
      </c>
      <c r="M18" s="49"/>
    </row>
    <row r="19" ht="17.6" spans="1:13">
      <c r="A19" s="1">
        <f t="shared" si="1"/>
        <v>16</v>
      </c>
      <c r="B19" s="4" t="s">
        <v>48</v>
      </c>
      <c r="C19" s="5">
        <v>51.1</v>
      </c>
      <c r="D19" s="10">
        <v>1</v>
      </c>
      <c r="E19" s="25">
        <f t="shared" si="0"/>
        <v>51.1</v>
      </c>
      <c r="F19" s="26" t="s">
        <v>15</v>
      </c>
      <c r="G19" s="27"/>
      <c r="H19" s="7" t="s">
        <v>49</v>
      </c>
      <c r="I19" s="12">
        <v>281.7</v>
      </c>
      <c r="J19" s="10">
        <v>2.8</v>
      </c>
      <c r="K19" s="25">
        <f>SUM(I19/J19)</f>
        <v>100.607142857143</v>
      </c>
      <c r="L19" s="26" t="s">
        <v>28</v>
      </c>
      <c r="M19" s="49"/>
    </row>
    <row r="20" ht="17.6" spans="1:13">
      <c r="A20" s="1">
        <f t="shared" si="1"/>
        <v>17</v>
      </c>
      <c r="B20" s="4" t="s">
        <v>50</v>
      </c>
      <c r="C20" s="5">
        <v>288.35</v>
      </c>
      <c r="D20" s="10">
        <v>3.3</v>
      </c>
      <c r="E20" s="25">
        <f t="shared" si="0"/>
        <v>87.3787878787879</v>
      </c>
      <c r="F20" s="26" t="s">
        <v>17</v>
      </c>
      <c r="G20" s="30"/>
      <c r="H20" s="31" t="s">
        <v>51</v>
      </c>
      <c r="I20" s="40">
        <v>89.99</v>
      </c>
      <c r="J20" s="9">
        <v>0.9</v>
      </c>
      <c r="K20" s="25">
        <f>SUM(I20/J20)</f>
        <v>99.9888888888889</v>
      </c>
      <c r="L20" s="26" t="s">
        <v>13</v>
      </c>
      <c r="M20" s="49"/>
    </row>
    <row r="21" ht="17.6" spans="1:13">
      <c r="A21" s="1">
        <v>18</v>
      </c>
      <c r="B21" s="4" t="s">
        <v>52</v>
      </c>
      <c r="C21" s="5">
        <v>543.27</v>
      </c>
      <c r="D21" s="10">
        <v>5.6</v>
      </c>
      <c r="E21" s="25">
        <f t="shared" si="0"/>
        <v>97.0125</v>
      </c>
      <c r="F21" s="26" t="s">
        <v>13</v>
      </c>
      <c r="G21" s="30"/>
      <c r="H21" s="31" t="s">
        <v>53</v>
      </c>
      <c r="I21" s="40">
        <v>49.99</v>
      </c>
      <c r="J21" s="9">
        <v>0.5</v>
      </c>
      <c r="K21" s="25">
        <f>SUM(I21/J21)</f>
        <v>99.98</v>
      </c>
      <c r="L21" s="26" t="s">
        <v>13</v>
      </c>
      <c r="M21" s="49"/>
    </row>
    <row r="22" ht="17.6" spans="1:13">
      <c r="A22" s="1">
        <v>19</v>
      </c>
      <c r="B22" s="4" t="s">
        <v>54</v>
      </c>
      <c r="C22" s="5">
        <v>150.5</v>
      </c>
      <c r="D22" s="10">
        <v>2.1</v>
      </c>
      <c r="E22" s="25">
        <f t="shared" si="0"/>
        <v>71.6666666666667</v>
      </c>
      <c r="F22" s="26" t="s">
        <v>17</v>
      </c>
      <c r="G22" s="30"/>
      <c r="H22" s="31" t="s">
        <v>55</v>
      </c>
      <c r="I22" s="40">
        <v>39</v>
      </c>
      <c r="J22" s="9">
        <v>1.2</v>
      </c>
      <c r="K22" s="25">
        <f>SUM(I22/J22)</f>
        <v>32.5</v>
      </c>
      <c r="L22" s="26" t="s">
        <v>15</v>
      </c>
      <c r="M22" s="49"/>
    </row>
    <row r="23" ht="17.6" spans="1:13">
      <c r="A23" s="1">
        <v>20</v>
      </c>
      <c r="B23" s="4" t="s">
        <v>56</v>
      </c>
      <c r="C23" s="5">
        <v>209.95</v>
      </c>
      <c r="D23" s="10">
        <v>2.1</v>
      </c>
      <c r="E23" s="25">
        <f t="shared" si="0"/>
        <v>99.9761904761905</v>
      </c>
      <c r="F23" s="26" t="s">
        <v>15</v>
      </c>
      <c r="G23" s="30"/>
      <c r="H23" s="31"/>
      <c r="I23" s="40"/>
      <c r="J23" s="9"/>
      <c r="K23" s="25"/>
      <c r="L23" s="26"/>
      <c r="M23" s="49"/>
    </row>
    <row r="24" ht="17.6" spans="1:13">
      <c r="A24" s="1">
        <v>21</v>
      </c>
      <c r="B24" s="4" t="s">
        <v>57</v>
      </c>
      <c r="C24" s="5">
        <v>176.93</v>
      </c>
      <c r="D24" s="10">
        <v>2.2</v>
      </c>
      <c r="E24" s="25">
        <f t="shared" si="0"/>
        <v>80.4227272727273</v>
      </c>
      <c r="F24" s="26" t="s">
        <v>13</v>
      </c>
      <c r="G24" s="30"/>
      <c r="H24" s="31"/>
      <c r="I24" s="40"/>
      <c r="J24" s="9"/>
      <c r="K24" s="25"/>
      <c r="L24" s="26"/>
      <c r="M24" s="49"/>
    </row>
    <row r="25" ht="17.6" spans="1:13">
      <c r="A25" s="1">
        <v>22</v>
      </c>
      <c r="B25" s="4" t="s">
        <v>58</v>
      </c>
      <c r="C25" s="5">
        <v>124.6</v>
      </c>
      <c r="D25" s="10">
        <v>1.3</v>
      </c>
      <c r="E25" s="25">
        <f t="shared" si="0"/>
        <v>95.8461538461538</v>
      </c>
      <c r="F25" s="26" t="s">
        <v>23</v>
      </c>
      <c r="G25" s="30"/>
      <c r="H25" s="31"/>
      <c r="I25" s="40"/>
      <c r="J25" s="9"/>
      <c r="K25" s="25"/>
      <c r="L25" s="26"/>
      <c r="M25" s="49"/>
    </row>
    <row r="26" ht="17.6" spans="1:13">
      <c r="A26" s="1">
        <v>23</v>
      </c>
      <c r="B26" s="4" t="s">
        <v>59</v>
      </c>
      <c r="C26" s="5">
        <v>168.03</v>
      </c>
      <c r="D26" s="10">
        <v>2.2</v>
      </c>
      <c r="E26" s="25">
        <f t="shared" si="0"/>
        <v>76.3772727272727</v>
      </c>
      <c r="F26" s="26" t="s">
        <v>13</v>
      </c>
      <c r="G26" s="30"/>
      <c r="H26" s="31"/>
      <c r="I26" s="40"/>
      <c r="J26" s="9"/>
      <c r="K26" s="25"/>
      <c r="L26" s="26"/>
      <c r="M26" s="49"/>
    </row>
    <row r="27" ht="17.6" spans="1:13">
      <c r="A27" s="1">
        <v>24</v>
      </c>
      <c r="B27" s="4" t="s">
        <v>60</v>
      </c>
      <c r="C27" s="5">
        <v>412.78</v>
      </c>
      <c r="D27" s="10">
        <v>4</v>
      </c>
      <c r="E27" s="25">
        <f t="shared" si="0"/>
        <v>103.195</v>
      </c>
      <c r="F27" s="26" t="s">
        <v>13</v>
      </c>
      <c r="G27" s="30"/>
      <c r="H27" s="31"/>
      <c r="I27" s="40"/>
      <c r="J27" s="9"/>
      <c r="K27" s="25"/>
      <c r="L27" s="26"/>
      <c r="M27" s="49"/>
    </row>
    <row r="28" ht="17.6" spans="1:13">
      <c r="A28" s="1">
        <v>25</v>
      </c>
      <c r="B28" s="4" t="s">
        <v>61</v>
      </c>
      <c r="C28" s="5">
        <v>19.99</v>
      </c>
      <c r="D28" s="10">
        <v>0.5</v>
      </c>
      <c r="E28" s="25">
        <f t="shared" si="0"/>
        <v>39.98</v>
      </c>
      <c r="F28" s="26" t="s">
        <v>13</v>
      </c>
      <c r="G28" s="30"/>
      <c r="H28" s="31"/>
      <c r="I28" s="40"/>
      <c r="J28" s="9"/>
      <c r="K28" s="25"/>
      <c r="L28" s="26"/>
      <c r="M28" s="49"/>
    </row>
    <row r="29" ht="17.6" spans="1:13">
      <c r="A29" s="1">
        <v>26</v>
      </c>
      <c r="B29" s="4" t="s">
        <v>62</v>
      </c>
      <c r="C29" s="5">
        <v>19.99</v>
      </c>
      <c r="D29" s="10">
        <v>0.5</v>
      </c>
      <c r="E29" s="25">
        <f t="shared" si="0"/>
        <v>39.98</v>
      </c>
      <c r="F29" s="26" t="s">
        <v>23</v>
      </c>
      <c r="G29" s="30"/>
      <c r="H29" s="31"/>
      <c r="I29" s="40"/>
      <c r="J29" s="9"/>
      <c r="K29" s="25"/>
      <c r="L29" s="26"/>
      <c r="M29" s="49"/>
    </row>
    <row r="30" ht="17.6" spans="1:13">
      <c r="A30" s="1">
        <v>27</v>
      </c>
      <c r="B30" s="4" t="s">
        <v>63</v>
      </c>
      <c r="C30" s="5">
        <v>79.95</v>
      </c>
      <c r="D30" s="10">
        <v>1</v>
      </c>
      <c r="E30" s="25">
        <f t="shared" si="0"/>
        <v>79.95</v>
      </c>
      <c r="F30" s="26" t="s">
        <v>17</v>
      </c>
      <c r="G30" s="30"/>
      <c r="H30" s="31"/>
      <c r="I30" s="40"/>
      <c r="J30" s="9"/>
      <c r="K30" s="25"/>
      <c r="L30" s="26"/>
      <c r="M30" s="49"/>
    </row>
    <row r="31" ht="17.6" spans="1:13">
      <c r="A31" s="1">
        <v>28</v>
      </c>
      <c r="B31" s="4" t="s">
        <v>64</v>
      </c>
      <c r="C31" s="5">
        <v>79.95</v>
      </c>
      <c r="D31" s="10">
        <v>1</v>
      </c>
      <c r="E31" s="25">
        <f t="shared" si="0"/>
        <v>79.95</v>
      </c>
      <c r="F31" s="26" t="s">
        <v>15</v>
      </c>
      <c r="G31" s="30"/>
      <c r="H31" s="31"/>
      <c r="I31" s="40"/>
      <c r="J31" s="9"/>
      <c r="K31" s="25"/>
      <c r="L31" s="26"/>
      <c r="M31" s="49"/>
    </row>
    <row r="32" ht="17.6" spans="1:13">
      <c r="A32" s="1">
        <v>29</v>
      </c>
      <c r="B32" s="4" t="s">
        <v>65</v>
      </c>
      <c r="C32" s="5">
        <v>79.95</v>
      </c>
      <c r="D32" s="10">
        <v>0.6</v>
      </c>
      <c r="E32" s="25">
        <f t="shared" si="0"/>
        <v>133.25</v>
      </c>
      <c r="F32" s="26" t="s">
        <v>23</v>
      </c>
      <c r="G32" s="30"/>
      <c r="H32" s="31"/>
      <c r="I32" s="40"/>
      <c r="J32" s="9"/>
      <c r="K32" s="25"/>
      <c r="L32" s="26"/>
      <c r="M32" s="49"/>
    </row>
    <row r="33" ht="17.6" spans="1:13">
      <c r="A33" s="13"/>
      <c r="B33" s="14" t="s">
        <v>66</v>
      </c>
      <c r="C33" s="15">
        <f>SUM(C4:C32)</f>
        <v>4210.38</v>
      </c>
      <c r="D33" s="16">
        <f>SUM(D4:D32)</f>
        <v>48.8</v>
      </c>
      <c r="E33" s="32">
        <f>SUM(C33/D33)</f>
        <v>86.2782786885246</v>
      </c>
      <c r="F33" s="32"/>
      <c r="G33" s="33">
        <f>AVERAGE(G4:G32)</f>
        <v>0.754</v>
      </c>
      <c r="H33" s="14" t="s">
        <v>66</v>
      </c>
      <c r="I33" s="32">
        <f>SUM(I4:I32)</f>
        <v>1754.63</v>
      </c>
      <c r="J33" s="16">
        <f>SUM(J4:J32)</f>
        <v>19.4</v>
      </c>
      <c r="K33" s="32">
        <f>SUM(I33/J33)</f>
        <v>90.4448453608248</v>
      </c>
      <c r="L33" s="32"/>
      <c r="M33" s="33">
        <f>AVERAGE(M4:M32)</f>
        <v>0.786666666666667</v>
      </c>
    </row>
    <row r="34" ht="17.6" spans="1:13">
      <c r="A34" s="1"/>
      <c r="B34" s="17"/>
      <c r="C34" s="3" t="s">
        <v>67</v>
      </c>
      <c r="D34" s="2">
        <v>10</v>
      </c>
      <c r="E34" s="22"/>
      <c r="F34" s="22"/>
      <c r="G34" s="23"/>
      <c r="H34" s="34"/>
      <c r="I34" s="25" t="s">
        <v>67</v>
      </c>
      <c r="J34" s="2">
        <v>7</v>
      </c>
      <c r="K34" s="41"/>
      <c r="L34" s="41"/>
      <c r="M34" s="23"/>
    </row>
    <row r="35" ht="17.6" spans="1:13">
      <c r="A35" s="17"/>
      <c r="B35" s="17"/>
      <c r="C35" s="18" t="s">
        <v>68</v>
      </c>
      <c r="D35" s="19">
        <f>SUM(D33/D34)</f>
        <v>4.88</v>
      </c>
      <c r="E35" s="17"/>
      <c r="F35" s="17"/>
      <c r="G35" s="35"/>
      <c r="H35" s="17"/>
      <c r="I35" s="42" t="s">
        <v>68</v>
      </c>
      <c r="J35" s="19">
        <f>SUM(J33/J34)</f>
        <v>2.77142857142857</v>
      </c>
      <c r="K35" s="41"/>
      <c r="L35" s="41"/>
      <c r="M35" s="35"/>
    </row>
    <row r="36" ht="17.6" spans="1:19">
      <c r="A36" s="1"/>
      <c r="B36" s="17"/>
      <c r="C36" s="17"/>
      <c r="D36" s="17"/>
      <c r="E36" s="36" t="s">
        <v>69</v>
      </c>
      <c r="F36" s="36"/>
      <c r="G36" s="37"/>
      <c r="H36" s="17"/>
      <c r="I36" s="43"/>
      <c r="J36" s="17"/>
      <c r="K36" s="41"/>
      <c r="L36" s="41"/>
      <c r="M36" s="35"/>
      <c r="N36" s="17"/>
      <c r="O36" s="17"/>
      <c r="P36" s="17"/>
      <c r="Q36" s="17"/>
      <c r="R36" s="17"/>
      <c r="S36" s="23"/>
    </row>
    <row r="37" ht="17.6" spans="1:19">
      <c r="A37" s="1"/>
      <c r="B37" s="1"/>
      <c r="C37" s="1"/>
      <c r="D37" s="1"/>
      <c r="E37" s="1"/>
      <c r="F37" s="1"/>
      <c r="G37" s="38"/>
      <c r="H37" s="14" t="s">
        <v>70</v>
      </c>
      <c r="I37" s="44" t="s">
        <v>3</v>
      </c>
      <c r="J37" s="14" t="s">
        <v>71</v>
      </c>
      <c r="K37" s="41"/>
      <c r="L37" s="41"/>
      <c r="M37" s="38"/>
      <c r="N37" s="1"/>
      <c r="O37" s="1"/>
      <c r="P37" s="1"/>
      <c r="Q37" s="1"/>
      <c r="R37" s="1"/>
      <c r="S37" s="30"/>
    </row>
    <row r="38" ht="17.6" spans="1:19">
      <c r="A38" s="1"/>
      <c r="B38" s="1"/>
      <c r="C38" s="1"/>
      <c r="D38" s="1"/>
      <c r="E38" s="1"/>
      <c r="F38" s="1"/>
      <c r="G38" s="38"/>
      <c r="H38" s="39">
        <v>17</v>
      </c>
      <c r="I38" s="45" t="e">
        <f>SUM(D33+J33+#REF!)</f>
        <v>#REF!</v>
      </c>
      <c r="J38" s="46" t="e">
        <f>SUM(I38/H38)</f>
        <v>#REF!</v>
      </c>
      <c r="K38" s="41"/>
      <c r="L38" s="41"/>
      <c r="M38" s="38"/>
      <c r="N38" s="1"/>
      <c r="O38" s="1"/>
      <c r="P38" s="1"/>
      <c r="Q38" s="1"/>
      <c r="R38" s="1"/>
      <c r="S38" s="3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2024-12-06T17:41:52Z</dcterms:created>
  <dcterms:modified xsi:type="dcterms:W3CDTF">2024-12-06T18:24:18Z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ED94541C34EA9823E0C65267D15F1C08_41</vt:lpwstr>
  </property>
  <property fmtid="{D5CDD505-2E9C-101B-9397-08002B2CF9AE}" pid="3" name="KSOProductBuildVer">
    <vt:lpwstr>2052-6.8.2.8850</vt:lpwstr>
  </property>
</Properties>
</file>