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6AB63841-9432-4A00-992E-B520C7A89BEA}" xr6:coauthVersionLast="36" xr6:coauthVersionMax="36" xr10:uidLastSave="{00000000-0000-0000-0000-000000000000}"/>
  <bookViews>
    <workbookView xWindow="0" yWindow="0" windowWidth="15348" windowHeight="4968" xr2:uid="{4A5E9958-9FBE-41E8-8DF0-29DF3F07B81A}"/>
  </bookViews>
  <sheets>
    <sheet name="Table 8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I26" i="1"/>
  <c r="E26" i="1"/>
  <c r="D26" i="1"/>
  <c r="C26" i="1"/>
  <c r="B26" i="1"/>
  <c r="I25" i="1"/>
  <c r="H25" i="1"/>
  <c r="E25" i="1"/>
  <c r="C25" i="1"/>
  <c r="B25" i="1"/>
  <c r="K24" i="1"/>
  <c r="K26" i="1" s="1"/>
  <c r="J24" i="1"/>
  <c r="J25" i="1" s="1"/>
  <c r="I24" i="1"/>
  <c r="H24" i="1"/>
  <c r="H26" i="1" s="1"/>
  <c r="G24" i="1"/>
  <c r="G25" i="1" s="1"/>
  <c r="F24" i="1"/>
  <c r="F25" i="1" s="1"/>
  <c r="E24" i="1"/>
  <c r="D24" i="1"/>
  <c r="D25" i="1" s="1"/>
  <c r="C24" i="1"/>
  <c r="B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24" i="1" s="1"/>
  <c r="L7" i="1"/>
  <c r="L27" i="1" l="1"/>
  <c r="I27" i="1"/>
  <c r="D27" i="1"/>
  <c r="E27" i="1"/>
  <c r="C27" i="1"/>
  <c r="B27" i="1"/>
  <c r="L25" i="1"/>
  <c r="L26" i="1"/>
  <c r="J27" i="1"/>
  <c r="K25" i="1"/>
  <c r="F27" i="1"/>
  <c r="F26" i="1"/>
  <c r="G27" i="1"/>
  <c r="G26" i="1"/>
  <c r="H27" i="1"/>
  <c r="K27" i="1"/>
</calcChain>
</file>

<file path=xl/sharedStrings.xml><?xml version="1.0" encoding="utf-8"?>
<sst xmlns="http://schemas.openxmlformats.org/spreadsheetml/2006/main" count="137" uniqueCount="42">
  <si>
    <t>Table 8 Scientific procedures (non-toxicology) by species of animal and techniques of particular interest</t>
  </si>
  <si>
    <t>Great Britain 2011</t>
  </si>
  <si>
    <t>Number of procedures</t>
  </si>
  <si>
    <t>Species of animal</t>
  </si>
  <si>
    <t>Techniques of particular interest</t>
  </si>
  <si>
    <t>All other</t>
  </si>
  <si>
    <t>Total</t>
  </si>
  <si>
    <t>Interference with organs of special sense</t>
  </si>
  <si>
    <t>Injection into brain</t>
  </si>
  <si>
    <t>Interference with brain</t>
  </si>
  <si>
    <t>Psychological stress</t>
  </si>
  <si>
    <t>Aversive training</t>
  </si>
  <si>
    <t>Radiation</t>
  </si>
  <si>
    <t>Inhalation</t>
  </si>
  <si>
    <t>Thermal injury</t>
  </si>
  <si>
    <t>Physical trauma</t>
  </si>
  <si>
    <t>techniques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</si>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</sst>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;[Red]\-0.0%"/>
    <numFmt numFmtId="180" formatCode="0.0%"/>
  </numFmts>
  <fonts count="9" x14ac:knownFonts="1"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4" fillId="2" borderId="5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" wrapText="1"/>
    </xf>
    <xf numFmtId="0" fontId="1" fillId="2" borderId="6" xfId="0" applyFont="1" applyFill="1" applyBorder="1"/>
    <xf numFmtId="0" fontId="4" fillId="2" borderId="2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Continuous" vertical="top" wrapText="1"/>
    </xf>
    <xf numFmtId="0" fontId="3" fillId="2" borderId="7" xfId="0" applyFont="1" applyFill="1" applyBorder="1"/>
    <xf numFmtId="0" fontId="5" fillId="0" borderId="5" xfId="0" applyFont="1" applyBorder="1"/>
    <xf numFmtId="0" fontId="1" fillId="0" borderId="8" xfId="0" applyFont="1" applyFill="1" applyBorder="1" applyAlignment="1">
      <alignment horizontal="right" vertical="top" wrapText="1"/>
    </xf>
    <xf numFmtId="0" fontId="6" fillId="0" borderId="9" xfId="0" applyFont="1" applyFill="1" applyBorder="1" applyAlignment="1">
      <alignment horizontal="right"/>
    </xf>
    <xf numFmtId="0" fontId="0" fillId="0" borderId="0" xfId="0" applyFill="1"/>
    <xf numFmtId="0" fontId="3" fillId="3" borderId="9" xfId="0" applyFont="1" applyFill="1" applyBorder="1" applyAlignment="1"/>
    <xf numFmtId="176" fontId="4" fillId="3" borderId="9" xfId="0" applyNumberFormat="1" applyFont="1" applyFill="1" applyBorder="1" applyAlignment="1">
      <alignment horizontal="right"/>
    </xf>
    <xf numFmtId="176" fontId="4" fillId="3" borderId="9" xfId="0" applyNumberFormat="1" applyFont="1" applyFill="1" applyBorder="1" applyAlignment="1"/>
    <xf numFmtId="176" fontId="3" fillId="3" borderId="9" xfId="0" applyNumberFormat="1" applyFont="1" applyFill="1" applyBorder="1" applyAlignment="1">
      <alignment horizontal="right"/>
    </xf>
    <xf numFmtId="0" fontId="3" fillId="0" borderId="9" xfId="0" applyFont="1" applyBorder="1" applyAlignment="1"/>
    <xf numFmtId="176" fontId="4" fillId="0" borderId="9" xfId="0" applyNumberFormat="1" applyFont="1" applyFill="1" applyBorder="1" applyAlignment="1">
      <alignment horizontal="right"/>
    </xf>
    <xf numFmtId="176" fontId="3" fillId="0" borderId="9" xfId="0" applyNumberFormat="1" applyFont="1" applyFill="1" applyBorder="1" applyAlignment="1">
      <alignment horizontal="right"/>
    </xf>
    <xf numFmtId="0" fontId="3" fillId="0" borderId="9" xfId="0" applyFont="1" applyBorder="1" applyAlignment="1">
      <alignment wrapText="1"/>
    </xf>
    <xf numFmtId="0" fontId="4" fillId="0" borderId="9" xfId="0" applyFont="1" applyBorder="1"/>
    <xf numFmtId="0" fontId="4" fillId="3" borderId="9" xfId="0" applyFont="1" applyFill="1" applyBorder="1"/>
    <xf numFmtId="0" fontId="3" fillId="0" borderId="9" xfId="0" applyFont="1" applyBorder="1"/>
    <xf numFmtId="0" fontId="5" fillId="3" borderId="9" xfId="0" applyFont="1" applyFill="1" applyBorder="1"/>
    <xf numFmtId="0" fontId="5" fillId="0" borderId="9" xfId="0" applyFont="1" applyBorder="1"/>
    <xf numFmtId="0" fontId="5" fillId="3" borderId="7" xfId="0" applyFont="1" applyFill="1" applyBorder="1"/>
    <xf numFmtId="176" fontId="7" fillId="0" borderId="0" xfId="0" applyNumberFormat="1" applyFont="1" applyFill="1" applyBorder="1"/>
    <xf numFmtId="176" fontId="0" fillId="0" borderId="0" xfId="0" applyNumberFormat="1"/>
    <xf numFmtId="0" fontId="3" fillId="2" borderId="10" xfId="0" applyFont="1" applyFill="1" applyBorder="1" applyAlignment="1">
      <alignment vertical="center"/>
    </xf>
    <xf numFmtId="176" fontId="3" fillId="2" borderId="10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177" fontId="4" fillId="0" borderId="10" xfId="0" applyNumberFormat="1" applyFont="1" applyFill="1" applyBorder="1" applyAlignment="1">
      <alignment horizontal="right" vertical="center"/>
    </xf>
    <xf numFmtId="178" fontId="8" fillId="0" borderId="10" xfId="0" applyNumberFormat="1" applyFont="1" applyFill="1" applyBorder="1" applyAlignment="1">
      <alignment horizontal="right" vertical="center"/>
    </xf>
    <xf numFmtId="179" fontId="8" fillId="0" borderId="10" xfId="0" applyNumberFormat="1" applyFont="1" applyFill="1" applyBorder="1" applyAlignment="1">
      <alignment horizontal="right" vertical="center"/>
    </xf>
    <xf numFmtId="9" fontId="4" fillId="0" borderId="10" xfId="0" applyNumberFormat="1" applyFont="1" applyFill="1" applyBorder="1" applyAlignment="1">
      <alignment horizontal="right" vertical="center"/>
    </xf>
    <xf numFmtId="180" fontId="4" fillId="0" borderId="10" xfId="0" applyNumberFormat="1" applyFont="1" applyFill="1" applyBorder="1" applyAlignment="1">
      <alignment horizontal="right" vertical="center"/>
    </xf>
    <xf numFmtId="0" fontId="4" fillId="0" borderId="10" xfId="0" applyFont="1" applyBorder="1" applyAlignment="1">
      <alignment horizontal="left"/>
    </xf>
    <xf numFmtId="176" fontId="4" fillId="0" borderId="10" xfId="0" applyNumberFormat="1" applyFont="1" applyFill="1" applyBorder="1" applyAlignment="1">
      <alignment vertical="center"/>
    </xf>
    <xf numFmtId="0" fontId="6" fillId="0" borderId="0" xfId="0" applyFont="1"/>
    <xf numFmtId="176" fontId="4" fillId="0" borderId="0" xfId="0" applyNumberFormat="1" applyFont="1"/>
    <xf numFmtId="0" fontId="6" fillId="0" borderId="0" xfId="0" applyFont="1" applyFill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3BC4-631E-49D6-AD57-56D454E5B23F}">
  <sheetPr>
    <tabColor indexed="26"/>
  </sheetPr>
  <dimension ref="A1:O66"/>
  <sheetViews>
    <sheetView showGridLines="0" tabSelected="1" zoomScaleNormal="100" workbookViewId="0">
      <selection activeCell="B4" sqref="B4"/>
    </sheetView>
  </sheetViews>
  <sheetFormatPr defaultRowHeight="13.2" x14ac:dyDescent="0.25"/>
  <cols>
    <col min="1" max="1" width="52" customWidth="1"/>
    <col min="2" max="2" width="28.6640625" customWidth="1"/>
    <col min="3" max="3" width="20.6640625" customWidth="1"/>
    <col min="4" max="4" width="25" customWidth="1"/>
    <col min="5" max="5" width="24.6640625" customWidth="1"/>
    <col min="6" max="9" width="20.6640625" customWidth="1"/>
    <col min="10" max="10" width="19.33203125" customWidth="1"/>
    <col min="11" max="11" width="22.44140625" customWidth="1"/>
    <col min="12" max="12" width="22.88671875" customWidth="1"/>
    <col min="14" max="14" width="15.5546875" bestFit="1" customWidth="1"/>
    <col min="15" max="15" width="9.88671875" bestFit="1" customWidth="1"/>
    <col min="257" max="257" width="52" customWidth="1"/>
    <col min="258" max="258" width="28.6640625" customWidth="1"/>
    <col min="259" max="259" width="20.6640625" customWidth="1"/>
    <col min="260" max="260" width="25" customWidth="1"/>
    <col min="261" max="261" width="24.6640625" customWidth="1"/>
    <col min="262" max="265" width="20.6640625" customWidth="1"/>
    <col min="266" max="266" width="19.33203125" customWidth="1"/>
    <col min="267" max="267" width="22.44140625" customWidth="1"/>
    <col min="268" max="268" width="22.88671875" customWidth="1"/>
    <col min="270" max="270" width="15.5546875" bestFit="1" customWidth="1"/>
    <col min="271" max="271" width="9.88671875" bestFit="1" customWidth="1"/>
    <col min="513" max="513" width="52" customWidth="1"/>
    <col min="514" max="514" width="28.6640625" customWidth="1"/>
    <col min="515" max="515" width="20.6640625" customWidth="1"/>
    <col min="516" max="516" width="25" customWidth="1"/>
    <col min="517" max="517" width="24.6640625" customWidth="1"/>
    <col min="518" max="521" width="20.6640625" customWidth="1"/>
    <col min="522" max="522" width="19.33203125" customWidth="1"/>
    <col min="523" max="523" width="22.44140625" customWidth="1"/>
    <col min="524" max="524" width="22.88671875" customWidth="1"/>
    <col min="526" max="526" width="15.5546875" bestFit="1" customWidth="1"/>
    <col min="527" max="527" width="9.88671875" bestFit="1" customWidth="1"/>
    <col min="769" max="769" width="52" customWidth="1"/>
    <col min="770" max="770" width="28.6640625" customWidth="1"/>
    <col min="771" max="771" width="20.6640625" customWidth="1"/>
    <col min="772" max="772" width="25" customWidth="1"/>
    <col min="773" max="773" width="24.6640625" customWidth="1"/>
    <col min="774" max="777" width="20.6640625" customWidth="1"/>
    <col min="778" max="778" width="19.33203125" customWidth="1"/>
    <col min="779" max="779" width="22.44140625" customWidth="1"/>
    <col min="780" max="780" width="22.88671875" customWidth="1"/>
    <col min="782" max="782" width="15.5546875" bestFit="1" customWidth="1"/>
    <col min="783" max="783" width="9.88671875" bestFit="1" customWidth="1"/>
    <col min="1025" max="1025" width="52" customWidth="1"/>
    <col min="1026" max="1026" width="28.6640625" customWidth="1"/>
    <col min="1027" max="1027" width="20.6640625" customWidth="1"/>
    <col min="1028" max="1028" width="25" customWidth="1"/>
    <col min="1029" max="1029" width="24.6640625" customWidth="1"/>
    <col min="1030" max="1033" width="20.6640625" customWidth="1"/>
    <col min="1034" max="1034" width="19.33203125" customWidth="1"/>
    <col min="1035" max="1035" width="22.44140625" customWidth="1"/>
    <col min="1036" max="1036" width="22.88671875" customWidth="1"/>
    <col min="1038" max="1038" width="15.5546875" bestFit="1" customWidth="1"/>
    <col min="1039" max="1039" width="9.88671875" bestFit="1" customWidth="1"/>
    <col min="1281" max="1281" width="52" customWidth="1"/>
    <col min="1282" max="1282" width="28.6640625" customWidth="1"/>
    <col min="1283" max="1283" width="20.6640625" customWidth="1"/>
    <col min="1284" max="1284" width="25" customWidth="1"/>
    <col min="1285" max="1285" width="24.6640625" customWidth="1"/>
    <col min="1286" max="1289" width="20.6640625" customWidth="1"/>
    <col min="1290" max="1290" width="19.33203125" customWidth="1"/>
    <col min="1291" max="1291" width="22.44140625" customWidth="1"/>
    <col min="1292" max="1292" width="22.88671875" customWidth="1"/>
    <col min="1294" max="1294" width="15.5546875" bestFit="1" customWidth="1"/>
    <col min="1295" max="1295" width="9.88671875" bestFit="1" customWidth="1"/>
    <col min="1537" max="1537" width="52" customWidth="1"/>
    <col min="1538" max="1538" width="28.6640625" customWidth="1"/>
    <col min="1539" max="1539" width="20.6640625" customWidth="1"/>
    <col min="1540" max="1540" width="25" customWidth="1"/>
    <col min="1541" max="1541" width="24.6640625" customWidth="1"/>
    <col min="1542" max="1545" width="20.6640625" customWidth="1"/>
    <col min="1546" max="1546" width="19.33203125" customWidth="1"/>
    <col min="1547" max="1547" width="22.44140625" customWidth="1"/>
    <col min="1548" max="1548" width="22.88671875" customWidth="1"/>
    <col min="1550" max="1550" width="15.5546875" bestFit="1" customWidth="1"/>
    <col min="1551" max="1551" width="9.88671875" bestFit="1" customWidth="1"/>
    <col min="1793" max="1793" width="52" customWidth="1"/>
    <col min="1794" max="1794" width="28.6640625" customWidth="1"/>
    <col min="1795" max="1795" width="20.6640625" customWidth="1"/>
    <col min="1796" max="1796" width="25" customWidth="1"/>
    <col min="1797" max="1797" width="24.6640625" customWidth="1"/>
    <col min="1798" max="1801" width="20.6640625" customWidth="1"/>
    <col min="1802" max="1802" width="19.33203125" customWidth="1"/>
    <col min="1803" max="1803" width="22.44140625" customWidth="1"/>
    <col min="1804" max="1804" width="22.88671875" customWidth="1"/>
    <col min="1806" max="1806" width="15.5546875" bestFit="1" customWidth="1"/>
    <col min="1807" max="1807" width="9.88671875" bestFit="1" customWidth="1"/>
    <col min="2049" max="2049" width="52" customWidth="1"/>
    <col min="2050" max="2050" width="28.6640625" customWidth="1"/>
    <col min="2051" max="2051" width="20.6640625" customWidth="1"/>
    <col min="2052" max="2052" width="25" customWidth="1"/>
    <col min="2053" max="2053" width="24.6640625" customWidth="1"/>
    <col min="2054" max="2057" width="20.6640625" customWidth="1"/>
    <col min="2058" max="2058" width="19.33203125" customWidth="1"/>
    <col min="2059" max="2059" width="22.44140625" customWidth="1"/>
    <col min="2060" max="2060" width="22.88671875" customWidth="1"/>
    <col min="2062" max="2062" width="15.5546875" bestFit="1" customWidth="1"/>
    <col min="2063" max="2063" width="9.88671875" bestFit="1" customWidth="1"/>
    <col min="2305" max="2305" width="52" customWidth="1"/>
    <col min="2306" max="2306" width="28.6640625" customWidth="1"/>
    <col min="2307" max="2307" width="20.6640625" customWidth="1"/>
    <col min="2308" max="2308" width="25" customWidth="1"/>
    <col min="2309" max="2309" width="24.6640625" customWidth="1"/>
    <col min="2310" max="2313" width="20.6640625" customWidth="1"/>
    <col min="2314" max="2314" width="19.33203125" customWidth="1"/>
    <col min="2315" max="2315" width="22.44140625" customWidth="1"/>
    <col min="2316" max="2316" width="22.88671875" customWidth="1"/>
    <col min="2318" max="2318" width="15.5546875" bestFit="1" customWidth="1"/>
    <col min="2319" max="2319" width="9.88671875" bestFit="1" customWidth="1"/>
    <col min="2561" max="2561" width="52" customWidth="1"/>
    <col min="2562" max="2562" width="28.6640625" customWidth="1"/>
    <col min="2563" max="2563" width="20.6640625" customWidth="1"/>
    <col min="2564" max="2564" width="25" customWidth="1"/>
    <col min="2565" max="2565" width="24.6640625" customWidth="1"/>
    <col min="2566" max="2569" width="20.6640625" customWidth="1"/>
    <col min="2570" max="2570" width="19.33203125" customWidth="1"/>
    <col min="2571" max="2571" width="22.44140625" customWidth="1"/>
    <col min="2572" max="2572" width="22.88671875" customWidth="1"/>
    <col min="2574" max="2574" width="15.5546875" bestFit="1" customWidth="1"/>
    <col min="2575" max="2575" width="9.88671875" bestFit="1" customWidth="1"/>
    <col min="2817" max="2817" width="52" customWidth="1"/>
    <col min="2818" max="2818" width="28.6640625" customWidth="1"/>
    <col min="2819" max="2819" width="20.6640625" customWidth="1"/>
    <col min="2820" max="2820" width="25" customWidth="1"/>
    <col min="2821" max="2821" width="24.6640625" customWidth="1"/>
    <col min="2822" max="2825" width="20.6640625" customWidth="1"/>
    <col min="2826" max="2826" width="19.33203125" customWidth="1"/>
    <col min="2827" max="2827" width="22.44140625" customWidth="1"/>
    <col min="2828" max="2828" width="22.88671875" customWidth="1"/>
    <col min="2830" max="2830" width="15.5546875" bestFit="1" customWidth="1"/>
    <col min="2831" max="2831" width="9.88671875" bestFit="1" customWidth="1"/>
    <col min="3073" max="3073" width="52" customWidth="1"/>
    <col min="3074" max="3074" width="28.6640625" customWidth="1"/>
    <col min="3075" max="3075" width="20.6640625" customWidth="1"/>
    <col min="3076" max="3076" width="25" customWidth="1"/>
    <col min="3077" max="3077" width="24.6640625" customWidth="1"/>
    <col min="3078" max="3081" width="20.6640625" customWidth="1"/>
    <col min="3082" max="3082" width="19.33203125" customWidth="1"/>
    <col min="3083" max="3083" width="22.44140625" customWidth="1"/>
    <col min="3084" max="3084" width="22.88671875" customWidth="1"/>
    <col min="3086" max="3086" width="15.5546875" bestFit="1" customWidth="1"/>
    <col min="3087" max="3087" width="9.88671875" bestFit="1" customWidth="1"/>
    <col min="3329" max="3329" width="52" customWidth="1"/>
    <col min="3330" max="3330" width="28.6640625" customWidth="1"/>
    <col min="3331" max="3331" width="20.6640625" customWidth="1"/>
    <col min="3332" max="3332" width="25" customWidth="1"/>
    <col min="3333" max="3333" width="24.6640625" customWidth="1"/>
    <col min="3334" max="3337" width="20.6640625" customWidth="1"/>
    <col min="3338" max="3338" width="19.33203125" customWidth="1"/>
    <col min="3339" max="3339" width="22.44140625" customWidth="1"/>
    <col min="3340" max="3340" width="22.88671875" customWidth="1"/>
    <col min="3342" max="3342" width="15.5546875" bestFit="1" customWidth="1"/>
    <col min="3343" max="3343" width="9.88671875" bestFit="1" customWidth="1"/>
    <col min="3585" max="3585" width="52" customWidth="1"/>
    <col min="3586" max="3586" width="28.6640625" customWidth="1"/>
    <col min="3587" max="3587" width="20.6640625" customWidth="1"/>
    <col min="3588" max="3588" width="25" customWidth="1"/>
    <col min="3589" max="3589" width="24.6640625" customWidth="1"/>
    <col min="3590" max="3593" width="20.6640625" customWidth="1"/>
    <col min="3594" max="3594" width="19.33203125" customWidth="1"/>
    <col min="3595" max="3595" width="22.44140625" customWidth="1"/>
    <col min="3596" max="3596" width="22.88671875" customWidth="1"/>
    <col min="3598" max="3598" width="15.5546875" bestFit="1" customWidth="1"/>
    <col min="3599" max="3599" width="9.88671875" bestFit="1" customWidth="1"/>
    <col min="3841" max="3841" width="52" customWidth="1"/>
    <col min="3842" max="3842" width="28.6640625" customWidth="1"/>
    <col min="3843" max="3843" width="20.6640625" customWidth="1"/>
    <col min="3844" max="3844" width="25" customWidth="1"/>
    <col min="3845" max="3845" width="24.6640625" customWidth="1"/>
    <col min="3846" max="3849" width="20.6640625" customWidth="1"/>
    <col min="3850" max="3850" width="19.33203125" customWidth="1"/>
    <col min="3851" max="3851" width="22.44140625" customWidth="1"/>
    <col min="3852" max="3852" width="22.88671875" customWidth="1"/>
    <col min="3854" max="3854" width="15.5546875" bestFit="1" customWidth="1"/>
    <col min="3855" max="3855" width="9.88671875" bestFit="1" customWidth="1"/>
    <col min="4097" max="4097" width="52" customWidth="1"/>
    <col min="4098" max="4098" width="28.6640625" customWidth="1"/>
    <col min="4099" max="4099" width="20.6640625" customWidth="1"/>
    <col min="4100" max="4100" width="25" customWidth="1"/>
    <col min="4101" max="4101" width="24.6640625" customWidth="1"/>
    <col min="4102" max="4105" width="20.6640625" customWidth="1"/>
    <col min="4106" max="4106" width="19.33203125" customWidth="1"/>
    <col min="4107" max="4107" width="22.44140625" customWidth="1"/>
    <col min="4108" max="4108" width="22.88671875" customWidth="1"/>
    <col min="4110" max="4110" width="15.5546875" bestFit="1" customWidth="1"/>
    <col min="4111" max="4111" width="9.88671875" bestFit="1" customWidth="1"/>
    <col min="4353" max="4353" width="52" customWidth="1"/>
    <col min="4354" max="4354" width="28.6640625" customWidth="1"/>
    <col min="4355" max="4355" width="20.6640625" customWidth="1"/>
    <col min="4356" max="4356" width="25" customWidth="1"/>
    <col min="4357" max="4357" width="24.6640625" customWidth="1"/>
    <col min="4358" max="4361" width="20.6640625" customWidth="1"/>
    <col min="4362" max="4362" width="19.33203125" customWidth="1"/>
    <col min="4363" max="4363" width="22.44140625" customWidth="1"/>
    <col min="4364" max="4364" width="22.88671875" customWidth="1"/>
    <col min="4366" max="4366" width="15.5546875" bestFit="1" customWidth="1"/>
    <col min="4367" max="4367" width="9.88671875" bestFit="1" customWidth="1"/>
    <col min="4609" max="4609" width="52" customWidth="1"/>
    <col min="4610" max="4610" width="28.6640625" customWidth="1"/>
    <col min="4611" max="4611" width="20.6640625" customWidth="1"/>
    <col min="4612" max="4612" width="25" customWidth="1"/>
    <col min="4613" max="4613" width="24.6640625" customWidth="1"/>
    <col min="4614" max="4617" width="20.6640625" customWidth="1"/>
    <col min="4618" max="4618" width="19.33203125" customWidth="1"/>
    <col min="4619" max="4619" width="22.44140625" customWidth="1"/>
    <col min="4620" max="4620" width="22.88671875" customWidth="1"/>
    <col min="4622" max="4622" width="15.5546875" bestFit="1" customWidth="1"/>
    <col min="4623" max="4623" width="9.88671875" bestFit="1" customWidth="1"/>
    <col min="4865" max="4865" width="52" customWidth="1"/>
    <col min="4866" max="4866" width="28.6640625" customWidth="1"/>
    <col min="4867" max="4867" width="20.6640625" customWidth="1"/>
    <col min="4868" max="4868" width="25" customWidth="1"/>
    <col min="4869" max="4869" width="24.6640625" customWidth="1"/>
    <col min="4870" max="4873" width="20.6640625" customWidth="1"/>
    <col min="4874" max="4874" width="19.33203125" customWidth="1"/>
    <col min="4875" max="4875" width="22.44140625" customWidth="1"/>
    <col min="4876" max="4876" width="22.88671875" customWidth="1"/>
    <col min="4878" max="4878" width="15.5546875" bestFit="1" customWidth="1"/>
    <col min="4879" max="4879" width="9.88671875" bestFit="1" customWidth="1"/>
    <col min="5121" max="5121" width="52" customWidth="1"/>
    <col min="5122" max="5122" width="28.6640625" customWidth="1"/>
    <col min="5123" max="5123" width="20.6640625" customWidth="1"/>
    <col min="5124" max="5124" width="25" customWidth="1"/>
    <col min="5125" max="5125" width="24.6640625" customWidth="1"/>
    <col min="5126" max="5129" width="20.6640625" customWidth="1"/>
    <col min="5130" max="5130" width="19.33203125" customWidth="1"/>
    <col min="5131" max="5131" width="22.44140625" customWidth="1"/>
    <col min="5132" max="5132" width="22.88671875" customWidth="1"/>
    <col min="5134" max="5134" width="15.5546875" bestFit="1" customWidth="1"/>
    <col min="5135" max="5135" width="9.88671875" bestFit="1" customWidth="1"/>
    <col min="5377" max="5377" width="52" customWidth="1"/>
    <col min="5378" max="5378" width="28.6640625" customWidth="1"/>
    <col min="5379" max="5379" width="20.6640625" customWidth="1"/>
    <col min="5380" max="5380" width="25" customWidth="1"/>
    <col min="5381" max="5381" width="24.6640625" customWidth="1"/>
    <col min="5382" max="5385" width="20.6640625" customWidth="1"/>
    <col min="5386" max="5386" width="19.33203125" customWidth="1"/>
    <col min="5387" max="5387" width="22.44140625" customWidth="1"/>
    <col min="5388" max="5388" width="22.88671875" customWidth="1"/>
    <col min="5390" max="5390" width="15.5546875" bestFit="1" customWidth="1"/>
    <col min="5391" max="5391" width="9.88671875" bestFit="1" customWidth="1"/>
    <col min="5633" max="5633" width="52" customWidth="1"/>
    <col min="5634" max="5634" width="28.6640625" customWidth="1"/>
    <col min="5635" max="5635" width="20.6640625" customWidth="1"/>
    <col min="5636" max="5636" width="25" customWidth="1"/>
    <col min="5637" max="5637" width="24.6640625" customWidth="1"/>
    <col min="5638" max="5641" width="20.6640625" customWidth="1"/>
    <col min="5642" max="5642" width="19.33203125" customWidth="1"/>
    <col min="5643" max="5643" width="22.44140625" customWidth="1"/>
    <col min="5644" max="5644" width="22.88671875" customWidth="1"/>
    <col min="5646" max="5646" width="15.5546875" bestFit="1" customWidth="1"/>
    <col min="5647" max="5647" width="9.88671875" bestFit="1" customWidth="1"/>
    <col min="5889" max="5889" width="52" customWidth="1"/>
    <col min="5890" max="5890" width="28.6640625" customWidth="1"/>
    <col min="5891" max="5891" width="20.6640625" customWidth="1"/>
    <col min="5892" max="5892" width="25" customWidth="1"/>
    <col min="5893" max="5893" width="24.6640625" customWidth="1"/>
    <col min="5894" max="5897" width="20.6640625" customWidth="1"/>
    <col min="5898" max="5898" width="19.33203125" customWidth="1"/>
    <col min="5899" max="5899" width="22.44140625" customWidth="1"/>
    <col min="5900" max="5900" width="22.88671875" customWidth="1"/>
    <col min="5902" max="5902" width="15.5546875" bestFit="1" customWidth="1"/>
    <col min="5903" max="5903" width="9.88671875" bestFit="1" customWidth="1"/>
    <col min="6145" max="6145" width="52" customWidth="1"/>
    <col min="6146" max="6146" width="28.6640625" customWidth="1"/>
    <col min="6147" max="6147" width="20.6640625" customWidth="1"/>
    <col min="6148" max="6148" width="25" customWidth="1"/>
    <col min="6149" max="6149" width="24.6640625" customWidth="1"/>
    <col min="6150" max="6153" width="20.6640625" customWidth="1"/>
    <col min="6154" max="6154" width="19.33203125" customWidth="1"/>
    <col min="6155" max="6155" width="22.44140625" customWidth="1"/>
    <col min="6156" max="6156" width="22.88671875" customWidth="1"/>
    <col min="6158" max="6158" width="15.5546875" bestFit="1" customWidth="1"/>
    <col min="6159" max="6159" width="9.88671875" bestFit="1" customWidth="1"/>
    <col min="6401" max="6401" width="52" customWidth="1"/>
    <col min="6402" max="6402" width="28.6640625" customWidth="1"/>
    <col min="6403" max="6403" width="20.6640625" customWidth="1"/>
    <col min="6404" max="6404" width="25" customWidth="1"/>
    <col min="6405" max="6405" width="24.6640625" customWidth="1"/>
    <col min="6406" max="6409" width="20.6640625" customWidth="1"/>
    <col min="6410" max="6410" width="19.33203125" customWidth="1"/>
    <col min="6411" max="6411" width="22.44140625" customWidth="1"/>
    <col min="6412" max="6412" width="22.88671875" customWidth="1"/>
    <col min="6414" max="6414" width="15.5546875" bestFit="1" customWidth="1"/>
    <col min="6415" max="6415" width="9.88671875" bestFit="1" customWidth="1"/>
    <col min="6657" max="6657" width="52" customWidth="1"/>
    <col min="6658" max="6658" width="28.6640625" customWidth="1"/>
    <col min="6659" max="6659" width="20.6640625" customWidth="1"/>
    <col min="6660" max="6660" width="25" customWidth="1"/>
    <col min="6661" max="6661" width="24.6640625" customWidth="1"/>
    <col min="6662" max="6665" width="20.6640625" customWidth="1"/>
    <col min="6666" max="6666" width="19.33203125" customWidth="1"/>
    <col min="6667" max="6667" width="22.44140625" customWidth="1"/>
    <col min="6668" max="6668" width="22.88671875" customWidth="1"/>
    <col min="6670" max="6670" width="15.5546875" bestFit="1" customWidth="1"/>
    <col min="6671" max="6671" width="9.88671875" bestFit="1" customWidth="1"/>
    <col min="6913" max="6913" width="52" customWidth="1"/>
    <col min="6914" max="6914" width="28.6640625" customWidth="1"/>
    <col min="6915" max="6915" width="20.6640625" customWidth="1"/>
    <col min="6916" max="6916" width="25" customWidth="1"/>
    <col min="6917" max="6917" width="24.6640625" customWidth="1"/>
    <col min="6918" max="6921" width="20.6640625" customWidth="1"/>
    <col min="6922" max="6922" width="19.33203125" customWidth="1"/>
    <col min="6923" max="6923" width="22.44140625" customWidth="1"/>
    <col min="6924" max="6924" width="22.88671875" customWidth="1"/>
    <col min="6926" max="6926" width="15.5546875" bestFit="1" customWidth="1"/>
    <col min="6927" max="6927" width="9.88671875" bestFit="1" customWidth="1"/>
    <col min="7169" max="7169" width="52" customWidth="1"/>
    <col min="7170" max="7170" width="28.6640625" customWidth="1"/>
    <col min="7171" max="7171" width="20.6640625" customWidth="1"/>
    <col min="7172" max="7172" width="25" customWidth="1"/>
    <col min="7173" max="7173" width="24.6640625" customWidth="1"/>
    <col min="7174" max="7177" width="20.6640625" customWidth="1"/>
    <col min="7178" max="7178" width="19.33203125" customWidth="1"/>
    <col min="7179" max="7179" width="22.44140625" customWidth="1"/>
    <col min="7180" max="7180" width="22.88671875" customWidth="1"/>
    <col min="7182" max="7182" width="15.5546875" bestFit="1" customWidth="1"/>
    <col min="7183" max="7183" width="9.88671875" bestFit="1" customWidth="1"/>
    <col min="7425" max="7425" width="52" customWidth="1"/>
    <col min="7426" max="7426" width="28.6640625" customWidth="1"/>
    <col min="7427" max="7427" width="20.6640625" customWidth="1"/>
    <col min="7428" max="7428" width="25" customWidth="1"/>
    <col min="7429" max="7429" width="24.6640625" customWidth="1"/>
    <col min="7430" max="7433" width="20.6640625" customWidth="1"/>
    <col min="7434" max="7434" width="19.33203125" customWidth="1"/>
    <col min="7435" max="7435" width="22.44140625" customWidth="1"/>
    <col min="7436" max="7436" width="22.88671875" customWidth="1"/>
    <col min="7438" max="7438" width="15.5546875" bestFit="1" customWidth="1"/>
    <col min="7439" max="7439" width="9.88671875" bestFit="1" customWidth="1"/>
    <col min="7681" max="7681" width="52" customWidth="1"/>
    <col min="7682" max="7682" width="28.6640625" customWidth="1"/>
    <col min="7683" max="7683" width="20.6640625" customWidth="1"/>
    <col min="7684" max="7684" width="25" customWidth="1"/>
    <col min="7685" max="7685" width="24.6640625" customWidth="1"/>
    <col min="7686" max="7689" width="20.6640625" customWidth="1"/>
    <col min="7690" max="7690" width="19.33203125" customWidth="1"/>
    <col min="7691" max="7691" width="22.44140625" customWidth="1"/>
    <col min="7692" max="7692" width="22.88671875" customWidth="1"/>
    <col min="7694" max="7694" width="15.5546875" bestFit="1" customWidth="1"/>
    <col min="7695" max="7695" width="9.88671875" bestFit="1" customWidth="1"/>
    <col min="7937" max="7937" width="52" customWidth="1"/>
    <col min="7938" max="7938" width="28.6640625" customWidth="1"/>
    <col min="7939" max="7939" width="20.6640625" customWidth="1"/>
    <col min="7940" max="7940" width="25" customWidth="1"/>
    <col min="7941" max="7941" width="24.6640625" customWidth="1"/>
    <col min="7942" max="7945" width="20.6640625" customWidth="1"/>
    <col min="7946" max="7946" width="19.33203125" customWidth="1"/>
    <col min="7947" max="7947" width="22.44140625" customWidth="1"/>
    <col min="7948" max="7948" width="22.88671875" customWidth="1"/>
    <col min="7950" max="7950" width="15.5546875" bestFit="1" customWidth="1"/>
    <col min="7951" max="7951" width="9.88671875" bestFit="1" customWidth="1"/>
    <col min="8193" max="8193" width="52" customWidth="1"/>
    <col min="8194" max="8194" width="28.6640625" customWidth="1"/>
    <col min="8195" max="8195" width="20.6640625" customWidth="1"/>
    <col min="8196" max="8196" width="25" customWidth="1"/>
    <col min="8197" max="8197" width="24.6640625" customWidth="1"/>
    <col min="8198" max="8201" width="20.6640625" customWidth="1"/>
    <col min="8202" max="8202" width="19.33203125" customWidth="1"/>
    <col min="8203" max="8203" width="22.44140625" customWidth="1"/>
    <col min="8204" max="8204" width="22.88671875" customWidth="1"/>
    <col min="8206" max="8206" width="15.5546875" bestFit="1" customWidth="1"/>
    <col min="8207" max="8207" width="9.88671875" bestFit="1" customWidth="1"/>
    <col min="8449" max="8449" width="52" customWidth="1"/>
    <col min="8450" max="8450" width="28.6640625" customWidth="1"/>
    <col min="8451" max="8451" width="20.6640625" customWidth="1"/>
    <col min="8452" max="8452" width="25" customWidth="1"/>
    <col min="8453" max="8453" width="24.6640625" customWidth="1"/>
    <col min="8454" max="8457" width="20.6640625" customWidth="1"/>
    <col min="8458" max="8458" width="19.33203125" customWidth="1"/>
    <col min="8459" max="8459" width="22.44140625" customWidth="1"/>
    <col min="8460" max="8460" width="22.88671875" customWidth="1"/>
    <col min="8462" max="8462" width="15.5546875" bestFit="1" customWidth="1"/>
    <col min="8463" max="8463" width="9.88671875" bestFit="1" customWidth="1"/>
    <col min="8705" max="8705" width="52" customWidth="1"/>
    <col min="8706" max="8706" width="28.6640625" customWidth="1"/>
    <col min="8707" max="8707" width="20.6640625" customWidth="1"/>
    <col min="8708" max="8708" width="25" customWidth="1"/>
    <col min="8709" max="8709" width="24.6640625" customWidth="1"/>
    <col min="8710" max="8713" width="20.6640625" customWidth="1"/>
    <col min="8714" max="8714" width="19.33203125" customWidth="1"/>
    <col min="8715" max="8715" width="22.44140625" customWidth="1"/>
    <col min="8716" max="8716" width="22.88671875" customWidth="1"/>
    <col min="8718" max="8718" width="15.5546875" bestFit="1" customWidth="1"/>
    <col min="8719" max="8719" width="9.88671875" bestFit="1" customWidth="1"/>
    <col min="8961" max="8961" width="52" customWidth="1"/>
    <col min="8962" max="8962" width="28.6640625" customWidth="1"/>
    <col min="8963" max="8963" width="20.6640625" customWidth="1"/>
    <col min="8964" max="8964" width="25" customWidth="1"/>
    <col min="8965" max="8965" width="24.6640625" customWidth="1"/>
    <col min="8966" max="8969" width="20.6640625" customWidth="1"/>
    <col min="8970" max="8970" width="19.33203125" customWidth="1"/>
    <col min="8971" max="8971" width="22.44140625" customWidth="1"/>
    <col min="8972" max="8972" width="22.88671875" customWidth="1"/>
    <col min="8974" max="8974" width="15.5546875" bestFit="1" customWidth="1"/>
    <col min="8975" max="8975" width="9.88671875" bestFit="1" customWidth="1"/>
    <col min="9217" max="9217" width="52" customWidth="1"/>
    <col min="9218" max="9218" width="28.6640625" customWidth="1"/>
    <col min="9219" max="9219" width="20.6640625" customWidth="1"/>
    <col min="9220" max="9220" width="25" customWidth="1"/>
    <col min="9221" max="9221" width="24.6640625" customWidth="1"/>
    <col min="9222" max="9225" width="20.6640625" customWidth="1"/>
    <col min="9226" max="9226" width="19.33203125" customWidth="1"/>
    <col min="9227" max="9227" width="22.44140625" customWidth="1"/>
    <col min="9228" max="9228" width="22.88671875" customWidth="1"/>
    <col min="9230" max="9230" width="15.5546875" bestFit="1" customWidth="1"/>
    <col min="9231" max="9231" width="9.88671875" bestFit="1" customWidth="1"/>
    <col min="9473" max="9473" width="52" customWidth="1"/>
    <col min="9474" max="9474" width="28.6640625" customWidth="1"/>
    <col min="9475" max="9475" width="20.6640625" customWidth="1"/>
    <col min="9476" max="9476" width="25" customWidth="1"/>
    <col min="9477" max="9477" width="24.6640625" customWidth="1"/>
    <col min="9478" max="9481" width="20.6640625" customWidth="1"/>
    <col min="9482" max="9482" width="19.33203125" customWidth="1"/>
    <col min="9483" max="9483" width="22.44140625" customWidth="1"/>
    <col min="9484" max="9484" width="22.88671875" customWidth="1"/>
    <col min="9486" max="9486" width="15.5546875" bestFit="1" customWidth="1"/>
    <col min="9487" max="9487" width="9.88671875" bestFit="1" customWidth="1"/>
    <col min="9729" max="9729" width="52" customWidth="1"/>
    <col min="9730" max="9730" width="28.6640625" customWidth="1"/>
    <col min="9731" max="9731" width="20.6640625" customWidth="1"/>
    <col min="9732" max="9732" width="25" customWidth="1"/>
    <col min="9733" max="9733" width="24.6640625" customWidth="1"/>
    <col min="9734" max="9737" width="20.6640625" customWidth="1"/>
    <col min="9738" max="9738" width="19.33203125" customWidth="1"/>
    <col min="9739" max="9739" width="22.44140625" customWidth="1"/>
    <col min="9740" max="9740" width="22.88671875" customWidth="1"/>
    <col min="9742" max="9742" width="15.5546875" bestFit="1" customWidth="1"/>
    <col min="9743" max="9743" width="9.88671875" bestFit="1" customWidth="1"/>
    <col min="9985" max="9985" width="52" customWidth="1"/>
    <col min="9986" max="9986" width="28.6640625" customWidth="1"/>
    <col min="9987" max="9987" width="20.6640625" customWidth="1"/>
    <col min="9988" max="9988" width="25" customWidth="1"/>
    <col min="9989" max="9989" width="24.6640625" customWidth="1"/>
    <col min="9990" max="9993" width="20.6640625" customWidth="1"/>
    <col min="9994" max="9994" width="19.33203125" customWidth="1"/>
    <col min="9995" max="9995" width="22.44140625" customWidth="1"/>
    <col min="9996" max="9996" width="22.88671875" customWidth="1"/>
    <col min="9998" max="9998" width="15.5546875" bestFit="1" customWidth="1"/>
    <col min="9999" max="9999" width="9.88671875" bestFit="1" customWidth="1"/>
    <col min="10241" max="10241" width="52" customWidth="1"/>
    <col min="10242" max="10242" width="28.6640625" customWidth="1"/>
    <col min="10243" max="10243" width="20.6640625" customWidth="1"/>
    <col min="10244" max="10244" width="25" customWidth="1"/>
    <col min="10245" max="10245" width="24.6640625" customWidth="1"/>
    <col min="10246" max="10249" width="20.6640625" customWidth="1"/>
    <col min="10250" max="10250" width="19.33203125" customWidth="1"/>
    <col min="10251" max="10251" width="22.44140625" customWidth="1"/>
    <col min="10252" max="10252" width="22.88671875" customWidth="1"/>
    <col min="10254" max="10254" width="15.5546875" bestFit="1" customWidth="1"/>
    <col min="10255" max="10255" width="9.88671875" bestFit="1" customWidth="1"/>
    <col min="10497" max="10497" width="52" customWidth="1"/>
    <col min="10498" max="10498" width="28.6640625" customWidth="1"/>
    <col min="10499" max="10499" width="20.6640625" customWidth="1"/>
    <col min="10500" max="10500" width="25" customWidth="1"/>
    <col min="10501" max="10501" width="24.6640625" customWidth="1"/>
    <col min="10502" max="10505" width="20.6640625" customWidth="1"/>
    <col min="10506" max="10506" width="19.33203125" customWidth="1"/>
    <col min="10507" max="10507" width="22.44140625" customWidth="1"/>
    <col min="10508" max="10508" width="22.88671875" customWidth="1"/>
    <col min="10510" max="10510" width="15.5546875" bestFit="1" customWidth="1"/>
    <col min="10511" max="10511" width="9.88671875" bestFit="1" customWidth="1"/>
    <col min="10753" max="10753" width="52" customWidth="1"/>
    <col min="10754" max="10754" width="28.6640625" customWidth="1"/>
    <col min="10755" max="10755" width="20.6640625" customWidth="1"/>
    <col min="10756" max="10756" width="25" customWidth="1"/>
    <col min="10757" max="10757" width="24.6640625" customWidth="1"/>
    <col min="10758" max="10761" width="20.6640625" customWidth="1"/>
    <col min="10762" max="10762" width="19.33203125" customWidth="1"/>
    <col min="10763" max="10763" width="22.44140625" customWidth="1"/>
    <col min="10764" max="10764" width="22.88671875" customWidth="1"/>
    <col min="10766" max="10766" width="15.5546875" bestFit="1" customWidth="1"/>
    <col min="10767" max="10767" width="9.88671875" bestFit="1" customWidth="1"/>
    <col min="11009" max="11009" width="52" customWidth="1"/>
    <col min="11010" max="11010" width="28.6640625" customWidth="1"/>
    <col min="11011" max="11011" width="20.6640625" customWidth="1"/>
    <col min="11012" max="11012" width="25" customWidth="1"/>
    <col min="11013" max="11013" width="24.6640625" customWidth="1"/>
    <col min="11014" max="11017" width="20.6640625" customWidth="1"/>
    <col min="11018" max="11018" width="19.33203125" customWidth="1"/>
    <col min="11019" max="11019" width="22.44140625" customWidth="1"/>
    <col min="11020" max="11020" width="22.88671875" customWidth="1"/>
    <col min="11022" max="11022" width="15.5546875" bestFit="1" customWidth="1"/>
    <col min="11023" max="11023" width="9.88671875" bestFit="1" customWidth="1"/>
    <col min="11265" max="11265" width="52" customWidth="1"/>
    <col min="11266" max="11266" width="28.6640625" customWidth="1"/>
    <col min="11267" max="11267" width="20.6640625" customWidth="1"/>
    <col min="11268" max="11268" width="25" customWidth="1"/>
    <col min="11269" max="11269" width="24.6640625" customWidth="1"/>
    <col min="11270" max="11273" width="20.6640625" customWidth="1"/>
    <col min="11274" max="11274" width="19.33203125" customWidth="1"/>
    <col min="11275" max="11275" width="22.44140625" customWidth="1"/>
    <col min="11276" max="11276" width="22.88671875" customWidth="1"/>
    <col min="11278" max="11278" width="15.5546875" bestFit="1" customWidth="1"/>
    <col min="11279" max="11279" width="9.88671875" bestFit="1" customWidth="1"/>
    <col min="11521" max="11521" width="52" customWidth="1"/>
    <col min="11522" max="11522" width="28.6640625" customWidth="1"/>
    <col min="11523" max="11523" width="20.6640625" customWidth="1"/>
    <col min="11524" max="11524" width="25" customWidth="1"/>
    <col min="11525" max="11525" width="24.6640625" customWidth="1"/>
    <col min="11526" max="11529" width="20.6640625" customWidth="1"/>
    <col min="11530" max="11530" width="19.33203125" customWidth="1"/>
    <col min="11531" max="11531" width="22.44140625" customWidth="1"/>
    <col min="11532" max="11532" width="22.88671875" customWidth="1"/>
    <col min="11534" max="11534" width="15.5546875" bestFit="1" customWidth="1"/>
    <col min="11535" max="11535" width="9.88671875" bestFit="1" customWidth="1"/>
    <col min="11777" max="11777" width="52" customWidth="1"/>
    <col min="11778" max="11778" width="28.6640625" customWidth="1"/>
    <col min="11779" max="11779" width="20.6640625" customWidth="1"/>
    <col min="11780" max="11780" width="25" customWidth="1"/>
    <col min="11781" max="11781" width="24.6640625" customWidth="1"/>
    <col min="11782" max="11785" width="20.6640625" customWidth="1"/>
    <col min="11786" max="11786" width="19.33203125" customWidth="1"/>
    <col min="11787" max="11787" width="22.44140625" customWidth="1"/>
    <col min="11788" max="11788" width="22.88671875" customWidth="1"/>
    <col min="11790" max="11790" width="15.5546875" bestFit="1" customWidth="1"/>
    <col min="11791" max="11791" width="9.88671875" bestFit="1" customWidth="1"/>
    <col min="12033" max="12033" width="52" customWidth="1"/>
    <col min="12034" max="12034" width="28.6640625" customWidth="1"/>
    <col min="12035" max="12035" width="20.6640625" customWidth="1"/>
    <col min="12036" max="12036" width="25" customWidth="1"/>
    <col min="12037" max="12037" width="24.6640625" customWidth="1"/>
    <col min="12038" max="12041" width="20.6640625" customWidth="1"/>
    <col min="12042" max="12042" width="19.33203125" customWidth="1"/>
    <col min="12043" max="12043" width="22.44140625" customWidth="1"/>
    <col min="12044" max="12044" width="22.88671875" customWidth="1"/>
    <col min="12046" max="12046" width="15.5546875" bestFit="1" customWidth="1"/>
    <col min="12047" max="12047" width="9.88671875" bestFit="1" customWidth="1"/>
    <col min="12289" max="12289" width="52" customWidth="1"/>
    <col min="12290" max="12290" width="28.6640625" customWidth="1"/>
    <col min="12291" max="12291" width="20.6640625" customWidth="1"/>
    <col min="12292" max="12292" width="25" customWidth="1"/>
    <col min="12293" max="12293" width="24.6640625" customWidth="1"/>
    <col min="12294" max="12297" width="20.6640625" customWidth="1"/>
    <col min="12298" max="12298" width="19.33203125" customWidth="1"/>
    <col min="12299" max="12299" width="22.44140625" customWidth="1"/>
    <col min="12300" max="12300" width="22.88671875" customWidth="1"/>
    <col min="12302" max="12302" width="15.5546875" bestFit="1" customWidth="1"/>
    <col min="12303" max="12303" width="9.88671875" bestFit="1" customWidth="1"/>
    <col min="12545" max="12545" width="52" customWidth="1"/>
    <col min="12546" max="12546" width="28.6640625" customWidth="1"/>
    <col min="12547" max="12547" width="20.6640625" customWidth="1"/>
    <col min="12548" max="12548" width="25" customWidth="1"/>
    <col min="12549" max="12549" width="24.6640625" customWidth="1"/>
    <col min="12550" max="12553" width="20.6640625" customWidth="1"/>
    <col min="12554" max="12554" width="19.33203125" customWidth="1"/>
    <col min="12555" max="12555" width="22.44140625" customWidth="1"/>
    <col min="12556" max="12556" width="22.88671875" customWidth="1"/>
    <col min="12558" max="12558" width="15.5546875" bestFit="1" customWidth="1"/>
    <col min="12559" max="12559" width="9.88671875" bestFit="1" customWidth="1"/>
    <col min="12801" max="12801" width="52" customWidth="1"/>
    <col min="12802" max="12802" width="28.6640625" customWidth="1"/>
    <col min="12803" max="12803" width="20.6640625" customWidth="1"/>
    <col min="12804" max="12804" width="25" customWidth="1"/>
    <col min="12805" max="12805" width="24.6640625" customWidth="1"/>
    <col min="12806" max="12809" width="20.6640625" customWidth="1"/>
    <col min="12810" max="12810" width="19.33203125" customWidth="1"/>
    <col min="12811" max="12811" width="22.44140625" customWidth="1"/>
    <col min="12812" max="12812" width="22.88671875" customWidth="1"/>
    <col min="12814" max="12814" width="15.5546875" bestFit="1" customWidth="1"/>
    <col min="12815" max="12815" width="9.88671875" bestFit="1" customWidth="1"/>
    <col min="13057" max="13057" width="52" customWidth="1"/>
    <col min="13058" max="13058" width="28.6640625" customWidth="1"/>
    <col min="13059" max="13059" width="20.6640625" customWidth="1"/>
    <col min="13060" max="13060" width="25" customWidth="1"/>
    <col min="13061" max="13061" width="24.6640625" customWidth="1"/>
    <col min="13062" max="13065" width="20.6640625" customWidth="1"/>
    <col min="13066" max="13066" width="19.33203125" customWidth="1"/>
    <col min="13067" max="13067" width="22.44140625" customWidth="1"/>
    <col min="13068" max="13068" width="22.88671875" customWidth="1"/>
    <col min="13070" max="13070" width="15.5546875" bestFit="1" customWidth="1"/>
    <col min="13071" max="13071" width="9.88671875" bestFit="1" customWidth="1"/>
    <col min="13313" max="13313" width="52" customWidth="1"/>
    <col min="13314" max="13314" width="28.6640625" customWidth="1"/>
    <col min="13315" max="13315" width="20.6640625" customWidth="1"/>
    <col min="13316" max="13316" width="25" customWidth="1"/>
    <col min="13317" max="13317" width="24.6640625" customWidth="1"/>
    <col min="13318" max="13321" width="20.6640625" customWidth="1"/>
    <col min="13322" max="13322" width="19.33203125" customWidth="1"/>
    <col min="13323" max="13323" width="22.44140625" customWidth="1"/>
    <col min="13324" max="13324" width="22.88671875" customWidth="1"/>
    <col min="13326" max="13326" width="15.5546875" bestFit="1" customWidth="1"/>
    <col min="13327" max="13327" width="9.88671875" bestFit="1" customWidth="1"/>
    <col min="13569" max="13569" width="52" customWidth="1"/>
    <col min="13570" max="13570" width="28.6640625" customWidth="1"/>
    <col min="13571" max="13571" width="20.6640625" customWidth="1"/>
    <col min="13572" max="13572" width="25" customWidth="1"/>
    <col min="13573" max="13573" width="24.6640625" customWidth="1"/>
    <col min="13574" max="13577" width="20.6640625" customWidth="1"/>
    <col min="13578" max="13578" width="19.33203125" customWidth="1"/>
    <col min="13579" max="13579" width="22.44140625" customWidth="1"/>
    <col min="13580" max="13580" width="22.88671875" customWidth="1"/>
    <col min="13582" max="13582" width="15.5546875" bestFit="1" customWidth="1"/>
    <col min="13583" max="13583" width="9.88671875" bestFit="1" customWidth="1"/>
    <col min="13825" max="13825" width="52" customWidth="1"/>
    <col min="13826" max="13826" width="28.6640625" customWidth="1"/>
    <col min="13827" max="13827" width="20.6640625" customWidth="1"/>
    <col min="13828" max="13828" width="25" customWidth="1"/>
    <col min="13829" max="13829" width="24.6640625" customWidth="1"/>
    <col min="13830" max="13833" width="20.6640625" customWidth="1"/>
    <col min="13834" max="13834" width="19.33203125" customWidth="1"/>
    <col min="13835" max="13835" width="22.44140625" customWidth="1"/>
    <col min="13836" max="13836" width="22.88671875" customWidth="1"/>
    <col min="13838" max="13838" width="15.5546875" bestFit="1" customWidth="1"/>
    <col min="13839" max="13839" width="9.88671875" bestFit="1" customWidth="1"/>
    <col min="14081" max="14081" width="52" customWidth="1"/>
    <col min="14082" max="14082" width="28.6640625" customWidth="1"/>
    <col min="14083" max="14083" width="20.6640625" customWidth="1"/>
    <col min="14084" max="14084" width="25" customWidth="1"/>
    <col min="14085" max="14085" width="24.6640625" customWidth="1"/>
    <col min="14086" max="14089" width="20.6640625" customWidth="1"/>
    <col min="14090" max="14090" width="19.33203125" customWidth="1"/>
    <col min="14091" max="14091" width="22.44140625" customWidth="1"/>
    <col min="14092" max="14092" width="22.88671875" customWidth="1"/>
    <col min="14094" max="14094" width="15.5546875" bestFit="1" customWidth="1"/>
    <col min="14095" max="14095" width="9.88671875" bestFit="1" customWidth="1"/>
    <col min="14337" max="14337" width="52" customWidth="1"/>
    <col min="14338" max="14338" width="28.6640625" customWidth="1"/>
    <col min="14339" max="14339" width="20.6640625" customWidth="1"/>
    <col min="14340" max="14340" width="25" customWidth="1"/>
    <col min="14341" max="14341" width="24.6640625" customWidth="1"/>
    <col min="14342" max="14345" width="20.6640625" customWidth="1"/>
    <col min="14346" max="14346" width="19.33203125" customWidth="1"/>
    <col min="14347" max="14347" width="22.44140625" customWidth="1"/>
    <col min="14348" max="14348" width="22.88671875" customWidth="1"/>
    <col min="14350" max="14350" width="15.5546875" bestFit="1" customWidth="1"/>
    <col min="14351" max="14351" width="9.88671875" bestFit="1" customWidth="1"/>
    <col min="14593" max="14593" width="52" customWidth="1"/>
    <col min="14594" max="14594" width="28.6640625" customWidth="1"/>
    <col min="14595" max="14595" width="20.6640625" customWidth="1"/>
    <col min="14596" max="14596" width="25" customWidth="1"/>
    <col min="14597" max="14597" width="24.6640625" customWidth="1"/>
    <col min="14598" max="14601" width="20.6640625" customWidth="1"/>
    <col min="14602" max="14602" width="19.33203125" customWidth="1"/>
    <col min="14603" max="14603" width="22.44140625" customWidth="1"/>
    <col min="14604" max="14604" width="22.88671875" customWidth="1"/>
    <col min="14606" max="14606" width="15.5546875" bestFit="1" customWidth="1"/>
    <col min="14607" max="14607" width="9.88671875" bestFit="1" customWidth="1"/>
    <col min="14849" max="14849" width="52" customWidth="1"/>
    <col min="14850" max="14850" width="28.6640625" customWidth="1"/>
    <col min="14851" max="14851" width="20.6640625" customWidth="1"/>
    <col min="14852" max="14852" width="25" customWidth="1"/>
    <col min="14853" max="14853" width="24.6640625" customWidth="1"/>
    <col min="14854" max="14857" width="20.6640625" customWidth="1"/>
    <col min="14858" max="14858" width="19.33203125" customWidth="1"/>
    <col min="14859" max="14859" width="22.44140625" customWidth="1"/>
    <col min="14860" max="14860" width="22.88671875" customWidth="1"/>
    <col min="14862" max="14862" width="15.5546875" bestFit="1" customWidth="1"/>
    <col min="14863" max="14863" width="9.88671875" bestFit="1" customWidth="1"/>
    <col min="15105" max="15105" width="52" customWidth="1"/>
    <col min="15106" max="15106" width="28.6640625" customWidth="1"/>
    <col min="15107" max="15107" width="20.6640625" customWidth="1"/>
    <col min="15108" max="15108" width="25" customWidth="1"/>
    <col min="15109" max="15109" width="24.6640625" customWidth="1"/>
    <col min="15110" max="15113" width="20.6640625" customWidth="1"/>
    <col min="15114" max="15114" width="19.33203125" customWidth="1"/>
    <col min="15115" max="15115" width="22.44140625" customWidth="1"/>
    <col min="15116" max="15116" width="22.88671875" customWidth="1"/>
    <col min="15118" max="15118" width="15.5546875" bestFit="1" customWidth="1"/>
    <col min="15119" max="15119" width="9.88671875" bestFit="1" customWidth="1"/>
    <col min="15361" max="15361" width="52" customWidth="1"/>
    <col min="15362" max="15362" width="28.6640625" customWidth="1"/>
    <col min="15363" max="15363" width="20.6640625" customWidth="1"/>
    <col min="15364" max="15364" width="25" customWidth="1"/>
    <col min="15365" max="15365" width="24.6640625" customWidth="1"/>
    <col min="15366" max="15369" width="20.6640625" customWidth="1"/>
    <col min="15370" max="15370" width="19.33203125" customWidth="1"/>
    <col min="15371" max="15371" width="22.44140625" customWidth="1"/>
    <col min="15372" max="15372" width="22.88671875" customWidth="1"/>
    <col min="15374" max="15374" width="15.5546875" bestFit="1" customWidth="1"/>
    <col min="15375" max="15375" width="9.88671875" bestFit="1" customWidth="1"/>
    <col min="15617" max="15617" width="52" customWidth="1"/>
    <col min="15618" max="15618" width="28.6640625" customWidth="1"/>
    <col min="15619" max="15619" width="20.6640625" customWidth="1"/>
    <col min="15620" max="15620" width="25" customWidth="1"/>
    <col min="15621" max="15621" width="24.6640625" customWidth="1"/>
    <col min="15622" max="15625" width="20.6640625" customWidth="1"/>
    <col min="15626" max="15626" width="19.33203125" customWidth="1"/>
    <col min="15627" max="15627" width="22.44140625" customWidth="1"/>
    <col min="15628" max="15628" width="22.88671875" customWidth="1"/>
    <col min="15630" max="15630" width="15.5546875" bestFit="1" customWidth="1"/>
    <col min="15631" max="15631" width="9.88671875" bestFit="1" customWidth="1"/>
    <col min="15873" max="15873" width="52" customWidth="1"/>
    <col min="15874" max="15874" width="28.6640625" customWidth="1"/>
    <col min="15875" max="15875" width="20.6640625" customWidth="1"/>
    <col min="15876" max="15876" width="25" customWidth="1"/>
    <col min="15877" max="15877" width="24.6640625" customWidth="1"/>
    <col min="15878" max="15881" width="20.6640625" customWidth="1"/>
    <col min="15882" max="15882" width="19.33203125" customWidth="1"/>
    <col min="15883" max="15883" width="22.44140625" customWidth="1"/>
    <col min="15884" max="15884" width="22.88671875" customWidth="1"/>
    <col min="15886" max="15886" width="15.5546875" bestFit="1" customWidth="1"/>
    <col min="15887" max="15887" width="9.88671875" bestFit="1" customWidth="1"/>
    <col min="16129" max="16129" width="52" customWidth="1"/>
    <col min="16130" max="16130" width="28.6640625" customWidth="1"/>
    <col min="16131" max="16131" width="20.6640625" customWidth="1"/>
    <col min="16132" max="16132" width="25" customWidth="1"/>
    <col min="16133" max="16133" width="24.6640625" customWidth="1"/>
    <col min="16134" max="16137" width="20.6640625" customWidth="1"/>
    <col min="16138" max="16138" width="19.33203125" customWidth="1"/>
    <col min="16139" max="16139" width="22.44140625" customWidth="1"/>
    <col min="16140" max="16140" width="22.88671875" customWidth="1"/>
    <col min="16142" max="16142" width="15.5546875" bestFit="1" customWidth="1"/>
    <col min="16143" max="16143" width="9.88671875" bestFit="1" customWidth="1"/>
  </cols>
  <sheetData>
    <row r="1" spans="1:13" ht="24.75" customHeight="1" x14ac:dyDescent="0.25">
      <c r="A1" s="1" t="s">
        <v>0</v>
      </c>
    </row>
    <row r="2" spans="1:13" s="3" customFormat="1" ht="19.5" customHeight="1" x14ac:dyDescent="0.3">
      <c r="A2" s="2"/>
    </row>
    <row r="3" spans="1:13" s="3" customFormat="1" ht="18" customHeight="1" x14ac:dyDescent="0.3">
      <c r="A3" s="4" t="s">
        <v>1</v>
      </c>
      <c r="L3" s="5" t="s">
        <v>2</v>
      </c>
    </row>
    <row r="4" spans="1:13" s="3" customFormat="1" ht="26.1" customHeight="1" x14ac:dyDescent="0.3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9"/>
      <c r="K4" s="10" t="s">
        <v>5</v>
      </c>
      <c r="L4" s="11" t="s">
        <v>6</v>
      </c>
    </row>
    <row r="5" spans="1:13" ht="91.5" customHeight="1" x14ac:dyDescent="0.4">
      <c r="A5" s="12"/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4" t="s">
        <v>16</v>
      </c>
      <c r="L5" s="15"/>
    </row>
    <row r="6" spans="1:13" s="19" customFormat="1" ht="33" customHeight="1" x14ac:dyDescent="0.3">
      <c r="A6" s="16" t="s">
        <v>17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1:13" ht="30" customHeight="1" x14ac:dyDescent="0.3">
      <c r="A7" s="20" t="s">
        <v>18</v>
      </c>
      <c r="B7" s="21">
        <v>16826</v>
      </c>
      <c r="C7" s="21">
        <v>9120</v>
      </c>
      <c r="D7" s="21">
        <v>8160</v>
      </c>
      <c r="E7" s="21">
        <v>582</v>
      </c>
      <c r="F7" s="21">
        <v>2840</v>
      </c>
      <c r="G7" s="21">
        <v>23406</v>
      </c>
      <c r="H7" s="21">
        <v>40692</v>
      </c>
      <c r="I7" s="21">
        <v>0</v>
      </c>
      <c r="J7" s="21">
        <v>2279</v>
      </c>
      <c r="K7" s="22">
        <v>2408242</v>
      </c>
      <c r="L7" s="23">
        <f>SUM(B7:K7)</f>
        <v>2512147</v>
      </c>
      <c r="M7" s="19"/>
    </row>
    <row r="8" spans="1:13" ht="30" customHeight="1" x14ac:dyDescent="0.3">
      <c r="A8" s="24" t="s">
        <v>19</v>
      </c>
      <c r="B8" s="25">
        <v>7951</v>
      </c>
      <c r="C8" s="25">
        <v>646</v>
      </c>
      <c r="D8" s="25">
        <v>13386</v>
      </c>
      <c r="E8" s="25">
        <v>1324</v>
      </c>
      <c r="F8" s="25">
        <v>3439</v>
      </c>
      <c r="G8" s="25">
        <v>257</v>
      </c>
      <c r="H8" s="25">
        <v>12847</v>
      </c>
      <c r="I8" s="25" t="s">
        <v>20</v>
      </c>
      <c r="J8" s="25">
        <v>1372</v>
      </c>
      <c r="K8" s="25">
        <v>118116</v>
      </c>
      <c r="L8" s="26">
        <f t="shared" ref="L8:L23" si="0">SUM(B8:K8)</f>
        <v>159338</v>
      </c>
    </row>
    <row r="9" spans="1:13" ht="30" customHeight="1" x14ac:dyDescent="0.3">
      <c r="A9" s="20" t="s">
        <v>21</v>
      </c>
      <c r="B9" s="21">
        <v>490</v>
      </c>
      <c r="C9" s="21">
        <v>60</v>
      </c>
      <c r="D9" s="21" t="s">
        <v>20</v>
      </c>
      <c r="E9" s="21" t="s">
        <v>20</v>
      </c>
      <c r="F9" s="21" t="s">
        <v>20</v>
      </c>
      <c r="G9" s="21" t="s">
        <v>20</v>
      </c>
      <c r="H9" s="21">
        <v>1378</v>
      </c>
      <c r="I9" s="21" t="s">
        <v>20</v>
      </c>
      <c r="J9" s="21">
        <v>21</v>
      </c>
      <c r="K9" s="21">
        <v>8119</v>
      </c>
      <c r="L9" s="23">
        <f t="shared" si="0"/>
        <v>10068</v>
      </c>
    </row>
    <row r="10" spans="1:13" ht="30" customHeight="1" x14ac:dyDescent="0.3">
      <c r="A10" s="24" t="s">
        <v>22</v>
      </c>
      <c r="B10" s="25">
        <v>218</v>
      </c>
      <c r="C10" s="25" t="s">
        <v>20</v>
      </c>
      <c r="D10" s="25" t="s">
        <v>20</v>
      </c>
      <c r="E10" s="25" t="s">
        <v>20</v>
      </c>
      <c r="F10" s="25" t="s">
        <v>20</v>
      </c>
      <c r="G10" s="25" t="s">
        <v>20</v>
      </c>
      <c r="H10" s="25">
        <v>24</v>
      </c>
      <c r="I10" s="25" t="s">
        <v>20</v>
      </c>
      <c r="J10" s="25">
        <v>77</v>
      </c>
      <c r="K10" s="25">
        <v>4925</v>
      </c>
      <c r="L10" s="26">
        <f t="shared" si="0"/>
        <v>5244</v>
      </c>
    </row>
    <row r="11" spans="1:13" ht="30" customHeight="1" x14ac:dyDescent="0.3">
      <c r="A11" s="20" t="s">
        <v>23</v>
      </c>
      <c r="B11" s="21">
        <v>6</v>
      </c>
      <c r="C11" s="21" t="s">
        <v>20</v>
      </c>
      <c r="D11" s="21" t="s">
        <v>20</v>
      </c>
      <c r="E11" s="21" t="s">
        <v>20</v>
      </c>
      <c r="F11" s="21" t="s">
        <v>20</v>
      </c>
      <c r="G11" s="21" t="s">
        <v>20</v>
      </c>
      <c r="H11" s="21" t="s">
        <v>20</v>
      </c>
      <c r="I11" s="21" t="s">
        <v>20</v>
      </c>
      <c r="J11" s="21" t="s">
        <v>20</v>
      </c>
      <c r="K11" s="21">
        <v>212</v>
      </c>
      <c r="L11" s="23">
        <f t="shared" si="0"/>
        <v>218</v>
      </c>
    </row>
    <row r="12" spans="1:13" ht="30" customHeight="1" x14ac:dyDescent="0.3">
      <c r="A12" s="24" t="s">
        <v>24</v>
      </c>
      <c r="B12" s="25" t="s">
        <v>20</v>
      </c>
      <c r="C12" s="25" t="s">
        <v>20</v>
      </c>
      <c r="D12" s="25" t="s">
        <v>20</v>
      </c>
      <c r="E12" s="25" t="s">
        <v>20</v>
      </c>
      <c r="F12" s="25" t="s">
        <v>20</v>
      </c>
      <c r="G12" s="25" t="s">
        <v>20</v>
      </c>
      <c r="H12" s="25">
        <v>4</v>
      </c>
      <c r="I12" s="25" t="s">
        <v>20</v>
      </c>
      <c r="J12" s="25" t="s">
        <v>20</v>
      </c>
      <c r="K12" s="25">
        <v>907</v>
      </c>
      <c r="L12" s="26">
        <f t="shared" si="0"/>
        <v>911</v>
      </c>
    </row>
    <row r="13" spans="1:13" ht="30" customHeight="1" x14ac:dyDescent="0.3">
      <c r="A13" s="20" t="s">
        <v>25</v>
      </c>
      <c r="B13" s="21">
        <v>35</v>
      </c>
      <c r="C13" s="21">
        <v>3</v>
      </c>
      <c r="D13" s="21" t="s">
        <v>20</v>
      </c>
      <c r="E13" s="21" t="s">
        <v>20</v>
      </c>
      <c r="F13" s="21" t="s">
        <v>20</v>
      </c>
      <c r="G13" s="21" t="s">
        <v>20</v>
      </c>
      <c r="H13" s="21" t="s">
        <v>20</v>
      </c>
      <c r="I13" s="21" t="s">
        <v>20</v>
      </c>
      <c r="J13" s="21" t="s">
        <v>20</v>
      </c>
      <c r="K13" s="21">
        <v>627</v>
      </c>
      <c r="L13" s="23">
        <f t="shared" si="0"/>
        <v>665</v>
      </c>
    </row>
    <row r="14" spans="1:13" ht="30" customHeight="1" x14ac:dyDescent="0.3">
      <c r="A14" s="24" t="s">
        <v>26</v>
      </c>
      <c r="B14" s="25" t="s">
        <v>20</v>
      </c>
      <c r="C14" s="25" t="s">
        <v>20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>
        <v>757</v>
      </c>
      <c r="L14" s="26">
        <f t="shared" si="0"/>
        <v>757</v>
      </c>
    </row>
    <row r="15" spans="1:13" ht="30" customHeight="1" x14ac:dyDescent="0.3">
      <c r="A15" s="20" t="s">
        <v>27</v>
      </c>
      <c r="B15" s="21" t="s">
        <v>20</v>
      </c>
      <c r="C15" s="21" t="s">
        <v>20</v>
      </c>
      <c r="D15" s="21" t="s">
        <v>20</v>
      </c>
      <c r="E15" s="21" t="s">
        <v>20</v>
      </c>
      <c r="F15" s="21" t="s">
        <v>20</v>
      </c>
      <c r="G15" s="21" t="s">
        <v>20</v>
      </c>
      <c r="H15" s="21">
        <v>12</v>
      </c>
      <c r="I15" s="21" t="s">
        <v>20</v>
      </c>
      <c r="J15" s="21" t="s">
        <v>20</v>
      </c>
      <c r="K15" s="21">
        <v>8296</v>
      </c>
      <c r="L15" s="23">
        <f t="shared" si="0"/>
        <v>8308</v>
      </c>
    </row>
    <row r="16" spans="1:13" ht="30" customHeight="1" x14ac:dyDescent="0.3">
      <c r="A16" s="27" t="s">
        <v>28</v>
      </c>
      <c r="B16" s="25">
        <v>71</v>
      </c>
      <c r="C16" s="25">
        <v>4</v>
      </c>
      <c r="D16" s="25" t="s">
        <v>20</v>
      </c>
      <c r="E16" s="25">
        <v>20</v>
      </c>
      <c r="F16" s="25" t="s">
        <v>20</v>
      </c>
      <c r="G16" s="25" t="s">
        <v>20</v>
      </c>
      <c r="H16" s="25">
        <v>54</v>
      </c>
      <c r="I16" s="25" t="s">
        <v>20</v>
      </c>
      <c r="J16" s="25">
        <v>264</v>
      </c>
      <c r="K16" s="25">
        <v>43911</v>
      </c>
      <c r="L16" s="26">
        <f t="shared" si="0"/>
        <v>44324</v>
      </c>
    </row>
    <row r="17" spans="1:15" ht="30" customHeight="1" x14ac:dyDescent="0.3">
      <c r="A17" s="20" t="s">
        <v>29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</row>
    <row r="18" spans="1:15" ht="30" customHeight="1" x14ac:dyDescent="0.3">
      <c r="A18" s="28" t="s">
        <v>30</v>
      </c>
      <c r="B18" s="25" t="s">
        <v>20</v>
      </c>
      <c r="C18" s="25" t="s">
        <v>20</v>
      </c>
      <c r="D18" s="25">
        <v>51</v>
      </c>
      <c r="E18" s="25">
        <v>9</v>
      </c>
      <c r="F18" s="25" t="s">
        <v>20</v>
      </c>
      <c r="G18" s="25" t="s">
        <v>20</v>
      </c>
      <c r="H18" s="25">
        <v>24</v>
      </c>
      <c r="I18" s="25" t="s">
        <v>20</v>
      </c>
      <c r="J18" s="25" t="s">
        <v>20</v>
      </c>
      <c r="K18" s="25">
        <v>158</v>
      </c>
      <c r="L18" s="26">
        <f t="shared" si="0"/>
        <v>242</v>
      </c>
    </row>
    <row r="19" spans="1:15" ht="30" customHeight="1" x14ac:dyDescent="0.3">
      <c r="A19" s="29" t="s">
        <v>31</v>
      </c>
      <c r="B19" s="21">
        <v>7</v>
      </c>
      <c r="C19" s="21" t="s">
        <v>20</v>
      </c>
      <c r="D19" s="21">
        <v>37</v>
      </c>
      <c r="E19" s="21" t="s">
        <v>20</v>
      </c>
      <c r="F19" s="21" t="s">
        <v>20</v>
      </c>
      <c r="G19" s="21" t="s">
        <v>20</v>
      </c>
      <c r="H19" s="21" t="s">
        <v>20</v>
      </c>
      <c r="I19" s="21" t="s">
        <v>20</v>
      </c>
      <c r="J19" s="21" t="s">
        <v>20</v>
      </c>
      <c r="K19" s="21">
        <v>522</v>
      </c>
      <c r="L19" s="23">
        <f t="shared" si="0"/>
        <v>566</v>
      </c>
    </row>
    <row r="20" spans="1:15" ht="30" customHeight="1" x14ac:dyDescent="0.3">
      <c r="A20" s="30" t="s">
        <v>32</v>
      </c>
      <c r="B20" s="25">
        <v>13</v>
      </c>
      <c r="C20" s="25" t="s">
        <v>20</v>
      </c>
      <c r="D20" s="25" t="s">
        <v>20</v>
      </c>
      <c r="E20" s="25" t="s">
        <v>20</v>
      </c>
      <c r="F20" s="25" t="s">
        <v>20</v>
      </c>
      <c r="G20" s="25" t="s">
        <v>20</v>
      </c>
      <c r="H20" s="25" t="s">
        <v>20</v>
      </c>
      <c r="I20" s="25" t="s">
        <v>20</v>
      </c>
      <c r="J20" s="25" t="s">
        <v>20</v>
      </c>
      <c r="K20" s="25">
        <v>532</v>
      </c>
      <c r="L20" s="26">
        <f t="shared" si="0"/>
        <v>545</v>
      </c>
    </row>
    <row r="21" spans="1:15" ht="30" customHeight="1" x14ac:dyDescent="0.3">
      <c r="A21" s="31" t="s">
        <v>33</v>
      </c>
      <c r="B21" s="21">
        <v>162</v>
      </c>
      <c r="C21" s="21" t="s">
        <v>20</v>
      </c>
      <c r="D21" s="21">
        <v>250</v>
      </c>
      <c r="E21" s="21">
        <v>88</v>
      </c>
      <c r="F21" s="21">
        <v>514</v>
      </c>
      <c r="G21" s="21" t="s">
        <v>20</v>
      </c>
      <c r="H21" s="21" t="s">
        <v>20</v>
      </c>
      <c r="I21" s="21" t="s">
        <v>20</v>
      </c>
      <c r="J21" s="21" t="s">
        <v>20</v>
      </c>
      <c r="K21" s="21">
        <v>145952</v>
      </c>
      <c r="L21" s="23">
        <f t="shared" si="0"/>
        <v>146966</v>
      </c>
    </row>
    <row r="22" spans="1:15" ht="30" customHeight="1" x14ac:dyDescent="0.3">
      <c r="A22" s="32" t="s">
        <v>34</v>
      </c>
      <c r="B22" s="25" t="s">
        <v>20</v>
      </c>
      <c r="C22" s="25" t="s">
        <v>20</v>
      </c>
      <c r="D22" s="25" t="s">
        <v>20</v>
      </c>
      <c r="E22" s="25" t="s">
        <v>20</v>
      </c>
      <c r="F22" s="25" t="s">
        <v>20</v>
      </c>
      <c r="G22" s="25" t="s">
        <v>20</v>
      </c>
      <c r="H22" s="25" t="s">
        <v>20</v>
      </c>
      <c r="I22" s="25" t="s">
        <v>20</v>
      </c>
      <c r="J22" s="25">
        <v>73</v>
      </c>
      <c r="K22" s="25">
        <v>15806</v>
      </c>
      <c r="L22" s="26">
        <f t="shared" si="0"/>
        <v>15879</v>
      </c>
    </row>
    <row r="23" spans="1:15" ht="30" customHeight="1" x14ac:dyDescent="0.35">
      <c r="A23" s="33" t="s">
        <v>35</v>
      </c>
      <c r="B23" s="21">
        <v>587</v>
      </c>
      <c r="C23" s="21" t="s">
        <v>20</v>
      </c>
      <c r="D23" s="21" t="s">
        <v>20</v>
      </c>
      <c r="E23" s="21">
        <v>857</v>
      </c>
      <c r="F23" s="21" t="s">
        <v>20</v>
      </c>
      <c r="G23" s="21" t="s">
        <v>20</v>
      </c>
      <c r="H23" s="21" t="s">
        <v>20</v>
      </c>
      <c r="I23" s="21" t="s">
        <v>20</v>
      </c>
      <c r="J23" s="21">
        <v>117</v>
      </c>
      <c r="K23" s="21">
        <v>485992</v>
      </c>
      <c r="L23" s="23">
        <f t="shared" si="0"/>
        <v>487553</v>
      </c>
      <c r="M23" s="34"/>
      <c r="N23" s="34"/>
      <c r="O23" s="35"/>
    </row>
    <row r="24" spans="1:15" ht="45" customHeight="1" x14ac:dyDescent="0.25">
      <c r="A24" s="36" t="s">
        <v>36</v>
      </c>
      <c r="B24" s="37">
        <f>SUM(B6:B23)</f>
        <v>26366</v>
      </c>
      <c r="C24" s="37">
        <f t="shared" ref="C24:L24" si="1">SUM(C6:C23)</f>
        <v>9833</v>
      </c>
      <c r="D24" s="37">
        <f t="shared" si="1"/>
        <v>21884</v>
      </c>
      <c r="E24" s="37">
        <f t="shared" si="1"/>
        <v>2880</v>
      </c>
      <c r="F24" s="37">
        <f t="shared" si="1"/>
        <v>6793</v>
      </c>
      <c r="G24" s="37">
        <f t="shared" si="1"/>
        <v>23663</v>
      </c>
      <c r="H24" s="37">
        <f t="shared" si="1"/>
        <v>55035</v>
      </c>
      <c r="I24" s="37">
        <f t="shared" si="1"/>
        <v>0</v>
      </c>
      <c r="J24" s="37">
        <f t="shared" si="1"/>
        <v>4203</v>
      </c>
      <c r="K24" s="37">
        <f>SUM(K6:K23)</f>
        <v>3243074</v>
      </c>
      <c r="L24" s="37">
        <f t="shared" si="1"/>
        <v>3393731</v>
      </c>
    </row>
    <row r="25" spans="1:15" ht="30" customHeight="1" x14ac:dyDescent="0.25">
      <c r="A25" s="38" t="s">
        <v>37</v>
      </c>
      <c r="B25" s="39">
        <f t="shared" ref="B25:L25" si="2">SUM(B24-B28)</f>
        <v>-411</v>
      </c>
      <c r="C25" s="39">
        <f t="shared" si="2"/>
        <v>-553</v>
      </c>
      <c r="D25" s="39">
        <f t="shared" si="2"/>
        <v>1222</v>
      </c>
      <c r="E25" s="39">
        <f t="shared" si="2"/>
        <v>564</v>
      </c>
      <c r="F25" s="39">
        <f t="shared" si="2"/>
        <v>-416</v>
      </c>
      <c r="G25" s="39">
        <f t="shared" si="2"/>
        <v>4340</v>
      </c>
      <c r="H25" s="39">
        <f t="shared" si="2"/>
        <v>4762</v>
      </c>
      <c r="I25" s="39">
        <f t="shared" si="2"/>
        <v>-48</v>
      </c>
      <c r="J25" s="39">
        <f t="shared" si="2"/>
        <v>-2190</v>
      </c>
      <c r="K25" s="39">
        <f t="shared" si="2"/>
        <v>52929</v>
      </c>
      <c r="L25" s="39">
        <f t="shared" si="2"/>
        <v>60199</v>
      </c>
    </row>
    <row r="26" spans="1:15" ht="30" customHeight="1" x14ac:dyDescent="0.25">
      <c r="A26" s="38" t="s">
        <v>38</v>
      </c>
      <c r="B26" s="40">
        <f>(B24-B28)/ABS(B28)</f>
        <v>-1.534899353923143E-2</v>
      </c>
      <c r="C26" s="40">
        <f t="shared" ref="C26:L26" si="3">(C24-C28)/ABS(C28)</f>
        <v>-5.3244752551511648E-2</v>
      </c>
      <c r="D26" s="40">
        <f t="shared" si="3"/>
        <v>5.9142386990610786E-2</v>
      </c>
      <c r="E26" s="40">
        <f t="shared" si="3"/>
        <v>0.24352331606217617</v>
      </c>
      <c r="F26" s="40">
        <f t="shared" si="3"/>
        <v>-5.7705645720626995E-2</v>
      </c>
      <c r="G26" s="40">
        <f t="shared" si="3"/>
        <v>0.22460280494747192</v>
      </c>
      <c r="H26" s="40">
        <f t="shared" si="3"/>
        <v>9.4722813438625111E-2</v>
      </c>
      <c r="I26" s="40">
        <f t="shared" si="3"/>
        <v>-1</v>
      </c>
      <c r="J26" s="40">
        <f t="shared" si="3"/>
        <v>-0.34256217738151101</v>
      </c>
      <c r="K26" s="40">
        <f t="shared" si="3"/>
        <v>1.6591408854456459E-2</v>
      </c>
      <c r="L26" s="41">
        <f t="shared" si="3"/>
        <v>1.8058623706027122E-2</v>
      </c>
    </row>
    <row r="27" spans="1:15" ht="30" customHeight="1" x14ac:dyDescent="0.25">
      <c r="A27" s="38" t="s">
        <v>39</v>
      </c>
      <c r="B27" s="42">
        <f>B24/$L$24</f>
        <v>7.7690306037809121E-3</v>
      </c>
      <c r="C27" s="42">
        <f t="shared" ref="C27:L27" si="4">C24/$L$24</f>
        <v>2.897401119888406E-3</v>
      </c>
      <c r="D27" s="42">
        <f t="shared" si="4"/>
        <v>6.448360226547125E-3</v>
      </c>
      <c r="E27" s="42">
        <f t="shared" si="4"/>
        <v>8.4862353557191186E-4</v>
      </c>
      <c r="F27" s="42">
        <f t="shared" si="4"/>
        <v>2.0016318323402768E-3</v>
      </c>
      <c r="G27" s="42">
        <f t="shared" si="4"/>
        <v>6.972562056332691E-3</v>
      </c>
      <c r="H27" s="42">
        <f t="shared" si="4"/>
        <v>1.6216665375069505E-2</v>
      </c>
      <c r="I27" s="43">
        <f t="shared" si="4"/>
        <v>0</v>
      </c>
      <c r="J27" s="42">
        <f t="shared" si="4"/>
        <v>1.2384599722252588E-3</v>
      </c>
      <c r="K27" s="42">
        <f t="shared" si="4"/>
        <v>0.95560726527824391</v>
      </c>
      <c r="L27" s="42">
        <f t="shared" si="4"/>
        <v>1</v>
      </c>
    </row>
    <row r="28" spans="1:15" ht="30" customHeight="1" x14ac:dyDescent="0.3">
      <c r="A28" s="44" t="s">
        <v>40</v>
      </c>
      <c r="B28" s="45">
        <v>26777</v>
      </c>
      <c r="C28" s="45">
        <v>10386</v>
      </c>
      <c r="D28" s="45">
        <v>20662</v>
      </c>
      <c r="E28" s="45">
        <v>2316</v>
      </c>
      <c r="F28" s="45">
        <v>7209</v>
      </c>
      <c r="G28" s="45">
        <v>19323</v>
      </c>
      <c r="H28" s="45">
        <v>50273</v>
      </c>
      <c r="I28" s="39">
        <v>48</v>
      </c>
      <c r="J28" s="45">
        <v>6393</v>
      </c>
      <c r="K28" s="45">
        <v>3190145</v>
      </c>
      <c r="L28" s="45">
        <v>3333532</v>
      </c>
    </row>
    <row r="29" spans="1:15" x14ac:dyDescent="0.25">
      <c r="K29" s="46"/>
    </row>
    <row r="30" spans="1:15" ht="17.399999999999999" x14ac:dyDescent="0.3">
      <c r="A30" s="47" t="s">
        <v>41</v>
      </c>
      <c r="K30" s="48"/>
    </row>
    <row r="31" spans="1:15" x14ac:dyDescent="0.25">
      <c r="K31" s="46"/>
    </row>
    <row r="66" spans="12:12" x14ac:dyDescent="0.25">
      <c r="L66" s="49"/>
    </row>
  </sheetData>
  <phoneticPr fontId="2" type="noConversion"/>
  <printOptions horizontalCentered="1" gridLinesSet="0"/>
  <pageMargins left="0.65" right="0.52" top="1" bottom="1" header="0.5" footer="0.5"/>
  <pageSetup paperSize="9" scale="4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2024-11-20T08:29:03Z</dcterms:created>
  <dcterms:modified xsi:type="dcterms:W3CDTF">2024-11-20T08:29:11Z</dcterms:modified>
</cp:coreProperties>
</file>