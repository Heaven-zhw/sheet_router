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3FC42D80-1E49-4F12-9C7E-FB8FD2B6B9CA}" xr6:coauthVersionLast="47" xr6:coauthVersionMax="47" xr10:uidLastSave="{00000000-0000-0000-0000-000000000000}"/>
  <bookViews>
    <workbookView minimized="1" xWindow="2460" yWindow="2460" windowWidth="19200" windowHeight="11170" xr2:uid="{24C8B2D0-5B3A-4EAA-987A-D9CABEF92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P5" i="1" s="1"/>
  <c r="B4" i="1"/>
  <c r="D4" i="1" s="1"/>
  <c r="F4" i="1" s="1"/>
  <c r="H4" i="1" s="1"/>
  <c r="J4" i="1" s="1"/>
  <c r="L4" i="1" s="1"/>
  <c r="N4" i="1" s="1"/>
  <c r="D6" i="1"/>
  <c r="F6" i="1"/>
  <c r="H6" i="1"/>
  <c r="J6" i="1"/>
  <c r="L6" i="1"/>
  <c r="N6" i="1"/>
  <c r="B9" i="1"/>
  <c r="D9" i="1"/>
  <c r="F9" i="1"/>
  <c r="H9" i="1"/>
  <c r="J9" i="1"/>
  <c r="P8" i="1" s="1"/>
  <c r="L9" i="1"/>
  <c r="N9" i="1"/>
  <c r="P11" i="1"/>
  <c r="B12" i="1"/>
  <c r="D12" i="1"/>
  <c r="F12" i="1"/>
  <c r="H12" i="1"/>
  <c r="J12" i="1"/>
  <c r="L12" i="1"/>
  <c r="N12" i="1"/>
  <c r="P14" i="1"/>
  <c r="B15" i="1"/>
  <c r="D15" i="1"/>
  <c r="F15" i="1"/>
  <c r="H15" i="1"/>
  <c r="J15" i="1"/>
  <c r="L15" i="1"/>
  <c r="N15" i="1"/>
  <c r="P17" i="1"/>
  <c r="B18" i="1"/>
  <c r="D18" i="1"/>
  <c r="F18" i="1"/>
  <c r="H18" i="1"/>
  <c r="J18" i="1"/>
  <c r="L18" i="1"/>
  <c r="N18" i="1"/>
  <c r="P20" i="1"/>
  <c r="B21" i="1"/>
  <c r="D21" i="1"/>
  <c r="F21" i="1"/>
  <c r="H21" i="1"/>
  <c r="J21" i="1"/>
  <c r="L21" i="1"/>
  <c r="N21" i="1"/>
  <c r="B24" i="1"/>
  <c r="D24" i="1"/>
  <c r="F24" i="1"/>
  <c r="H24" i="1"/>
  <c r="J24" i="1"/>
  <c r="L24" i="1"/>
  <c r="N24" i="1"/>
  <c r="P23" i="1" s="1"/>
  <c r="B27" i="1"/>
  <c r="P26" i="1" s="1"/>
  <c r="D27" i="1"/>
  <c r="F27" i="1"/>
  <c r="H27" i="1"/>
  <c r="J27" i="1"/>
  <c r="L27" i="1"/>
  <c r="N27" i="1"/>
  <c r="P29" i="1"/>
  <c r="B30" i="1"/>
  <c r="D30" i="1"/>
  <c r="F30" i="1"/>
  <c r="H30" i="1"/>
  <c r="J30" i="1"/>
  <c r="L30" i="1"/>
  <c r="N30" i="1"/>
  <c r="P32" i="1"/>
  <c r="B33" i="1"/>
  <c r="D33" i="1"/>
  <c r="F33" i="1"/>
  <c r="H33" i="1"/>
  <c r="J33" i="1"/>
  <c r="L33" i="1"/>
  <c r="N33" i="1"/>
  <c r="P35" i="1"/>
  <c r="B36" i="1"/>
  <c r="D36" i="1"/>
  <c r="F36" i="1"/>
  <c r="H36" i="1"/>
  <c r="J36" i="1"/>
  <c r="L36" i="1"/>
  <c r="N36" i="1"/>
  <c r="P38" i="1"/>
  <c r="B39" i="1"/>
  <c r="D39" i="1"/>
  <c r="F39" i="1"/>
  <c r="H39" i="1"/>
  <c r="J39" i="1"/>
  <c r="L39" i="1"/>
  <c r="N39" i="1"/>
  <c r="P41" i="1"/>
  <c r="B42" i="1"/>
  <c r="D42" i="1"/>
  <c r="F42" i="1"/>
  <c r="H42" i="1"/>
  <c r="J42" i="1"/>
  <c r="L42" i="1"/>
  <c r="N42" i="1"/>
  <c r="P44" i="1"/>
  <c r="B45" i="1"/>
  <c r="D45" i="1"/>
  <c r="F45" i="1"/>
  <c r="H45" i="1"/>
  <c r="J45" i="1"/>
  <c r="L45" i="1"/>
  <c r="N45" i="1"/>
  <c r="B48" i="1"/>
  <c r="P47" i="1" s="1"/>
  <c r="D48" i="1"/>
  <c r="F48" i="1"/>
  <c r="H48" i="1"/>
  <c r="J48" i="1"/>
  <c r="L48" i="1"/>
  <c r="N48" i="1"/>
  <c r="P50" i="1"/>
  <c r="B51" i="1"/>
  <c r="D51" i="1"/>
  <c r="F51" i="1"/>
  <c r="H51" i="1"/>
  <c r="J51" i="1"/>
  <c r="L51" i="1"/>
  <c r="N51" i="1"/>
</calcChain>
</file>

<file path=xl/sharedStrings.xml><?xml version="1.0" encoding="utf-8"?>
<sst xmlns="http://schemas.openxmlformats.org/spreadsheetml/2006/main" count="19" uniqueCount="18">
  <si>
    <t>ABC COMPANY</t>
  </si>
  <si>
    <t>EMPLOYEE SCHEDULE  (B BUILDING)</t>
  </si>
  <si>
    <r>
      <t xml:space="preserve">PLEASE </t>
    </r>
    <r>
      <rPr>
        <b/>
        <u/>
        <sz val="26"/>
        <color indexed="13"/>
        <rFont val="Calibri"/>
        <family val="2"/>
      </rPr>
      <t>SAVE</t>
    </r>
    <r>
      <rPr>
        <b/>
        <sz val="26"/>
        <color indexed="10"/>
        <rFont val="Calibri"/>
        <family val="2"/>
      </rPr>
      <t xml:space="preserve"> &amp; </t>
    </r>
    <r>
      <rPr>
        <b/>
        <u/>
        <sz val="26"/>
        <color indexed="13"/>
        <rFont val="Calibri"/>
        <family val="2"/>
      </rPr>
      <t>CLOSE</t>
    </r>
    <r>
      <rPr>
        <b/>
        <sz val="26"/>
        <color indexed="10"/>
        <rFont val="Calibri"/>
        <family val="2"/>
      </rPr>
      <t xml:space="preserve"> WHEN DONE</t>
    </r>
  </si>
  <si>
    <t>Staff</t>
  </si>
  <si>
    <t>A</t>
    <phoneticPr fontId="11" type="noConversion"/>
  </si>
  <si>
    <t>B</t>
    <phoneticPr fontId="11" type="noConversion"/>
  </si>
  <si>
    <t>C</t>
    <phoneticPr fontId="11" type="noConversion"/>
  </si>
  <si>
    <t>D</t>
    <phoneticPr fontId="11" type="noConversion"/>
  </si>
  <si>
    <t>E</t>
    <phoneticPr fontId="11" type="noConversion"/>
  </si>
  <si>
    <t>F</t>
    <phoneticPr fontId="11" type="noConversion"/>
  </si>
  <si>
    <t>G</t>
    <phoneticPr fontId="11" type="noConversion"/>
  </si>
  <si>
    <t>H</t>
    <phoneticPr fontId="11" type="noConversion"/>
  </si>
  <si>
    <t>I</t>
    <phoneticPr fontId="11" type="noConversion"/>
  </si>
  <si>
    <t>K</t>
    <phoneticPr fontId="11" type="noConversion"/>
  </si>
  <si>
    <t>L</t>
    <phoneticPr fontId="11" type="noConversion"/>
  </si>
  <si>
    <t>M</t>
    <phoneticPr fontId="11" type="noConversion"/>
  </si>
  <si>
    <t>Total Hours Worked</t>
    <phoneticPr fontId="11" type="noConversion"/>
  </si>
  <si>
    <t>J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</si>
</sst>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aaa\ dd"/>
    <numFmt numFmtId="177" formatCode="[$-409]h:mm\ AM/PM;@"/>
    <numFmt numFmtId="178" formatCode="0_ "/>
  </numFmts>
  <fonts count="15">
    <font>
      <sz val="11"/>
      <color theme="1"/>
      <name val="等线"/>
      <family val="2"/>
      <charset val="134"/>
      <scheme val="minor"/>
    </font>
    <font>
      <sz val="11"/>
      <name val="Calibri"/>
      <family val="2"/>
    </font>
    <font>
      <b/>
      <sz val="16"/>
      <color indexed="23"/>
      <name val="Calibri"/>
      <family val="2"/>
    </font>
    <font>
      <b/>
      <sz val="20"/>
      <name val="Calibri"/>
      <family val="2"/>
    </font>
    <font>
      <b/>
      <sz val="26"/>
      <color indexed="10"/>
      <name val="Calibri"/>
      <family val="2"/>
    </font>
    <font>
      <b/>
      <sz val="14"/>
      <color indexed="55"/>
      <name val="Candara"/>
      <family val="2"/>
    </font>
    <font>
      <b/>
      <sz val="14"/>
      <color indexed="56"/>
      <name val="Calibri"/>
      <family val="2"/>
    </font>
    <font>
      <b/>
      <sz val="14"/>
      <color indexed="22"/>
      <name val="Calibri"/>
      <family val="2"/>
    </font>
    <font>
      <sz val="11"/>
      <color indexed="55"/>
      <name val="Calibri"/>
      <family val="2"/>
    </font>
    <font>
      <sz val="11"/>
      <color indexed="22"/>
      <name val="Calibri"/>
      <family val="2"/>
    </font>
    <font>
      <b/>
      <u/>
      <sz val="26"/>
      <color indexed="13"/>
      <name val="Calibri"/>
      <family val="2"/>
    </font>
    <font>
      <sz val="9"/>
      <name val="等线"/>
      <family val="2"/>
      <charset val="134"/>
      <scheme val="minor"/>
    </font>
    <font>
      <b/>
      <sz val="14"/>
      <name val="Calibri"/>
      <family val="2"/>
    </font>
    <font>
      <b/>
      <sz val="16"/>
      <name val="Calibri"/>
      <family val="2"/>
    </font>
    <font>
      <b/>
      <sz val="14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177" fontId="6" fillId="0" borderId="2" xfId="0" applyNumberFormat="1" applyFont="1" applyBorder="1" applyAlignment="1" applyProtection="1">
      <alignment horizontal="center" vertical="center"/>
      <protection locked="0"/>
    </xf>
    <xf numFmtId="0" fontId="8" fillId="3" borderId="0" xfId="0" applyFont="1" applyFill="1" applyAlignment="1"/>
    <xf numFmtId="0" fontId="1" fillId="3" borderId="0" xfId="0" applyFont="1" applyFill="1" applyAlignment="1"/>
    <xf numFmtId="177" fontId="6" fillId="2" borderId="2" xfId="0" applyNumberFormat="1" applyFont="1" applyFill="1" applyBorder="1" applyAlignment="1" applyProtection="1">
      <alignment horizontal="center" vertical="center"/>
      <protection locked="0"/>
    </xf>
    <xf numFmtId="0" fontId="9" fillId="3" borderId="0" xfId="0" applyFont="1" applyFill="1" applyAlignment="1"/>
    <xf numFmtId="0" fontId="4" fillId="3" borderId="1" xfId="0" applyFont="1" applyFill="1" applyBorder="1" applyAlignment="1">
      <alignment horizontal="center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2" borderId="0" xfId="0" applyFont="1" applyFill="1" applyAlignment="1" applyProtection="1">
      <alignment horizontal="center" wrapText="1"/>
      <protection locked="0"/>
    </xf>
    <xf numFmtId="0" fontId="3" fillId="2" borderId="0" xfId="0" applyFont="1" applyFill="1" applyAlignment="1">
      <alignment horizontal="center"/>
    </xf>
    <xf numFmtId="178" fontId="12" fillId="4" borderId="3" xfId="0" applyNumberFormat="1" applyFont="1" applyFill="1" applyBorder="1" applyAlignment="1">
      <alignment horizontal="center" vertical="center"/>
    </xf>
    <xf numFmtId="178" fontId="12" fillId="4" borderId="4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176" fontId="13" fillId="0" borderId="3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1FBF-21FE-4219-BA75-E13FC549F434}">
  <dimension ref="A1:P53"/>
  <sheetViews>
    <sheetView tabSelected="1" topLeftCell="A6" zoomScale="70" zoomScaleNormal="70" workbookViewId="0">
      <selection activeCell="P14" sqref="P14:P15"/>
    </sheetView>
  </sheetViews>
  <sheetFormatPr defaultRowHeight="14"/>
  <cols>
    <col min="1" max="1" width="19.1640625" customWidth="1"/>
    <col min="2" max="2" width="16" customWidth="1"/>
    <col min="3" max="3" width="13" customWidth="1"/>
    <col min="4" max="4" width="11.6640625" customWidth="1"/>
    <col min="5" max="5" width="11.1640625" customWidth="1"/>
    <col min="6" max="6" width="17.58203125" customWidth="1"/>
    <col min="7" max="7" width="18.58203125" customWidth="1"/>
    <col min="8" max="8" width="15.75" customWidth="1"/>
    <col min="9" max="9" width="14.9140625" customWidth="1"/>
    <col min="10" max="10" width="12.33203125" customWidth="1"/>
    <col min="11" max="11" width="10.9140625" customWidth="1"/>
    <col min="16" max="16" width="28.4140625" customWidth="1"/>
  </cols>
  <sheetData>
    <row r="1" spans="1:16" ht="2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6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33.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1">
      <c r="A4" s="18" t="s">
        <v>3</v>
      </c>
      <c r="B4" s="21">
        <f ca="1">TODAY()-WEEKDAY(TODAY(),2)+1</f>
        <v>45621</v>
      </c>
      <c r="C4" s="22"/>
      <c r="D4" s="21">
        <f ca="1">B4+1</f>
        <v>45622</v>
      </c>
      <c r="E4" s="22"/>
      <c r="F4" s="21">
        <f ca="1">D4+1</f>
        <v>45623</v>
      </c>
      <c r="G4" s="22"/>
      <c r="H4" s="21">
        <f ca="1">F4+1</f>
        <v>45624</v>
      </c>
      <c r="I4" s="22"/>
      <c r="J4" s="21">
        <f ca="1">H4+1</f>
        <v>45625</v>
      </c>
      <c r="K4" s="22"/>
      <c r="L4" s="21">
        <f ca="1">J4+1</f>
        <v>45626</v>
      </c>
      <c r="M4" s="22"/>
      <c r="N4" s="21">
        <f ca="1">L4+1</f>
        <v>45627</v>
      </c>
      <c r="O4" s="22"/>
      <c r="P4" s="23" t="s">
        <v>16</v>
      </c>
    </row>
    <row r="5" spans="1:16" ht="18.5">
      <c r="A5" s="19" t="s">
        <v>4</v>
      </c>
      <c r="B5" s="1">
        <v>0.35416666665696539</v>
      </c>
      <c r="C5" s="1">
        <v>0.52083333334303461</v>
      </c>
      <c r="D5" s="1">
        <v>0.35416666665696539</v>
      </c>
      <c r="E5" s="1">
        <v>0.52083333334303461</v>
      </c>
      <c r="F5" s="1">
        <v>0.35416666665696539</v>
      </c>
      <c r="G5" s="1">
        <v>0.52083333334303461</v>
      </c>
      <c r="H5" s="1">
        <v>0.35416666665696539</v>
      </c>
      <c r="I5" s="1">
        <v>0.52083333334303461</v>
      </c>
      <c r="J5" s="1"/>
      <c r="K5" s="1"/>
      <c r="L5" s="1"/>
      <c r="M5" s="1"/>
      <c r="N5" s="1"/>
      <c r="O5" s="1"/>
      <c r="P5" s="24">
        <f>SUM(B6:O6)</f>
        <v>16.000000001862645</v>
      </c>
    </row>
    <row r="6" spans="1:16" ht="18.5">
      <c r="A6" s="8"/>
      <c r="B6" s="16">
        <f>IF((C5-B5)*24&gt;6,(C5-B5)*24-0.5,(C5-B5)*24)</f>
        <v>4.0000000004656613</v>
      </c>
      <c r="C6" s="17"/>
      <c r="D6" s="16">
        <f>IF((E5-D5)*24&gt;6,(E5-D5)*24-0.5,(E5-D5)*24)</f>
        <v>4.0000000004656613</v>
      </c>
      <c r="E6" s="17"/>
      <c r="F6" s="16">
        <f>IF((G5-F5)*24&gt;6,(G5-F5)*24-0.5,(G5-F5)*24)</f>
        <v>4.0000000004656613</v>
      </c>
      <c r="G6" s="17"/>
      <c r="H6" s="16">
        <f>IF((I5-H5)*24&gt;6,(I5-H5)*24-0.5,(I5-H5)*24)</f>
        <v>4.0000000004656613</v>
      </c>
      <c r="I6" s="17"/>
      <c r="J6" s="16">
        <f>IF((K5-J5)*24&gt;6,(K5-J5)*24-0.5,(K5-J5)*24)</f>
        <v>0</v>
      </c>
      <c r="K6" s="17"/>
      <c r="L6" s="16">
        <f>IF((M5-L5)*24&gt;6,(M5-L5)*24-0.5,(M5-L5)*24)</f>
        <v>0</v>
      </c>
      <c r="M6" s="17"/>
      <c r="N6" s="16">
        <f>IF((O5-N5)*24&gt;6,(O5-N5)*24-0.5,(O5-N5)*24)</f>
        <v>0</v>
      </c>
      <c r="O6" s="17"/>
      <c r="P6" s="8"/>
    </row>
    <row r="7" spans="1:16" ht="14.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8.5">
      <c r="A8" s="19" t="s">
        <v>5</v>
      </c>
      <c r="B8" s="4">
        <v>0.375</v>
      </c>
      <c r="C8" s="4">
        <v>0.6875</v>
      </c>
      <c r="D8" s="4"/>
      <c r="E8" s="4"/>
      <c r="F8" s="4">
        <v>0.375</v>
      </c>
      <c r="G8" s="4">
        <v>0.6875</v>
      </c>
      <c r="H8" s="4"/>
      <c r="I8" s="4"/>
      <c r="J8" s="4">
        <v>0.375</v>
      </c>
      <c r="K8" s="4">
        <v>0.6875</v>
      </c>
      <c r="L8" s="1"/>
      <c r="M8" s="1"/>
      <c r="N8" s="4"/>
      <c r="O8" s="4"/>
      <c r="P8" s="24">
        <f>SUM(B9:O9)</f>
        <v>21</v>
      </c>
    </row>
    <row r="9" spans="1:16" ht="18.5">
      <c r="A9" s="8"/>
      <c r="B9" s="16">
        <f>IF((C8-B8)*24&gt;6,(C8-B8)*24-0.5,(C8-B8)*24)</f>
        <v>7</v>
      </c>
      <c r="C9" s="17"/>
      <c r="D9" s="16">
        <f>IF((E8-D8)*24&gt;6,(E8-D8)*24-0.5,(E8-D8)*24)</f>
        <v>0</v>
      </c>
      <c r="E9" s="17"/>
      <c r="F9" s="16">
        <f>IF((G8-F8)*24&gt;6,(G8-F8)*24-0.5,(G8-F8)*24)</f>
        <v>7</v>
      </c>
      <c r="G9" s="17"/>
      <c r="H9" s="16">
        <f>IF((I8-H8)*24&gt;6,(I8-H8)*24-0.5,(I8-H8)*24)</f>
        <v>0</v>
      </c>
      <c r="I9" s="17"/>
      <c r="J9" s="16">
        <f>IF((K8-J8)*24&gt;6,(K8-J8)*24-0.5,(K8-J8)*24)</f>
        <v>7</v>
      </c>
      <c r="K9" s="17"/>
      <c r="L9" s="16">
        <f>IF((M8-L8)*24&gt;6,(M8-L8)*24-0.5,(M8-L8)*24)</f>
        <v>0</v>
      </c>
      <c r="M9" s="17"/>
      <c r="N9" s="16">
        <f>IF((O8-N8)*24&gt;6,(O8-N8)*24-0.5,(O8-N8)*24)</f>
        <v>0</v>
      </c>
      <c r="O9" s="17"/>
      <c r="P9" s="8"/>
    </row>
    <row r="10" spans="1:16" ht="14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8.5">
      <c r="A11" s="19" t="s">
        <v>6</v>
      </c>
      <c r="B11" s="4">
        <v>0.375</v>
      </c>
      <c r="C11" s="4">
        <v>0.625</v>
      </c>
      <c r="D11" s="4">
        <v>0.375</v>
      </c>
      <c r="E11" s="4">
        <v>0.625</v>
      </c>
      <c r="F11" s="4">
        <v>0.375</v>
      </c>
      <c r="G11" s="4">
        <v>0.625</v>
      </c>
      <c r="H11" s="4">
        <v>0.375</v>
      </c>
      <c r="I11" s="4">
        <v>0.625</v>
      </c>
      <c r="J11" s="4"/>
      <c r="K11" s="4"/>
      <c r="L11" s="1"/>
      <c r="M11" s="1"/>
      <c r="N11" s="4"/>
      <c r="O11" s="4"/>
      <c r="P11" s="24">
        <f>SUM(B12:O12)</f>
        <v>24</v>
      </c>
    </row>
    <row r="12" spans="1:16" ht="18.5">
      <c r="A12" s="8"/>
      <c r="B12" s="16">
        <f>IF((C11-B11)*24&gt;6,(C11-B11)*24-0.5,(C11-B11)*24)</f>
        <v>6</v>
      </c>
      <c r="C12" s="17"/>
      <c r="D12" s="16">
        <f>IF((E11-D11)*24&gt;6,(E11-D11)*24-0.5,(E11-D11)*24)</f>
        <v>6</v>
      </c>
      <c r="E12" s="17"/>
      <c r="F12" s="16">
        <f>IF((G11-F11)*24&gt;6,(G11-F11)*24-0.5,(G11-F11)*24)</f>
        <v>6</v>
      </c>
      <c r="G12" s="17"/>
      <c r="H12" s="16">
        <f>IF((I11-H11)*24&gt;6,(I11-H11)*24-0.5,(I11-H11)*24)</f>
        <v>6</v>
      </c>
      <c r="I12" s="17"/>
      <c r="J12" s="16">
        <f>IF((K11-J11)*24&gt;6,(K11-J11)*24-0.5,(K11-J11)*24)</f>
        <v>0</v>
      </c>
      <c r="K12" s="17"/>
      <c r="L12" s="16">
        <f>IF((M11-L11)*24&gt;6,(M11-L11)*24-0.5,(M11-L11)*24)</f>
        <v>0</v>
      </c>
      <c r="M12" s="17"/>
      <c r="N12" s="16">
        <f>IF((O11-N11)*24&gt;6,(O11-N11)*24-0.5,(O11-N11)*24)</f>
        <v>0</v>
      </c>
      <c r="O12" s="17"/>
      <c r="P12" s="8"/>
    </row>
    <row r="13" spans="1:16" ht="14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8.5">
      <c r="A14" s="19" t="s">
        <v>7</v>
      </c>
      <c r="B14" s="1">
        <v>0.375</v>
      </c>
      <c r="C14" s="1">
        <v>0.70833333334303461</v>
      </c>
      <c r="D14" s="1">
        <v>0.375</v>
      </c>
      <c r="E14" s="1">
        <v>0.70833333334303461</v>
      </c>
      <c r="F14" s="1">
        <v>0.375</v>
      </c>
      <c r="G14" s="1">
        <v>0.70833333334303461</v>
      </c>
      <c r="H14" s="1">
        <v>0.375</v>
      </c>
      <c r="I14" s="1">
        <v>0.70833333334303461</v>
      </c>
      <c r="J14" s="1">
        <v>0.375</v>
      </c>
      <c r="K14" s="1">
        <v>0.70833333334303461</v>
      </c>
      <c r="L14" s="1"/>
      <c r="M14" s="1"/>
      <c r="N14" s="1"/>
      <c r="O14" s="1"/>
      <c r="P14" s="24">
        <f>SUM(B15:O15)</f>
        <v>37.500000001164153</v>
      </c>
    </row>
    <row r="15" spans="1:16" ht="18.5">
      <c r="A15" s="8"/>
      <c r="B15" s="16">
        <f>IF((C14-B14)*24&gt;6,(C14-B14)*24-0.5,(C14-B14)*24)</f>
        <v>7.5000000002328306</v>
      </c>
      <c r="C15" s="17"/>
      <c r="D15" s="16">
        <f>IF((E14-D14)*24&gt;6,(E14-D14)*24-0.5,(E14-D14)*24)</f>
        <v>7.5000000002328306</v>
      </c>
      <c r="E15" s="17"/>
      <c r="F15" s="16">
        <f>IF((G14-F14)*24&gt;6,(G14-F14)*24-0.5,(G14-F14)*24)</f>
        <v>7.5000000002328306</v>
      </c>
      <c r="G15" s="17"/>
      <c r="H15" s="16">
        <f>IF((I14-H14)*24&gt;6,(I14-H14)*24-0.5,(I14-H14)*24)</f>
        <v>7.5000000002328306</v>
      </c>
      <c r="I15" s="17"/>
      <c r="J15" s="16">
        <f>IF((K14-J14)*24&gt;6,(K14-J14)*24-0.5,(K14-J14)*24)</f>
        <v>7.5000000002328306</v>
      </c>
      <c r="K15" s="17"/>
      <c r="L15" s="16">
        <f>IF((M14-L14)*24&gt;6,(M14-L14)*24-0.5,(M14-L14)*24)</f>
        <v>0</v>
      </c>
      <c r="M15" s="17"/>
      <c r="N15" s="16">
        <f>IF((O14-N14)*24&gt;6,(O14-N14)*24-0.5,(O14-N14)*24)</f>
        <v>0</v>
      </c>
      <c r="O15" s="17"/>
      <c r="P15" s="8"/>
    </row>
    <row r="16" spans="1:16" ht="14.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8.5">
      <c r="A17" s="19" t="s">
        <v>8</v>
      </c>
      <c r="B17" s="1">
        <v>0.35416666665696539</v>
      </c>
      <c r="C17" s="1">
        <v>0.60416666665696539</v>
      </c>
      <c r="D17" s="1">
        <v>0.35416666665696539</v>
      </c>
      <c r="E17" s="1">
        <v>0.60416666665696539</v>
      </c>
      <c r="F17" s="1">
        <v>0.35416666665696539</v>
      </c>
      <c r="G17" s="1">
        <v>0.60416666665696539</v>
      </c>
      <c r="H17" s="1">
        <v>0.35416666665696539</v>
      </c>
      <c r="I17" s="1">
        <v>0.60416666665696539</v>
      </c>
      <c r="J17" s="1"/>
      <c r="K17" s="1"/>
      <c r="L17" s="1"/>
      <c r="M17" s="1"/>
      <c r="N17" s="1"/>
      <c r="O17" s="1"/>
      <c r="P17" s="24">
        <f>SUM(B18:O18)</f>
        <v>24</v>
      </c>
    </row>
    <row r="18" spans="1:16" ht="18.5">
      <c r="A18" s="8"/>
      <c r="B18" s="16">
        <f>IF((C17-B17)*24&gt;6,(C17-B17)*24-0.5,(C17-B17)*24)</f>
        <v>6</v>
      </c>
      <c r="C18" s="17"/>
      <c r="D18" s="16">
        <f>IF((E17-D17)*24&gt;6,(E17-D17)*24-0.5,(E17-D17)*24)</f>
        <v>6</v>
      </c>
      <c r="E18" s="17"/>
      <c r="F18" s="16">
        <f>IF((G17-F17)*24&gt;6,(G17-F17)*24-0.5,(G17-F17)*24)</f>
        <v>6</v>
      </c>
      <c r="G18" s="17"/>
      <c r="H18" s="16">
        <f>IF((I17-H17)*24&gt;6,(I17-H17)*24-0.5,(I17-H17)*24)</f>
        <v>6</v>
      </c>
      <c r="I18" s="17"/>
      <c r="J18" s="16">
        <f>IF((K17-J17)*24&gt;6,(K17-J17)*24-0.5,(K17-J17)*24)</f>
        <v>0</v>
      </c>
      <c r="K18" s="17"/>
      <c r="L18" s="16">
        <f>IF((M17-L17)*24&gt;6,(M17-L17)*24-0.5,(M17-L17)*24)</f>
        <v>0</v>
      </c>
      <c r="M18" s="17"/>
      <c r="N18" s="16">
        <f>IF((O17-N17)*24&gt;6,(O17-N17)*24-0.5,(O17-N17)*24)</f>
        <v>0</v>
      </c>
      <c r="O18" s="17"/>
      <c r="P18" s="8"/>
    </row>
    <row r="19" spans="1:16" ht="14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8.5">
      <c r="A20" s="19" t="s">
        <v>9</v>
      </c>
      <c r="B20" s="1">
        <v>0.375</v>
      </c>
      <c r="C20" s="1">
        <v>0.6875</v>
      </c>
      <c r="D20" s="1"/>
      <c r="E20" s="1"/>
      <c r="F20" s="1">
        <v>0.375</v>
      </c>
      <c r="G20" s="1">
        <v>0.6875</v>
      </c>
      <c r="H20" s="1">
        <v>0.375</v>
      </c>
      <c r="I20" s="1">
        <v>0.6875</v>
      </c>
      <c r="J20" s="1">
        <v>0.375</v>
      </c>
      <c r="K20" s="1">
        <v>0.6875</v>
      </c>
      <c r="L20" s="1"/>
      <c r="M20" s="1"/>
      <c r="N20" s="1"/>
      <c r="O20" s="1"/>
      <c r="P20" s="24">
        <f>SUM(B21:O21)</f>
        <v>28</v>
      </c>
    </row>
    <row r="21" spans="1:16" ht="18.5">
      <c r="A21" s="8"/>
      <c r="B21" s="16">
        <f>IF((C20-B20)*24&gt;6,(C20-B20)*24-0.5,(C20-B20)*24)</f>
        <v>7</v>
      </c>
      <c r="C21" s="17"/>
      <c r="D21" s="16">
        <f>IF((E20-D20)*24&gt;6,(E20-D20)*24-0.5,(E20-D20)*24)</f>
        <v>0</v>
      </c>
      <c r="E21" s="17"/>
      <c r="F21" s="16">
        <f>IF((G20-F20)*24&gt;6,(G20-F20)*24-0.5,(G20-F20)*24)</f>
        <v>7</v>
      </c>
      <c r="G21" s="17"/>
      <c r="H21" s="16">
        <f>IF((I20-H20)*24&gt;6,(I20-H20)*24-0.5,(I20-H20)*24)</f>
        <v>7</v>
      </c>
      <c r="I21" s="17"/>
      <c r="J21" s="16">
        <f>IF((K20-J20)*24&gt;6,(K20-J20)*24-0.5,(K20-J20)*24)</f>
        <v>7</v>
      </c>
      <c r="K21" s="17"/>
      <c r="L21" s="16">
        <f>IF((M20-L20)*24&gt;6,(M20-L20)*24-0.5,(M20-L20)*24)</f>
        <v>0</v>
      </c>
      <c r="M21" s="17"/>
      <c r="N21" s="16">
        <f>IF((O20-N20)*24&gt;6,(O20-N20)*24-0.5,(O20-N20)*24)</f>
        <v>0</v>
      </c>
      <c r="O21" s="17"/>
      <c r="P21" s="8"/>
    </row>
    <row r="22" spans="1:16" ht="14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8.5">
      <c r="A23" s="19" t="s">
        <v>10</v>
      </c>
      <c r="B23" s="1">
        <v>0.33333333334303461</v>
      </c>
      <c r="C23" s="1">
        <v>0.66666666665696539</v>
      </c>
      <c r="D23" s="1"/>
      <c r="E23" s="1"/>
      <c r="F23" s="1">
        <v>0.33333333334303461</v>
      </c>
      <c r="G23" s="1">
        <v>0.66666666665696539</v>
      </c>
      <c r="H23" s="1"/>
      <c r="I23" s="1"/>
      <c r="J23" s="1">
        <v>0.33333333334303461</v>
      </c>
      <c r="K23" s="1">
        <v>0.66666666665696539</v>
      </c>
      <c r="L23" s="1"/>
      <c r="M23" s="1"/>
      <c r="N23" s="1"/>
      <c r="O23" s="1"/>
      <c r="P23" s="24">
        <f>SUM(B24:O24)</f>
        <v>22.499999998603016</v>
      </c>
    </row>
    <row r="24" spans="1:16" ht="18.5">
      <c r="A24" s="8"/>
      <c r="B24" s="16">
        <f>IF((C23-B23)*24&gt;6,(C23-B23)*24-0.5,(C23-B23)*24)</f>
        <v>7.4999999995343387</v>
      </c>
      <c r="C24" s="17"/>
      <c r="D24" s="16">
        <f>IF((E23-D23)*24&gt;6,(E23-D23)*24-0.5,(E23-D23)*24)</f>
        <v>0</v>
      </c>
      <c r="E24" s="17"/>
      <c r="F24" s="16">
        <f>IF((G23-F23)*24&gt;6,(G23-F23)*24-0.5,(G23-F23)*24)</f>
        <v>7.4999999995343387</v>
      </c>
      <c r="G24" s="17"/>
      <c r="H24" s="16">
        <f>IF((I23-H23)*24&gt;6,(I23-H23)*24-0.5,(I23-H23)*24)</f>
        <v>0</v>
      </c>
      <c r="I24" s="17"/>
      <c r="J24" s="16">
        <f>IF((K23-J23)*24&gt;6,(K23-J23)*24-0.5,(K23-J23)*24)</f>
        <v>7.4999999995343387</v>
      </c>
      <c r="K24" s="17"/>
      <c r="L24" s="16">
        <f>IF((M23-L23)*24&gt;6,(M23-L23)*24-0.5,(M23-L23)*24)</f>
        <v>0</v>
      </c>
      <c r="M24" s="17"/>
      <c r="N24" s="16">
        <f>IF((O23-N23)*24&gt;6,(O23-N23)*24-0.5,(O23-N23)*24)</f>
        <v>0</v>
      </c>
      <c r="O24" s="17"/>
      <c r="P24" s="8"/>
    </row>
    <row r="25" spans="1:16" ht="14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8.5">
      <c r="A26" s="19" t="s">
        <v>11</v>
      </c>
      <c r="B26" s="4">
        <v>0.375</v>
      </c>
      <c r="C26" s="4">
        <v>0.66666666665696539</v>
      </c>
      <c r="D26" s="4">
        <v>0.375</v>
      </c>
      <c r="E26" s="4">
        <v>0.66666666665696539</v>
      </c>
      <c r="F26" s="4">
        <v>0.375</v>
      </c>
      <c r="G26" s="4">
        <v>0.66666666665696539</v>
      </c>
      <c r="H26" s="4">
        <v>0.375</v>
      </c>
      <c r="I26" s="4">
        <v>0.66666666665696539</v>
      </c>
      <c r="J26" s="4"/>
      <c r="K26" s="4"/>
      <c r="L26" s="1"/>
      <c r="M26" s="1"/>
      <c r="N26" s="4"/>
      <c r="O26" s="4"/>
      <c r="P26" s="24">
        <f>SUM(B27:O27)</f>
        <v>25.999999999068677</v>
      </c>
    </row>
    <row r="27" spans="1:16" ht="18.5">
      <c r="A27" s="20"/>
      <c r="B27" s="16">
        <f>IF((C26-B26)*24&gt;6,(C26-B26)*24-0.5,(C26-B26)*24)</f>
        <v>6.4999999997671694</v>
      </c>
      <c r="C27" s="17"/>
      <c r="D27" s="16">
        <f>IF((E26-D26)*24&gt;6,(E26-D26)*24-0.5,(E26-D26)*24)</f>
        <v>6.4999999997671694</v>
      </c>
      <c r="E27" s="17"/>
      <c r="F27" s="16">
        <f>IF((G26-F26)*24&gt;6,(G26-F26)*24-0.5,(G26-F26)*24)</f>
        <v>6.4999999997671694</v>
      </c>
      <c r="G27" s="17"/>
      <c r="H27" s="16">
        <f>IF((I26-H26)*24&gt;6,(I26-H26)*24-0.5,(I26-H26)*24)</f>
        <v>6.4999999997671694</v>
      </c>
      <c r="I27" s="17"/>
      <c r="J27" s="16">
        <f>IF((K26-J26)*24&gt;6,(K26-J26)*24-0.5,(K26-J26)*24)</f>
        <v>0</v>
      </c>
      <c r="K27" s="17"/>
      <c r="L27" s="16">
        <f>IF((M26-L26)*24&gt;6,(M26-L26)*24-0.5,(M26-L26)*24)</f>
        <v>0</v>
      </c>
      <c r="M27" s="17"/>
      <c r="N27" s="16">
        <f>IF((O26-N26)*24&gt;6,(O26-N26)*24-0.5,(O26-N26)*24)</f>
        <v>0</v>
      </c>
      <c r="O27" s="17"/>
      <c r="P27" s="8"/>
    </row>
    <row r="28" spans="1:1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8.5">
      <c r="A29" s="19" t="s">
        <v>12</v>
      </c>
      <c r="B29" s="1">
        <v>0.375</v>
      </c>
      <c r="C29" s="1">
        <v>0.625</v>
      </c>
      <c r="D29" s="1">
        <v>0.375</v>
      </c>
      <c r="E29" s="1">
        <v>0.58333333334303461</v>
      </c>
      <c r="F29" s="1">
        <v>0.375</v>
      </c>
      <c r="G29" s="1">
        <v>0.54166666665696539</v>
      </c>
      <c r="H29" s="1">
        <v>0.375</v>
      </c>
      <c r="I29" s="1">
        <v>0.58333333334303461</v>
      </c>
      <c r="J29" s="1">
        <v>0.375</v>
      </c>
      <c r="K29" s="1">
        <v>0.58333333334303461</v>
      </c>
      <c r="L29" s="1"/>
      <c r="M29" s="1"/>
      <c r="N29" s="1"/>
      <c r="O29" s="1"/>
      <c r="P29" s="24">
        <f>SUM(B30:O30)</f>
        <v>25.000000000465661</v>
      </c>
    </row>
    <row r="30" spans="1:16" ht="18.5">
      <c r="A30" s="20"/>
      <c r="B30" s="16">
        <f>IF((C29-B29)*24&gt;6,(C29-B29)*24-0.5,(C29-B29)*24)</f>
        <v>6</v>
      </c>
      <c r="C30" s="17"/>
      <c r="D30" s="16">
        <f>IF((E29-D29)*24&gt;6,(E29-D29)*24-0.5,(E29-D29)*24)</f>
        <v>5.0000000002328306</v>
      </c>
      <c r="E30" s="17"/>
      <c r="F30" s="16">
        <f>IF((G29-F29)*24&gt;6,(G29-F29)*24-0.5,(G29-F29)*24)</f>
        <v>3.9999999997671694</v>
      </c>
      <c r="G30" s="17"/>
      <c r="H30" s="16">
        <f>IF((I29-H29)*24&gt;6,(I29-H29)*24-0.5,(I29-H29)*24)</f>
        <v>5.0000000002328306</v>
      </c>
      <c r="I30" s="17"/>
      <c r="J30" s="16">
        <f>IF((K29-J29)*24&gt;6,(K29-J29)*24-0.5,(K29-J29)*24)</f>
        <v>5.0000000002328306</v>
      </c>
      <c r="K30" s="17"/>
      <c r="L30" s="16">
        <f>IF((M29-L29)*24&gt;6,(M29-L29)*24-0.5,(M29-L29)*24)</f>
        <v>0</v>
      </c>
      <c r="M30" s="17"/>
      <c r="N30" s="16">
        <f>IF((O29-N29)*24&gt;6,(O29-N29)*24-0.5,(O29-N29)*24)</f>
        <v>0</v>
      </c>
      <c r="O30" s="17"/>
      <c r="P30" s="8"/>
    </row>
    <row r="31" spans="1:1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8.5">
      <c r="A32" s="19" t="s">
        <v>17</v>
      </c>
      <c r="B32" s="1">
        <v>0.375</v>
      </c>
      <c r="C32" s="1">
        <v>0.72916666665696539</v>
      </c>
      <c r="D32" s="1"/>
      <c r="E32" s="1"/>
      <c r="F32" s="1">
        <v>0.375</v>
      </c>
      <c r="G32" s="1">
        <v>0.72916666665696539</v>
      </c>
      <c r="H32" s="1"/>
      <c r="I32" s="1"/>
      <c r="J32" s="1">
        <v>0.375</v>
      </c>
      <c r="K32" s="1">
        <v>0.72916666665696539</v>
      </c>
      <c r="L32" s="1"/>
      <c r="M32" s="1"/>
      <c r="N32" s="1"/>
      <c r="O32" s="1"/>
      <c r="P32" s="24">
        <f>SUM(B33:O33)</f>
        <v>23.999999999301508</v>
      </c>
    </row>
    <row r="33" spans="1:16" ht="18.5">
      <c r="A33" s="20"/>
      <c r="B33" s="16">
        <f>IF((C32-B32)*24&gt;6,(C32-B32)*24-0.5,(C32-B32)*24)</f>
        <v>7.9999999997671694</v>
      </c>
      <c r="C33" s="17"/>
      <c r="D33" s="16">
        <f>IF((E32-D32)*24&gt;6,(E32-D32)*24-0.5,(E32-D32)*24)</f>
        <v>0</v>
      </c>
      <c r="E33" s="17"/>
      <c r="F33" s="16">
        <f>IF((G32-F32)*24&gt;6,(G32-F32)*24-0.5,(G32-F32)*24)</f>
        <v>7.9999999997671694</v>
      </c>
      <c r="G33" s="17"/>
      <c r="H33" s="16">
        <f>IF((I32-H32)*24&gt;6,(I32-H32)*24-0.5,(I32-H32)*24)</f>
        <v>0</v>
      </c>
      <c r="I33" s="17"/>
      <c r="J33" s="16">
        <f>IF((K32-J32)*24&gt;6,(K32-J32)*24-0.5,(K32-J32)*24)</f>
        <v>7.9999999997671694</v>
      </c>
      <c r="K33" s="17"/>
      <c r="L33" s="16">
        <f>IF((M32-L32)*24&gt;6,(M32-L32)*24-0.5,(M32-L32)*24)</f>
        <v>0</v>
      </c>
      <c r="M33" s="17"/>
      <c r="N33" s="16">
        <f>IF((O32-N32)*24&gt;6,(O32-N32)*24-0.5,(O32-N32)*24)</f>
        <v>0</v>
      </c>
      <c r="O33" s="17"/>
      <c r="P33" s="8"/>
    </row>
    <row r="34" spans="1:1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8.5">
      <c r="A35" s="19" t="s">
        <v>13</v>
      </c>
      <c r="B35" s="4">
        <v>0.375</v>
      </c>
      <c r="C35" s="4">
        <v>0.66666666665696539</v>
      </c>
      <c r="D35" s="4">
        <v>0.375</v>
      </c>
      <c r="E35" s="4">
        <v>0.66666666665696539</v>
      </c>
      <c r="F35" s="4">
        <v>0.375</v>
      </c>
      <c r="G35" s="4">
        <v>0.66666666665696539</v>
      </c>
      <c r="H35" s="4">
        <v>0.375</v>
      </c>
      <c r="I35" s="4">
        <v>0.66666666665696539</v>
      </c>
      <c r="J35" s="4"/>
      <c r="K35" s="4"/>
      <c r="L35" s="1"/>
      <c r="M35" s="1"/>
      <c r="N35" s="4"/>
      <c r="O35" s="4"/>
      <c r="P35" s="24">
        <f>SUM(B36:O36)</f>
        <v>25.999999999068677</v>
      </c>
    </row>
    <row r="36" spans="1:16" ht="18.5">
      <c r="A36" s="20"/>
      <c r="B36" s="16">
        <f>IF((C35-B35)*24&gt;6,(C35-B35)*24-0.5,(C35-B35)*24)</f>
        <v>6.4999999997671694</v>
      </c>
      <c r="C36" s="17"/>
      <c r="D36" s="16">
        <f>IF((E35-D35)*24&gt;6,(E35-D35)*24-0.5,(E35-D35)*24)</f>
        <v>6.4999999997671694</v>
      </c>
      <c r="E36" s="17"/>
      <c r="F36" s="16">
        <f>IF((G35-F35)*24&gt;6,(G35-F35)*24-0.5,(G35-F35)*24)</f>
        <v>6.4999999997671694</v>
      </c>
      <c r="G36" s="17"/>
      <c r="H36" s="16">
        <f>IF((I35-H35)*24&gt;6,(I35-H35)*24-0.5,(I35-H35)*24)</f>
        <v>6.4999999997671694</v>
      </c>
      <c r="I36" s="17"/>
      <c r="J36" s="16">
        <f>IF((K35-J35)*24&gt;6,(K35-J35)*24-0.5,(K35-J35)*24)</f>
        <v>0</v>
      </c>
      <c r="K36" s="17"/>
      <c r="L36" s="16">
        <f>IF((M35-L35)*24&gt;6,(M35-L35)*24-0.5,(M35-L35)*24)</f>
        <v>0</v>
      </c>
      <c r="M36" s="17"/>
      <c r="N36" s="16">
        <f>IF((O35-N35)*24&gt;6,(O35-N35)*24-0.5,(O35-N35)*24)</f>
        <v>0</v>
      </c>
      <c r="O36" s="17"/>
      <c r="P36" s="8"/>
    </row>
    <row r="37" spans="1:1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8.5">
      <c r="A38" s="19" t="s">
        <v>14</v>
      </c>
      <c r="B38" s="4"/>
      <c r="C38" s="4"/>
      <c r="D38" s="4">
        <v>0.375</v>
      </c>
      <c r="E38" s="4">
        <v>0.66666666665696539</v>
      </c>
      <c r="F38" s="4">
        <v>0.375</v>
      </c>
      <c r="G38" s="4">
        <v>0.66666666665696539</v>
      </c>
      <c r="H38" s="4">
        <v>0.375</v>
      </c>
      <c r="I38" s="4">
        <v>0.66666666665696539</v>
      </c>
      <c r="J38" s="4"/>
      <c r="K38" s="4"/>
      <c r="L38" s="1"/>
      <c r="M38" s="1"/>
      <c r="N38" s="4"/>
      <c r="O38" s="4"/>
      <c r="P38" s="24">
        <f>SUM(B39:O39)</f>
        <v>19.499999999301508</v>
      </c>
    </row>
    <row r="39" spans="1:16" ht="18.5">
      <c r="A39" s="20"/>
      <c r="B39" s="16">
        <f>IF((C38-B38)*24&gt;6,(C38-B38)*24-0.5,(C38-B38)*24)</f>
        <v>0</v>
      </c>
      <c r="C39" s="17"/>
      <c r="D39" s="16">
        <f>IF((E38-D38)*24&gt;6,(E38-D38)*24-0.5,(E38-D38)*24)</f>
        <v>6.4999999997671694</v>
      </c>
      <c r="E39" s="17"/>
      <c r="F39" s="16">
        <f>IF((G38-F38)*24&gt;6,(G38-F38)*24-0.5,(G38-F38)*24)</f>
        <v>6.4999999997671694</v>
      </c>
      <c r="G39" s="17"/>
      <c r="H39" s="16">
        <f>IF((I38-H38)*24&gt;6,(I38-H38)*24-0.5,(I38-H38)*24)</f>
        <v>6.4999999997671694</v>
      </c>
      <c r="I39" s="17"/>
      <c r="J39" s="16">
        <f>IF((K38-J38)*24&gt;6,(K38-J38)*24-0.5,(K38-J38)*24)</f>
        <v>0</v>
      </c>
      <c r="K39" s="17"/>
      <c r="L39" s="16">
        <f>IF((M38-L38)*24&gt;6,(M38-L38)*24-0.5,(M38-L38)*24)</f>
        <v>0</v>
      </c>
      <c r="M39" s="17"/>
      <c r="N39" s="16">
        <f>IF((O38-N38)*24&gt;6,(O38-N38)*24-0.5,(O38-N38)*24)</f>
        <v>0</v>
      </c>
      <c r="O39" s="17"/>
      <c r="P39" s="8"/>
    </row>
    <row r="40" spans="1:1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8.5">
      <c r="A41" s="19" t="s">
        <v>15</v>
      </c>
      <c r="B41" s="4">
        <v>0.375</v>
      </c>
      <c r="C41" s="4">
        <v>0.70833333334303461</v>
      </c>
      <c r="D41" s="4">
        <v>0.375</v>
      </c>
      <c r="E41" s="4">
        <v>0.70833333334303461</v>
      </c>
      <c r="F41" s="4">
        <v>0.375</v>
      </c>
      <c r="G41" s="4">
        <v>0.70833333334303461</v>
      </c>
      <c r="H41" s="4">
        <v>0.375</v>
      </c>
      <c r="I41" s="4">
        <v>0.70833333334303461</v>
      </c>
      <c r="J41" s="4"/>
      <c r="K41" s="4"/>
      <c r="L41" s="1"/>
      <c r="M41" s="1"/>
      <c r="N41" s="4"/>
      <c r="O41" s="4"/>
      <c r="P41" s="24">
        <f>SUM(B42:O42)</f>
        <v>30.000000000931323</v>
      </c>
    </row>
    <row r="42" spans="1:16" ht="18.5">
      <c r="A42" s="20"/>
      <c r="B42" s="16">
        <f>IF((C41-B41)*24&gt;6,(C41-B41)*24-0.5,(C41-B41)*24)</f>
        <v>7.5000000002328306</v>
      </c>
      <c r="C42" s="17"/>
      <c r="D42" s="16">
        <f>IF((E41-D41)*24&gt;6,(E41-D41)*24-0.5,(E41-D41)*24)</f>
        <v>7.5000000002328306</v>
      </c>
      <c r="E42" s="17"/>
      <c r="F42" s="16">
        <f>IF((G41-F41)*24&gt;6,(G41-F41)*24-0.5,(G41-F41)*24)</f>
        <v>7.5000000002328306</v>
      </c>
      <c r="G42" s="17"/>
      <c r="H42" s="16">
        <f>IF((I41-H41)*24&gt;6,(I41-H41)*24-0.5,(I41-H41)*24)</f>
        <v>7.5000000002328306</v>
      </c>
      <c r="I42" s="17"/>
      <c r="J42" s="16">
        <f>IF((K41-J41)*24&gt;6,(K41-J41)*24-0.5,(K41-J41)*24)</f>
        <v>0</v>
      </c>
      <c r="K42" s="17"/>
      <c r="L42" s="16">
        <f>IF((M41-L41)*24&gt;6,(M41-L41)*24-0.5,(M41-L41)*24)</f>
        <v>0</v>
      </c>
      <c r="M42" s="17"/>
      <c r="N42" s="16">
        <f>IF((O41-N41)*24&gt;6,(O41-N41)*24-0.5,(O41-N41)*24)</f>
        <v>0</v>
      </c>
      <c r="O42" s="17"/>
      <c r="P42" s="8"/>
    </row>
    <row r="43" spans="1:16" ht="14.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8.5">
      <c r="A44" s="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4">
        <f>SUM(B45:O45)</f>
        <v>0</v>
      </c>
    </row>
    <row r="45" spans="1:16" ht="18.5">
      <c r="A45" s="8"/>
      <c r="B45" s="10">
        <f>IF((C44-B44)*24&gt;6,(C44-B44)*24-0.5,(C44-B44)*24)</f>
        <v>0</v>
      </c>
      <c r="C45" s="11"/>
      <c r="D45" s="10">
        <f>IF((E44-D44)*24&gt;6,(E44-D44)*24-0.5,(E44-D44)*24)</f>
        <v>0</v>
      </c>
      <c r="E45" s="11"/>
      <c r="F45" s="10">
        <f>IF((G44-F44)*24&gt;6,(G44-F44)*24-0.5,(G44-F44)*24)</f>
        <v>0</v>
      </c>
      <c r="G45" s="11"/>
      <c r="H45" s="10">
        <f>IF((I44-H44)*24&gt;6,(I44-H44)*24-0.5,(I44-H44)*24)</f>
        <v>0</v>
      </c>
      <c r="I45" s="11"/>
      <c r="J45" s="10">
        <f>IF((K44-J44)*24&gt;6,(K44-J44)*24-0.5,(K44-J44)*24)</f>
        <v>0</v>
      </c>
      <c r="K45" s="11"/>
      <c r="L45" s="12">
        <f>IF((M44-L44)*24&gt;6,(M44-L44)*24-0.5,(M44-L44)*24)</f>
        <v>0</v>
      </c>
      <c r="M45" s="13"/>
      <c r="N45" s="10">
        <f>IF((O44-N44)*24&gt;6,(O44-N44)*24-0.5,(O44-N44)*24)</f>
        <v>0</v>
      </c>
      <c r="O45" s="11"/>
      <c r="P45" s="8"/>
    </row>
    <row r="46" spans="1:16" ht="14.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 spans="1:16" ht="18.5">
      <c r="A47" s="7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>
        <f>SUM(B48:O48)</f>
        <v>0</v>
      </c>
    </row>
    <row r="48" spans="1:16" ht="18.5">
      <c r="A48" s="8"/>
      <c r="B48" s="10">
        <f>IF((C47-B47)*24&gt;6,(C47-B47)*24-0.5,(C47-B47)*24)</f>
        <v>0</v>
      </c>
      <c r="C48" s="11"/>
      <c r="D48" s="10">
        <f>IF((E47-D47)*24&gt;6,(E47-D47)*24-0.5,(E47-D47)*24)</f>
        <v>0</v>
      </c>
      <c r="E48" s="11"/>
      <c r="F48" s="10">
        <f>IF((G47-F47)*24&gt;6,(G47-F47)*24-0.5,(G47-F47)*24)</f>
        <v>0</v>
      </c>
      <c r="G48" s="11"/>
      <c r="H48" s="10">
        <f>IF((I47-H47)*24&gt;6,(I47-H47)*24-0.5,(I47-H47)*24)</f>
        <v>0</v>
      </c>
      <c r="I48" s="11"/>
      <c r="J48" s="10">
        <f>IF((K47-J47)*24&gt;6,(K47-J47)*24-0.5,(K47-J47)*24)</f>
        <v>0</v>
      </c>
      <c r="K48" s="11"/>
      <c r="L48" s="12">
        <f>IF((M47-L47)*24&gt;6,(M47-L47)*24-0.5,(M47-L47)*24)</f>
        <v>0</v>
      </c>
      <c r="M48" s="13"/>
      <c r="N48" s="10">
        <f>IF((O47-N47)*24&gt;6,(O47-N47)*24-0.5,(O47-N47)*24)</f>
        <v>0</v>
      </c>
      <c r="O48" s="11"/>
      <c r="P48" s="8"/>
    </row>
    <row r="49" spans="1:16" ht="14.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 spans="1:16" ht="18.5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>SUM(B51:O51)</f>
        <v>0</v>
      </c>
    </row>
    <row r="51" spans="1:16" ht="18.5">
      <c r="A51" s="8"/>
      <c r="B51" s="10">
        <f>IF((C50-B50)*24&gt;6,(C50-B50)*24-0.5,(C50-B50)*24)</f>
        <v>0</v>
      </c>
      <c r="C51" s="11"/>
      <c r="D51" s="10">
        <f>IF((E50-D50)*24&gt;6,(E50-D50)*24-0.5,(E50-D50)*24)</f>
        <v>0</v>
      </c>
      <c r="E51" s="11"/>
      <c r="F51" s="10">
        <f>IF((G50-F50)*24&gt;6,(G50-F50)*24-0.5,(G50-F50)*24)</f>
        <v>0</v>
      </c>
      <c r="G51" s="11"/>
      <c r="H51" s="10">
        <f>IF((I50-H50)*24&gt;6,(I50-H50)*24-0.5,(I50-H50)*24)</f>
        <v>0</v>
      </c>
      <c r="I51" s="11"/>
      <c r="J51" s="10">
        <f>IF((K50-J50)*24&gt;6,(K50-J50)*24-0.5,(K50-J50)*24)</f>
        <v>0</v>
      </c>
      <c r="K51" s="11"/>
      <c r="L51" s="12">
        <f>IF((M50-L50)*24&gt;6,(M50-L50)*24-0.5,(M50-L50)*24)</f>
        <v>0</v>
      </c>
      <c r="M51" s="13"/>
      <c r="N51" s="10">
        <f>IF((O50-N50)*24&gt;6,(O50-N50)*24-0.5,(O50-N50)*24)</f>
        <v>0</v>
      </c>
      <c r="O51" s="11"/>
      <c r="P51" s="8"/>
    </row>
    <row r="52" spans="1:1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33.5">
      <c r="A53" s="6" t="s">
        <v>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</sheetData>
  <mergeCells count="155">
    <mergeCell ref="A1:P1"/>
    <mergeCell ref="A2:P2"/>
    <mergeCell ref="A3:P3"/>
    <mergeCell ref="B4:C4"/>
    <mergeCell ref="D4:E4"/>
    <mergeCell ref="F4:G4"/>
    <mergeCell ref="H4:I4"/>
    <mergeCell ref="J4:K4"/>
    <mergeCell ref="L4:M4"/>
    <mergeCell ref="N4:O4"/>
    <mergeCell ref="A5:A6"/>
    <mergeCell ref="P5:P6"/>
    <mergeCell ref="B6:C6"/>
    <mergeCell ref="D6:E6"/>
    <mergeCell ref="F6:G6"/>
    <mergeCell ref="H6:I6"/>
    <mergeCell ref="J6:K6"/>
    <mergeCell ref="L6:M6"/>
    <mergeCell ref="N6:O6"/>
    <mergeCell ref="A8:A9"/>
    <mergeCell ref="P8:P9"/>
    <mergeCell ref="B9:C9"/>
    <mergeCell ref="D9:E9"/>
    <mergeCell ref="F9:G9"/>
    <mergeCell ref="H9:I9"/>
    <mergeCell ref="J9:K9"/>
    <mergeCell ref="L9:M9"/>
    <mergeCell ref="N9:O9"/>
    <mergeCell ref="A11:A12"/>
    <mergeCell ref="P11:P12"/>
    <mergeCell ref="B12:C12"/>
    <mergeCell ref="D12:E12"/>
    <mergeCell ref="F12:G12"/>
    <mergeCell ref="H12:I12"/>
    <mergeCell ref="J12:K12"/>
    <mergeCell ref="L12:M12"/>
    <mergeCell ref="N12:O12"/>
    <mergeCell ref="A14:A15"/>
    <mergeCell ref="P14:P15"/>
    <mergeCell ref="B15:C15"/>
    <mergeCell ref="D15:E15"/>
    <mergeCell ref="F15:G15"/>
    <mergeCell ref="H15:I15"/>
    <mergeCell ref="J15:K15"/>
    <mergeCell ref="L15:M15"/>
    <mergeCell ref="N15:O15"/>
    <mergeCell ref="A17:A18"/>
    <mergeCell ref="P17:P18"/>
    <mergeCell ref="B18:C18"/>
    <mergeCell ref="D18:E18"/>
    <mergeCell ref="F18:G18"/>
    <mergeCell ref="H18:I18"/>
    <mergeCell ref="J18:K18"/>
    <mergeCell ref="L18:M18"/>
    <mergeCell ref="N18:O18"/>
    <mergeCell ref="A20:A21"/>
    <mergeCell ref="P20:P21"/>
    <mergeCell ref="B21:C21"/>
    <mergeCell ref="D21:E21"/>
    <mergeCell ref="F21:G21"/>
    <mergeCell ref="H21:I21"/>
    <mergeCell ref="J21:K21"/>
    <mergeCell ref="L21:M21"/>
    <mergeCell ref="N21:O21"/>
    <mergeCell ref="A23:A24"/>
    <mergeCell ref="P23:P24"/>
    <mergeCell ref="B24:C24"/>
    <mergeCell ref="D24:E24"/>
    <mergeCell ref="F24:G24"/>
    <mergeCell ref="H24:I24"/>
    <mergeCell ref="J24:K24"/>
    <mergeCell ref="L24:M24"/>
    <mergeCell ref="N24:O24"/>
    <mergeCell ref="P29:P30"/>
    <mergeCell ref="B30:C30"/>
    <mergeCell ref="D30:E30"/>
    <mergeCell ref="F30:G30"/>
    <mergeCell ref="H30:I30"/>
    <mergeCell ref="J30:K30"/>
    <mergeCell ref="L30:M30"/>
    <mergeCell ref="N30:O30"/>
    <mergeCell ref="P26:P27"/>
    <mergeCell ref="B27:C27"/>
    <mergeCell ref="D27:E27"/>
    <mergeCell ref="F27:G27"/>
    <mergeCell ref="H27:I27"/>
    <mergeCell ref="J27:K27"/>
    <mergeCell ref="L27:M27"/>
    <mergeCell ref="N27:O27"/>
    <mergeCell ref="P35:P36"/>
    <mergeCell ref="B36:C36"/>
    <mergeCell ref="D36:E36"/>
    <mergeCell ref="F36:G36"/>
    <mergeCell ref="H36:I36"/>
    <mergeCell ref="J36:K36"/>
    <mergeCell ref="L36:M36"/>
    <mergeCell ref="N36:O36"/>
    <mergeCell ref="P32:P33"/>
    <mergeCell ref="B33:C33"/>
    <mergeCell ref="D33:E33"/>
    <mergeCell ref="F33:G33"/>
    <mergeCell ref="H33:I33"/>
    <mergeCell ref="J33:K33"/>
    <mergeCell ref="L33:M33"/>
    <mergeCell ref="N33:O33"/>
    <mergeCell ref="P41:P42"/>
    <mergeCell ref="B42:C42"/>
    <mergeCell ref="D42:E42"/>
    <mergeCell ref="F42:G42"/>
    <mergeCell ref="H42:I42"/>
    <mergeCell ref="J42:K42"/>
    <mergeCell ref="L42:M42"/>
    <mergeCell ref="N42:O42"/>
    <mergeCell ref="P38:P39"/>
    <mergeCell ref="B39:C39"/>
    <mergeCell ref="D39:E39"/>
    <mergeCell ref="F39:G39"/>
    <mergeCell ref="H39:I39"/>
    <mergeCell ref="J39:K39"/>
    <mergeCell ref="L39:M39"/>
    <mergeCell ref="N39:O39"/>
    <mergeCell ref="N48:O48"/>
    <mergeCell ref="A44:A45"/>
    <mergeCell ref="P44:P45"/>
    <mergeCell ref="B45:C45"/>
    <mergeCell ref="D45:E45"/>
    <mergeCell ref="F45:G45"/>
    <mergeCell ref="H45:I45"/>
    <mergeCell ref="J45:K45"/>
    <mergeCell ref="L45:M45"/>
    <mergeCell ref="N45:O45"/>
    <mergeCell ref="A53:P53"/>
    <mergeCell ref="A26:A27"/>
    <mergeCell ref="A29:A30"/>
    <mergeCell ref="A32:A33"/>
    <mergeCell ref="A35:A36"/>
    <mergeCell ref="A38:A39"/>
    <mergeCell ref="A41:A42"/>
    <mergeCell ref="A50:A51"/>
    <mergeCell ref="P50:P51"/>
    <mergeCell ref="B51:C51"/>
    <mergeCell ref="D51:E51"/>
    <mergeCell ref="F51:G51"/>
    <mergeCell ref="H51:I51"/>
    <mergeCell ref="J51:K51"/>
    <mergeCell ref="L51:M51"/>
    <mergeCell ref="N51:O51"/>
    <mergeCell ref="A47:A48"/>
    <mergeCell ref="P47:P48"/>
    <mergeCell ref="B48:C48"/>
    <mergeCell ref="D48:E48"/>
    <mergeCell ref="F48:G48"/>
    <mergeCell ref="H48:I48"/>
    <mergeCell ref="J48:K48"/>
    <mergeCell ref="L48:M48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2024-11-27T03:31:23Z</dcterms:created>
  <dcterms:modified xsi:type="dcterms:W3CDTF">2024-11-27T13:33:38Z</dcterms:modified>
</cp:coreProperties>
</file>