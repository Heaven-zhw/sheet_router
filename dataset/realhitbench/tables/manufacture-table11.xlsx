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<sst xmlns="http://schemas.openxmlformats.org/spreadsheetml/2006/main" count="47" uniqueCount="39">
  <si>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EM Fittings</t>
  </si>
  <si>
    <t>From</t>
  </si>
  <si>
    <t>Master</t>
  </si>
  <si>
    <t>To</t>
  </si>
  <si>
    <t>SL.</t>
  </si>
  <si>
    <t>Stock</t>
  </si>
  <si>
    <t>Total</t>
  </si>
  <si>
    <t>No.</t>
  </si>
  <si>
    <t>Code</t>
  </si>
  <si>
    <t>Description</t>
  </si>
  <si>
    <t>MRP</t>
  </si>
  <si>
    <t>Opening</t>
  </si>
  <si>
    <t>Purchase</t>
  </si>
  <si>
    <t>Sales</t>
  </si>
  <si>
    <t>Order</t>
  </si>
  <si>
    <t>Pending</t>
  </si>
  <si>
    <t>a</t>
  </si>
  <si>
    <t>aa</t>
  </si>
  <si>
    <t>b</t>
  </si>
  <si>
    <t>bb</t>
  </si>
  <si>
    <t>c</t>
  </si>
  <si>
    <t>cc</t>
  </si>
  <si>
    <t>d</t>
  </si>
  <si>
    <t>dd</t>
  </si>
  <si>
    <t>e</t>
  </si>
  <si>
    <t>ee</t>
  </si>
  <si>
    <t>f</t>
  </si>
  <si>
    <t>ff</t>
  </si>
  <si>
    <t>g</t>
  </si>
  <si>
    <t>gg</t>
  </si>
  <si>
    <t>h</t>
  </si>
  <si>
    <t>hh</t>
  </si>
  <si>
    <t>i</t>
  </si>
  <si>
    <t>ii</t>
  </si>
  <si>
    <t>j</t>
  </si>
  <si>
    <t>jj</t>
  </si>
  <si>
    <t>k</t>
  </si>
  <si>
    <t>kk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</si>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</sst>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</numFmts>
  <fonts count="24">
    <font>
      <sz val="11"/>
      <color theme="1"/>
      <name val="宋体"/>
      <charset val="134"/>
      <scheme val="minor"/>
    </font>
    <font>
      <sz val="9"/>
      <color theme="10"/>
      <name val="Calibri"/>
      <charset val="134"/>
    </font>
    <font>
      <b/>
      <sz val="9"/>
      <color theme="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6" applyFont="1" applyAlignment="1" applyProtection="1">
      <alignment horizontal="left" indent="1"/>
    </xf>
    <xf numFmtId="0" fontId="2" fillId="2" borderId="1" xfId="0" applyFont="1" applyFill="1" applyBorder="1" applyAlignment="1">
      <alignment horizontal="center" shrinkToFit="1"/>
    </xf>
    <xf numFmtId="176" fontId="3" fillId="0" borderId="0" xfId="1" applyNumberFormat="1" applyFont="1" applyAlignment="1">
      <alignment shrinkToFit="1"/>
    </xf>
    <xf numFmtId="0" fontId="3" fillId="0" borderId="0" xfId="0" applyFont="1" applyFill="1" applyAlignment="1">
      <alignment horizontal="center" shrinkToFit="1"/>
    </xf>
    <xf numFmtId="0" fontId="2" fillId="2" borderId="2" xfId="0" applyFont="1" applyFill="1" applyBorder="1" applyAlignment="1">
      <alignment horizontal="center" shrinkToFit="1"/>
    </xf>
    <xf numFmtId="0" fontId="3" fillId="3" borderId="1" xfId="0" applyFont="1" applyFill="1" applyBorder="1" applyAlignment="1">
      <alignment horizontal="center" shrinkToFit="1"/>
    </xf>
    <xf numFmtId="176" fontId="3" fillId="3" borderId="1" xfId="1" applyNumberFormat="1" applyFont="1" applyFill="1" applyBorder="1" applyAlignment="1">
      <alignment horizontal="center" shrinkToFit="1"/>
    </xf>
    <xf numFmtId="0" fontId="3" fillId="3" borderId="3" xfId="0" applyFont="1" applyFill="1" applyBorder="1" applyAlignment="1">
      <alignment horizontal="center" shrinkToFit="1"/>
    </xf>
    <xf numFmtId="176" fontId="3" fillId="3" borderId="3" xfId="1" applyNumberFormat="1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center" shrinkToFit="1"/>
    </xf>
    <xf numFmtId="0" fontId="3" fillId="0" borderId="0" xfId="0" applyFont="1" applyFill="1" applyBorder="1" applyAlignment="1">
      <alignment shrinkToFit="1"/>
    </xf>
    <xf numFmtId="176" fontId="3" fillId="0" borderId="0" xfId="1" applyNumberFormat="1" applyFont="1" applyBorder="1" applyAlignment="1">
      <alignment shrinkToFit="1"/>
    </xf>
    <xf numFmtId="0" fontId="2" fillId="2" borderId="4" xfId="0" applyFont="1" applyFill="1" applyBorder="1" applyAlignment="1">
      <alignment horizontal="center" shrinkToFit="1"/>
    </xf>
    <xf numFmtId="14" fontId="4" fillId="2" borderId="4" xfId="0" applyNumberFormat="1" applyFont="1" applyFill="1" applyBorder="1" applyAlignment="1">
      <alignment horizontal="center" shrinkToFit="1"/>
    </xf>
    <xf numFmtId="0" fontId="2" fillId="2" borderId="5" xfId="0" applyFont="1" applyFill="1" applyBorder="1" applyAlignment="1">
      <alignment horizontal="center" shrinkToFit="1"/>
    </xf>
    <xf numFmtId="0" fontId="3" fillId="3" borderId="1" xfId="1" applyNumberFormat="1" applyFont="1" applyFill="1" applyBorder="1" applyAlignment="1">
      <alignment horizontal="center" vertical="center" shrinkToFit="1"/>
    </xf>
    <xf numFmtId="0" fontId="3" fillId="3" borderId="3" xfId="1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9"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8" tint="0.799981688894314"/>
        </patternFill>
      </fill>
    </dxf>
    <dxf>
      <font>
        <b val="1"/>
        <i val="0"/>
        <color rgb="FFFF0000"/>
      </font>
    </dxf>
    <dxf>
      <fill>
        <patternFill patternType="solid">
          <bgColor theme="5" tint="0.799981688894314"/>
        </patternFill>
      </fill>
    </dxf>
    <dxf>
      <fill>
        <patternFill patternType="solid">
          <bgColor theme="6" tint="0.599963377788629"/>
        </patternFill>
      </fill>
    </dxf>
    <dxf>
      <fill>
        <patternFill patternType="solid">
          <bgColor theme="0" tint="-0.14996795556505"/>
        </patternFill>
      </fill>
    </dxf>
    <dxf>
      <font>
        <b val="1"/>
        <i val="0"/>
        <color rgb="FFFF0000"/>
      </font>
      <fill>
        <patternFill patternType="none"/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136" zoomScaleNormal="136" workbookViewId="0">
      <selection activeCell="L6" sqref="L6"/>
    </sheetView>
  </sheetViews>
  <sheetFormatPr defaultColWidth="9.23076923076923" defaultRowHeight="16.8"/>
  <cols>
    <col min="8" max="8" width="11.0673076923077" customWidth="1"/>
  </cols>
  <sheetData>
    <row r="1" spans="1:10">
      <c r="A1" s="1"/>
      <c r="B1" s="1"/>
      <c r="C1" s="2" t="s">
        <v>0</v>
      </c>
      <c r="D1" s="3" t="str">
        <f>IF(B500&lt;&gt;"","Exceeding 500","")</f>
        <v/>
      </c>
      <c r="E1" s="13" t="s">
        <v>1</v>
      </c>
      <c r="F1" s="14">
        <v>40940</v>
      </c>
      <c r="G1" s="4"/>
      <c r="H1" s="4"/>
      <c r="I1" s="4"/>
      <c r="J1" s="18"/>
    </row>
    <row r="2" spans="1:10">
      <c r="A2" s="4"/>
      <c r="B2" s="4"/>
      <c r="C2" s="5" t="s">
        <v>2</v>
      </c>
      <c r="D2" s="3"/>
      <c r="E2" s="15" t="s">
        <v>3</v>
      </c>
      <c r="F2" s="14">
        <v>41760</v>
      </c>
      <c r="G2" s="4"/>
      <c r="H2" s="4"/>
      <c r="I2" s="4"/>
      <c r="J2" s="18"/>
    </row>
    <row r="3" spans="1:10">
      <c r="A3" s="6" t="s">
        <v>4</v>
      </c>
      <c r="B3" s="6"/>
      <c r="C3" s="6"/>
      <c r="D3" s="7"/>
      <c r="E3" s="16" t="s">
        <v>5</v>
      </c>
      <c r="F3" s="16" t="s">
        <v>6</v>
      </c>
      <c r="G3" s="16" t="s">
        <v>6</v>
      </c>
      <c r="H3" s="16" t="s">
        <v>6</v>
      </c>
      <c r="I3" s="16" t="s">
        <v>6</v>
      </c>
      <c r="J3" s="16" t="s">
        <v>6</v>
      </c>
    </row>
    <row r="4" spans="1:10">
      <c r="A4" s="8" t="s">
        <v>7</v>
      </c>
      <c r="B4" s="8" t="s">
        <v>8</v>
      </c>
      <c r="C4" s="8" t="s">
        <v>9</v>
      </c>
      <c r="D4" s="9" t="s">
        <v>10</v>
      </c>
      <c r="E4" s="17" t="s">
        <v>11</v>
      </c>
      <c r="F4" s="17" t="s">
        <v>12</v>
      </c>
      <c r="G4" s="17" t="s">
        <v>13</v>
      </c>
      <c r="H4" s="17" t="s">
        <v>5</v>
      </c>
      <c r="I4" s="17" t="s">
        <v>14</v>
      </c>
      <c r="J4" s="17" t="s">
        <v>15</v>
      </c>
    </row>
    <row r="5" spans="1:10">
      <c r="A5" s="10">
        <f t="shared" ref="A5:A16" si="0">IF(B5="","",ROW(B5)-4)</f>
        <v>1</v>
      </c>
      <c r="B5" s="10" t="s">
        <v>16</v>
      </c>
      <c r="C5" s="11" t="s">
        <v>17</v>
      </c>
      <c r="D5" s="12"/>
      <c r="E5" s="10">
        <v>0</v>
      </c>
      <c r="F5" s="10">
        <v>500</v>
      </c>
      <c r="G5" s="10">
        <v>220</v>
      </c>
      <c r="H5" s="10">
        <v>280</v>
      </c>
      <c r="I5" s="10">
        <v>20</v>
      </c>
      <c r="J5" s="10">
        <v>-480</v>
      </c>
    </row>
    <row r="6" spans="1:10">
      <c r="A6" s="10">
        <f t="shared" si="0"/>
        <v>2</v>
      </c>
      <c r="B6" s="10" t="s">
        <v>18</v>
      </c>
      <c r="C6" s="11" t="s">
        <v>19</v>
      </c>
      <c r="D6" s="12"/>
      <c r="E6" s="10">
        <v>0</v>
      </c>
      <c r="F6" s="10">
        <v>0</v>
      </c>
      <c r="G6" s="10">
        <v>150</v>
      </c>
      <c r="H6" s="10">
        <v>-150</v>
      </c>
      <c r="I6" s="10">
        <v>10</v>
      </c>
      <c r="J6" s="10">
        <v>10</v>
      </c>
    </row>
    <row r="7" spans="1:10">
      <c r="A7" s="10">
        <f t="shared" si="0"/>
        <v>3</v>
      </c>
      <c r="B7" s="10" t="s">
        <v>20</v>
      </c>
      <c r="C7" s="11" t="s">
        <v>21</v>
      </c>
      <c r="D7" s="12"/>
      <c r="E7" s="10">
        <v>0</v>
      </c>
      <c r="F7" s="10">
        <v>4140</v>
      </c>
      <c r="G7" s="10">
        <v>1243</v>
      </c>
      <c r="H7" s="10">
        <v>2897</v>
      </c>
      <c r="I7" s="10">
        <v>50</v>
      </c>
      <c r="J7" s="10">
        <v>-4090</v>
      </c>
    </row>
    <row r="8" spans="1:10">
      <c r="A8" s="10">
        <f t="shared" si="0"/>
        <v>4</v>
      </c>
      <c r="B8" s="10" t="s">
        <v>22</v>
      </c>
      <c r="C8" s="11" t="s">
        <v>23</v>
      </c>
      <c r="D8" s="12"/>
      <c r="E8" s="10">
        <v>0</v>
      </c>
      <c r="F8" s="10">
        <v>220</v>
      </c>
      <c r="G8" s="10">
        <v>20</v>
      </c>
      <c r="H8" s="10">
        <v>200</v>
      </c>
      <c r="I8" s="10">
        <v>30</v>
      </c>
      <c r="J8" s="10">
        <v>-190</v>
      </c>
    </row>
    <row r="9" spans="1:10">
      <c r="A9" s="10">
        <f t="shared" si="0"/>
        <v>5</v>
      </c>
      <c r="B9" s="10" t="s">
        <v>24</v>
      </c>
      <c r="C9" s="11" t="s">
        <v>25</v>
      </c>
      <c r="D9" s="12"/>
      <c r="E9" s="10">
        <v>0</v>
      </c>
      <c r="F9" s="10">
        <v>500</v>
      </c>
      <c r="G9" s="10">
        <v>0</v>
      </c>
      <c r="H9" s="10">
        <v>500</v>
      </c>
      <c r="I9" s="10">
        <v>0</v>
      </c>
      <c r="J9" s="10">
        <v>-500</v>
      </c>
    </row>
    <row r="10" spans="1:10">
      <c r="A10" s="10">
        <f t="shared" si="0"/>
        <v>6</v>
      </c>
      <c r="B10" s="10" t="s">
        <v>26</v>
      </c>
      <c r="C10" s="11" t="s">
        <v>27</v>
      </c>
      <c r="D10" s="12"/>
      <c r="E10" s="10">
        <v>0</v>
      </c>
      <c r="F10" s="10">
        <v>400</v>
      </c>
      <c r="G10" s="10">
        <v>20</v>
      </c>
      <c r="H10" s="10">
        <v>380</v>
      </c>
      <c r="I10" s="10">
        <v>40</v>
      </c>
      <c r="J10" s="10">
        <v>-360</v>
      </c>
    </row>
    <row r="11" spans="1:10">
      <c r="A11" s="10">
        <f t="shared" si="0"/>
        <v>7</v>
      </c>
      <c r="B11" s="10" t="s">
        <v>28</v>
      </c>
      <c r="C11" s="11" t="s">
        <v>29</v>
      </c>
      <c r="D11" s="12"/>
      <c r="E11" s="10">
        <v>0</v>
      </c>
      <c r="F11" s="10">
        <v>100</v>
      </c>
      <c r="G11" s="10">
        <v>0</v>
      </c>
      <c r="H11" s="10">
        <v>100</v>
      </c>
      <c r="I11" s="10">
        <v>0</v>
      </c>
      <c r="J11" s="10">
        <v>-100</v>
      </c>
    </row>
    <row r="12" spans="1:10">
      <c r="A12" s="10">
        <f t="shared" si="0"/>
        <v>8</v>
      </c>
      <c r="B12" s="10" t="s">
        <v>30</v>
      </c>
      <c r="C12" s="11" t="s">
        <v>31</v>
      </c>
      <c r="D12" s="12"/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>
      <c r="A13" s="10">
        <f t="shared" si="0"/>
        <v>9</v>
      </c>
      <c r="B13" s="10" t="s">
        <v>32</v>
      </c>
      <c r="C13" s="11" t="s">
        <v>33</v>
      </c>
      <c r="D13" s="12"/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>
      <c r="A14" s="10">
        <f t="shared" si="0"/>
        <v>10</v>
      </c>
      <c r="B14" s="10" t="s">
        <v>34</v>
      </c>
      <c r="C14" s="11" t="s">
        <v>35</v>
      </c>
      <c r="D14" s="12"/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>
      <c r="A15" s="10">
        <f t="shared" si="0"/>
        <v>11</v>
      </c>
      <c r="B15" s="10" t="s">
        <v>36</v>
      </c>
      <c r="C15" s="11" t="s">
        <v>37</v>
      </c>
      <c r="D15" s="12"/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>
      <c r="A16" s="10" t="str">
        <f t="shared" si="0"/>
        <v/>
      </c>
      <c r="B16" s="10"/>
      <c r="C16" s="11"/>
      <c r="D16" s="12"/>
      <c r="E16" s="10" t="s">
        <v>38</v>
      </c>
      <c r="F16" s="10" t="s">
        <v>38</v>
      </c>
      <c r="G16" s="10" t="s">
        <v>38</v>
      </c>
      <c r="H16" s="10" t="str">
        <f>IF(B16="","",SUM(E16:F16)-SUM(G16))</f>
        <v/>
      </c>
      <c r="I16" s="10" t="s">
        <v>38</v>
      </c>
      <c r="J16" s="10" t="str">
        <f>IF(B16="","",SUM(I16:I16)-SUM(F16:F16))</f>
        <v/>
      </c>
    </row>
  </sheetData>
  <protectedRanges>
    <protectedRange sqref="B5:D16" name="CodeDescMRP"/>
  </protectedRanges>
  <mergeCells count="1">
    <mergeCell ref="A1:B1"/>
  </mergeCells>
  <conditionalFormatting sqref="D1">
    <cfRule type="notContainsBlanks" dxfId="0" priority="1">
      <formula>LEN(TRIM(D1))&gt;0</formula>
    </cfRule>
  </conditionalFormatting>
  <conditionalFormatting sqref="D5:D16">
    <cfRule type="expression" dxfId="1" priority="10">
      <formula>IF($B5="",FALSE,TRUE)</formula>
    </cfRule>
  </conditionalFormatting>
  <conditionalFormatting sqref="E5:E16">
    <cfRule type="expression" dxfId="2" priority="9">
      <formula>IF($B5="",FALSE,TRUE)</formula>
    </cfRule>
  </conditionalFormatting>
  <conditionalFormatting sqref="F5:F16">
    <cfRule type="expression" dxfId="3" priority="8">
      <formula>IF($B5="",FALSE,TRUE)</formula>
    </cfRule>
  </conditionalFormatting>
  <conditionalFormatting sqref="G5:G16">
    <cfRule type="expression" dxfId="4" priority="7">
      <formula>IF($B5="",FALSE,TRUE)</formula>
    </cfRule>
  </conditionalFormatting>
  <conditionalFormatting sqref="H1:H16">
    <cfRule type="cellIs" dxfId="5" priority="2" operator="lessThanOrEqual">
      <formula>0</formula>
    </cfRule>
  </conditionalFormatting>
  <conditionalFormatting sqref="H5:H16">
    <cfRule type="expression" dxfId="6" priority="6">
      <formula>IF($B5="",FALSE,TRUE)</formula>
    </cfRule>
  </conditionalFormatting>
  <conditionalFormatting sqref="I5:I16">
    <cfRule type="expression" dxfId="7" priority="5">
      <formula>IF($B5="",FALSE,TRUE)</formula>
    </cfRule>
  </conditionalFormatting>
  <conditionalFormatting sqref="J5:J16">
    <cfRule type="expression" dxfId="8" priority="4">
      <formula>IF($B5="",FALSE,TRUE)</formula>
    </cfRule>
    <cfRule type="cellIs" dxfId="9" priority="3" operator="greaterThan">
      <formula>0</formula>
    </cfRule>
  </conditionalFormatting>
  <conditionalFormatting sqref="A5:J16">
    <cfRule type="expression" dxfId="10" priority="12">
      <formula>IF($B5="",FALSE,TRUE)</formula>
    </cfRule>
    <cfRule type="expression" dxfId="11" priority="11">
      <formula>IF($B4&lt;&gt;"",TRUE,FALSE)</formula>
    </cfRule>
  </conditionalFormatting>
  <dataValidations count="2">
    <dataValidation type="custom" allowBlank="1" showInputMessage="1" showErrorMessage="1" errorTitle="DUPLICATE ENTRY" error="Duplicate Entry&#10;Try New Code" sqref="B6">
      <formula1>COUNTIF($B:$B,B6)=1</formula1>
    </dataValidation>
    <dataValidation type="custom" allowBlank="1" showInputMessage="1" showErrorMessage="1" sqref="B2:B5 B7:B16">
      <formula1>COUNTIF($B:$B,B2)=1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CodeDescMRP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2024-12-10T01:38:00Z</dcterms:created>
  <dcterms:modified xsi:type="dcterms:W3CDTF">2024-12-28T22:59:50Z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C3D8C9B905C47FB9A1BA56672600FF44_41</vt:lpwstr>
  </property>
  <property fmtid="{D5CDD505-2E9C-101B-9397-08002B2CF9AE}" pid="3" name="KSOProductBuildVer">
    <vt:lpwstr>2052-6.8.2.8850</vt:lpwstr>
  </property>
</Properties>
</file>